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codeName="ThisWorkbook"/>
  <bookViews>
    <workbookView xWindow="930" yWindow="0" windowWidth="19440" windowHeight="7530"/>
  </bookViews>
  <sheets>
    <sheet name="ImportESKN" sheetId="8" r:id="rId1"/>
    <sheet name="Hodnoty parametrov" sheetId="6" r:id="rId2"/>
    <sheet name="Konzument-KO-sada" sheetId="9" r:id="rId3"/>
    <sheet name="Konzument-uzemie" sheetId="10" r:id="rId4"/>
    <sheet name="KN_C_CADASTRAL_UNITS" sheetId="12" r:id="rId5"/>
    <sheet name="KN_C_MUNICIPALITIES" sheetId="13" r:id="rId6"/>
    <sheet name="KN_C_DISTRICTS" sheetId="14" r:id="rId7"/>
    <sheet name="KN_C_REGIONS" sheetId="15" r:id="rId8"/>
    <sheet name="Cenník" sheetId="16" r:id="rId9"/>
  </sheets>
  <definedNames>
    <definedName name="_xlnm._FilterDatabase" localSheetId="0" hidden="1">ImportESKN!$A$1:$AD$238</definedName>
    <definedName name="_Toc422844201" localSheetId="0">ImportESKN!#REF!</definedName>
    <definedName name="_Toc422844250" localSheetId="0">ImportESKN!$B$302</definedName>
    <definedName name="_Toc422844251" localSheetId="0">ImportESKN!$D$304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1" i="16" l="1"/>
  <c r="C37" i="16" s="1"/>
  <c r="C40" i="16"/>
  <c r="C39" i="16"/>
  <c r="C38" i="16"/>
  <c r="H9" i="16"/>
  <c r="C25" i="16"/>
  <c r="C24" i="16"/>
  <c r="C23" i="16"/>
  <c r="C22" i="16"/>
  <c r="C21" i="16"/>
  <c r="C20" i="16" s="1"/>
  <c r="C16" i="16"/>
  <c r="C30" i="16"/>
  <c r="C15" i="16"/>
  <c r="C14" i="16"/>
  <c r="C31" i="16"/>
  <c r="C13" i="16"/>
  <c r="C12" i="16"/>
  <c r="C11" i="16"/>
  <c r="C34" i="16" s="1"/>
  <c r="C10" i="16"/>
  <c r="C29" i="16" s="1"/>
  <c r="C9" i="16"/>
  <c r="C35" i="16" s="1"/>
  <c r="C8" i="16"/>
  <c r="C33" i="16" s="1"/>
  <c r="C7" i="16"/>
  <c r="C6" i="16"/>
  <c r="C32" i="16" s="1"/>
  <c r="C5" i="16"/>
  <c r="C4" i="16"/>
  <c r="C28" i="16" s="1"/>
  <c r="A238" i="8"/>
  <c r="A237" i="8"/>
  <c r="A236" i="8"/>
  <c r="A97" i="8"/>
  <c r="A96" i="8"/>
  <c r="A235" i="8"/>
  <c r="A234" i="8"/>
  <c r="A233" i="8"/>
  <c r="A232" i="8"/>
  <c r="A231" i="8"/>
  <c r="A230" i="8"/>
  <c r="A229" i="8"/>
  <c r="A228" i="8"/>
  <c r="A227" i="8"/>
  <c r="A226" i="8"/>
  <c r="A225" i="8"/>
  <c r="A224" i="8"/>
  <c r="A223" i="8"/>
  <c r="A222" i="8"/>
  <c r="A221" i="8"/>
  <c r="A220" i="8"/>
  <c r="A219" i="8"/>
  <c r="A218" i="8"/>
  <c r="A217" i="8"/>
  <c r="A216" i="8"/>
  <c r="A215" i="8"/>
  <c r="A214" i="8"/>
  <c r="A213" i="8"/>
  <c r="A212" i="8"/>
  <c r="A211" i="8"/>
  <c r="A210" i="8"/>
  <c r="A209" i="8"/>
  <c r="A208" i="8"/>
  <c r="A207" i="8"/>
  <c r="A206" i="8"/>
  <c r="A205" i="8"/>
  <c r="A204" i="8"/>
  <c r="A203" i="8"/>
  <c r="A202" i="8"/>
  <c r="A201" i="8"/>
  <c r="A200" i="8"/>
  <c r="A199" i="8"/>
  <c r="A198" i="8"/>
  <c r="A197" i="8"/>
  <c r="A196" i="8"/>
  <c r="A195" i="8"/>
  <c r="A194" i="8"/>
  <c r="A193" i="8"/>
  <c r="A192" i="8"/>
  <c r="A191" i="8"/>
  <c r="A190" i="8"/>
  <c r="A189" i="8"/>
  <c r="A188" i="8"/>
  <c r="A187" i="8"/>
  <c r="A186" i="8"/>
  <c r="A185" i="8"/>
  <c r="A184" i="8"/>
  <c r="A183" i="8"/>
  <c r="A182" i="8"/>
  <c r="A181" i="8"/>
  <c r="A180" i="8"/>
  <c r="A179" i="8"/>
  <c r="A178" i="8"/>
  <c r="A177" i="8"/>
  <c r="A176" i="8"/>
  <c r="A175" i="8"/>
  <c r="A174" i="8"/>
  <c r="A173" i="8"/>
  <c r="A172" i="8"/>
  <c r="A171" i="8"/>
  <c r="A170" i="8"/>
  <c r="A169" i="8"/>
  <c r="A168" i="8"/>
  <c r="A167" i="8"/>
  <c r="A166" i="8"/>
  <c r="A165" i="8"/>
  <c r="A164" i="8"/>
  <c r="A163" i="8"/>
  <c r="A162" i="8"/>
  <c r="A161" i="8"/>
  <c r="A160" i="8"/>
  <c r="A159" i="8"/>
  <c r="A158" i="8"/>
  <c r="A157" i="8"/>
  <c r="A156" i="8"/>
  <c r="A155" i="8"/>
  <c r="A154" i="8"/>
  <c r="A153" i="8"/>
  <c r="A152" i="8"/>
  <c r="A151" i="8"/>
  <c r="A150" i="8"/>
  <c r="A149" i="8"/>
  <c r="A148" i="8"/>
  <c r="A147" i="8"/>
  <c r="A146" i="8"/>
  <c r="A145" i="8"/>
  <c r="A144" i="8"/>
  <c r="A143" i="8"/>
  <c r="A142" i="8"/>
  <c r="A141" i="8"/>
  <c r="A140" i="8"/>
  <c r="A139" i="8"/>
  <c r="A138" i="8"/>
  <c r="A137" i="8"/>
  <c r="A136" i="8"/>
  <c r="A135" i="8"/>
  <c r="A134" i="8"/>
  <c r="A133" i="8"/>
  <c r="A132" i="8"/>
  <c r="A131" i="8"/>
  <c r="A130" i="8"/>
  <c r="A129" i="8"/>
  <c r="A128" i="8"/>
  <c r="A127" i="8"/>
  <c r="A126" i="8"/>
  <c r="A125" i="8"/>
  <c r="A124" i="8"/>
  <c r="A123" i="8"/>
  <c r="A122" i="8"/>
  <c r="A121" i="8"/>
  <c r="A120" i="8"/>
  <c r="A119" i="8"/>
  <c r="A118" i="8"/>
  <c r="A117" i="8"/>
  <c r="A116" i="8"/>
  <c r="A115" i="8"/>
  <c r="A114" i="8"/>
  <c r="A113" i="8"/>
  <c r="A112" i="8"/>
  <c r="A111" i="8"/>
  <c r="A110" i="8"/>
  <c r="A109" i="8"/>
  <c r="A108" i="8"/>
  <c r="A107" i="8"/>
  <c r="A106" i="8"/>
  <c r="A105" i="8"/>
  <c r="A104" i="8"/>
  <c r="A103" i="8"/>
  <c r="A102" i="8"/>
  <c r="A101" i="8"/>
  <c r="A100" i="8"/>
  <c r="A99" i="8"/>
  <c r="A98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77" i="8"/>
  <c r="A76" i="8"/>
  <c r="A75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59" i="8"/>
  <c r="A58" i="8"/>
  <c r="A57" i="8"/>
  <c r="A56" i="8"/>
  <c r="A55" i="8"/>
  <c r="A54" i="8"/>
  <c r="A53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A3" i="8"/>
  <c r="A2" i="8"/>
  <c r="C27" i="16" l="1"/>
</calcChain>
</file>

<file path=xl/sharedStrings.xml><?xml version="1.0" encoding="utf-8"?>
<sst xmlns="http://schemas.openxmlformats.org/spreadsheetml/2006/main" count="8759" uniqueCount="4347">
  <si>
    <t>A.2.1.2 Poskytnutie priestorovej informácie zo súboru geodetických informácií z KN</t>
  </si>
  <si>
    <t>A.2.1.3 Poskytnutie informácie z KN o vlastníkoch a iných oprávnených osobách</t>
  </si>
  <si>
    <t>Fyzická / Právnická osoba (FOPO)</t>
  </si>
  <si>
    <t>IČO právnickej osoby</t>
  </si>
  <si>
    <t>Interné ID FOPO</t>
  </si>
  <si>
    <t>A.2.1.4 Poskytnutie informácie z KN o nehnuteľnostiach</t>
  </si>
  <si>
    <t>Parcely C</t>
  </si>
  <si>
    <t>Kód k.ú. + číslo parcely registra C</t>
  </si>
  <si>
    <t>Kód k.ú. + číslo listu vlastníctva</t>
  </si>
  <si>
    <t>Kód obce + číslo parcely registra C</t>
  </si>
  <si>
    <t>Kód obce + číslo listu vlastníctva</t>
  </si>
  <si>
    <t>Interné ID parcely registra C</t>
  </si>
  <si>
    <t>Parcely E</t>
  </si>
  <si>
    <t>Kód k.ú. + číslo parcely registra E</t>
  </si>
  <si>
    <t>Kód k.ú. + číslo listu vlastníctva</t>
  </si>
  <si>
    <t>Kód obce + číslo parcely registra E</t>
  </si>
  <si>
    <t>Kód obce + číslo listu vlastníctva</t>
  </si>
  <si>
    <t>Interné ID parcely registra E</t>
  </si>
  <si>
    <t>Stavby</t>
  </si>
  <si>
    <t>Kód k.ú. + súpisné číslo</t>
  </si>
  <si>
    <t>Kód obce + súpisné číslo</t>
  </si>
  <si>
    <t>Interné ID stavby</t>
  </si>
  <si>
    <t>Bytové a nebytové priestory</t>
  </si>
  <si>
    <t>Kód k.ú. + súpisné číslo</t>
  </si>
  <si>
    <t>Kód k.ú. + súpisné číslo + číslo bytu</t>
  </si>
  <si>
    <t>Kód obce + súpisné číslo</t>
  </si>
  <si>
    <t>Kód obce + súpisné číslo + číslo bytu</t>
  </si>
  <si>
    <t>Interné ID priestoru</t>
  </si>
  <si>
    <t>A.2.1.5 Poskytnutie informácie z KN o právach k nehnuteľnostiam</t>
  </si>
  <si>
    <t>Účastník právneho vzťahu (účastník)</t>
  </si>
  <si>
    <t>Kód k.ú. + interné ID FOPO</t>
  </si>
  <si>
    <t>Interné ID účastníka</t>
  </si>
  <si>
    <t>A.2.1.6 Poskytnutie informácie z KN o registri územno technických jednotiek</t>
  </si>
  <si>
    <t>Register krajov</t>
  </si>
  <si>
    <t>Všetky kraje</t>
  </si>
  <si>
    <t xml:space="preserve">Kód kraja </t>
  </si>
  <si>
    <t>Názov kraja</t>
  </si>
  <si>
    <t>Interné ID kraja</t>
  </si>
  <si>
    <t>Register okresov</t>
  </si>
  <si>
    <t>Všetky okresy</t>
  </si>
  <si>
    <t>Kód okresu</t>
  </si>
  <si>
    <t>Názov okresu</t>
  </si>
  <si>
    <t>Interné ID okresu</t>
  </si>
  <si>
    <t>Register obcí</t>
  </si>
  <si>
    <t>Všetky obce</t>
  </si>
  <si>
    <t>Kód obce</t>
  </si>
  <si>
    <t>Názov obce</t>
  </si>
  <si>
    <t>Interné ID obce</t>
  </si>
  <si>
    <t>Register katastrálnych území</t>
  </si>
  <si>
    <t>Všetky k.ú.</t>
  </si>
  <si>
    <t>Kód k.ú.</t>
  </si>
  <si>
    <t>Názov k.ú.</t>
  </si>
  <si>
    <t>Interné ID k.ú.</t>
  </si>
  <si>
    <t>Register pôvodných katastrálnych území</t>
  </si>
  <si>
    <t>Interné ID pôvodného k.ú.</t>
  </si>
  <si>
    <t>A.2.1.7 Poskytnutie informácie z KN o číselníkoch</t>
  </si>
  <si>
    <t>Druh chránenej nehnuteľnosti</t>
  </si>
  <si>
    <t>Všetky hodnoty</t>
  </si>
  <si>
    <t>Druh pozemku</t>
  </si>
  <si>
    <t>Príslušnosť k PPF alebo LPF</t>
  </si>
  <si>
    <t>Spôsob využívania pozemku</t>
  </si>
  <si>
    <t>Druh priestoru</t>
  </si>
  <si>
    <t>Druh stavby</t>
  </si>
  <si>
    <t>Typ vlastníka</t>
  </si>
  <si>
    <t>Umiestnenie pozemku</t>
  </si>
  <si>
    <t>Umiestnenie stavby</t>
  </si>
  <si>
    <t>Druh nebytového priestoru</t>
  </si>
  <si>
    <t>A.2.1.9 Poskytnutie výpisu z listu vlastníctva z KN</t>
  </si>
  <si>
    <t>Kód k.ú. + číslo parcely registra C</t>
  </si>
  <si>
    <t>Interné ID listu vlastníctva</t>
  </si>
  <si>
    <t>A.2.1.13 Poskytnutie informácie z KN o súpise parciel z registra C a E</t>
  </si>
  <si>
    <t>Súpis parciel registra C</t>
  </si>
  <si>
    <t xml:space="preserve">Kód k.ú. </t>
  </si>
  <si>
    <t>Súpis parciel registra E</t>
  </si>
  <si>
    <t>A.2.1.14 Poskytnutie informácie z KN o súpise stavieb</t>
  </si>
  <si>
    <t>Súpis stavieb</t>
  </si>
  <si>
    <t>A.2.1.15 Poskytnutie informácie z KN o súpise vlastníkov</t>
  </si>
  <si>
    <t>A.2.1.16 Poskytnutie informácie z KN o súpise správcov</t>
  </si>
  <si>
    <t>A.2.1.17 Poskytnutie informácie z KN o súpise nájomcov</t>
  </si>
  <si>
    <t>A.2.1.18 Poskytnutie informácie z KN o súpise iných oprávnených osôb</t>
  </si>
  <si>
    <t>A.2.1.20 Poskytnutie informácie z KN na vybrané geodetické činnosti v KN</t>
  </si>
  <si>
    <t>Zoznam máp vo formáte VGI</t>
  </si>
  <si>
    <t>Banskobystrický kraj</t>
  </si>
  <si>
    <t>S-JTSK</t>
  </si>
  <si>
    <t>Účastník právneho vzťahu</t>
  </si>
  <si>
    <t>Druh právneho vzťahu</t>
  </si>
  <si>
    <t>Mapa</t>
  </si>
  <si>
    <t>ID mapy</t>
  </si>
  <si>
    <t>Katastrálna mapa WMS</t>
  </si>
  <si>
    <t>WebMercator + S-JTSK</t>
  </si>
  <si>
    <t>Katastrálna mapa WMS - inverzná</t>
  </si>
  <si>
    <t>Katastrálna mapa WMTS</t>
  </si>
  <si>
    <t>WebMercator</t>
  </si>
  <si>
    <t>Katastrálna mapa WMTS - inverzná</t>
  </si>
  <si>
    <t>Mapa určeného operátu WMS</t>
  </si>
  <si>
    <t>Mapa určeného operátu WMS - inverzná</t>
  </si>
  <si>
    <t>Mapa určeného operátu WMTS</t>
  </si>
  <si>
    <t>Mapa určeného operátu WMTS - inverzná</t>
  </si>
  <si>
    <t>Kód k.ú. + súpisné číslo + číslo nebytového priestoru</t>
  </si>
  <si>
    <t>Kód obce + súpisné číslo + číslo nebytového priestoru</t>
  </si>
  <si>
    <t>Názov obce + meno + priezvisko</t>
  </si>
  <si>
    <t>Názov k.ú. + meno + priezvisko</t>
  </si>
  <si>
    <t>Názov obce + názov</t>
  </si>
  <si>
    <t>Názov k.ú. + názov</t>
  </si>
  <si>
    <t>Kód k.ú. + číslo parcely registra E</t>
  </si>
  <si>
    <t>Kód k.ú. + súpisné číslo stavby</t>
  </si>
  <si>
    <t>Kód k.ú. + súpisné číslo stavby + číslo bytu</t>
  </si>
  <si>
    <t>Súpis bytov a nebytových priestorov</t>
  </si>
  <si>
    <t>Spoločná nehnuteľnosť</t>
  </si>
  <si>
    <t>Vizualizácia výpisu z listu vlastníctva - pdf</t>
  </si>
  <si>
    <t>Vizualizácia výpisu z listu vlastníctva - html</t>
  </si>
  <si>
    <t>Hlavička výpisu z listu vlastníctva</t>
  </si>
  <si>
    <t>Súpis vlastníkov - FOPO</t>
  </si>
  <si>
    <t>Súpis správcov - FOPO</t>
  </si>
  <si>
    <t>Súpis iných oprávnených osôb - FOPO</t>
  </si>
  <si>
    <t>Súpis nájomcov - FOPO</t>
  </si>
  <si>
    <t>Súpis vlastníkov - hash rodných čísiel</t>
  </si>
  <si>
    <t>Súpis správcov - hash rodných čísiel</t>
  </si>
  <si>
    <t>Súpis nájomcov - hash rodných čísiel</t>
  </si>
  <si>
    <t>Súpis iných oprávnených osôb - hash rodných čísiel</t>
  </si>
  <si>
    <t>Všetky pôvodné k.ú.</t>
  </si>
  <si>
    <t>Meno + priezvisko + rodné číslo fyzickej osoby</t>
  </si>
  <si>
    <t>Súpis vlastníkov - účastníci</t>
  </si>
  <si>
    <t>Súpis správcov - účastníci</t>
  </si>
  <si>
    <t>Súpis nájomcov - účastníci</t>
  </si>
  <si>
    <t>Súpis iných oprávnených osôb - účastníci</t>
  </si>
  <si>
    <t>Kód k.ú. +  číslo pôvodného k.ú. + číslo parcely registra E</t>
  </si>
  <si>
    <t>Kód k.ú. + súpisné číslo stavby + číslo nebytového priestoru</t>
  </si>
  <si>
    <t>Typy vpisov na liste vlastníctva</t>
  </si>
  <si>
    <t>https://eskn.skgeodesy.sk/eskn/rest/services/NR/kn_wmts_norm_sjtsk/MapServer/WMTS/1.0.0/WMTSCapabilities.xml</t>
  </si>
  <si>
    <t>https://eskn.skgeodesy.sk/eskn/rest/services/NR/kn_wmts_norm_wm/MapServer/WMTS/1.0.0/WMTSCapabilities.xml</t>
  </si>
  <si>
    <t>https://eskn.skgeodesy.sk/eskn/rest/services/NR/kn_wmts_orto_sjtsk/MapServer/WMTS/1.0.0/WMTSCapabilities.xml</t>
  </si>
  <si>
    <t>https://eskn.skgeodesy.sk/eskn/rest/services/NR/kn_wmts_orto_wm/MapServer/WMTS/1.0.0/WMTSCapabilities.xml</t>
  </si>
  <si>
    <t>https://eskn.skgeodesy.sk/eskn/rest/services/NR/uo_wmts_norm_sjtsk/MapServer/WMTS/1.0.0/WMTSCapabilities.xml</t>
  </si>
  <si>
    <t>https://eskn.skgeodesy.sk/eskn/rest/services/NR/uo_wmts_norm_wm/MapServer/WMTS/1.0.0/WMTSCapabilities.xml</t>
  </si>
  <si>
    <t>https://eskn.skgeodesy.sk/eskn/rest/services/NR/uo_wmts_orto_sjtsk/MapServer/WMTS/1.0.0/WMTSCapabilities.xml</t>
  </si>
  <si>
    <t>https://eskn.skgeodesy.sk/eskn/rest/services/NR/uo_wmts_orto_wm/MapServer/WMTS/1.0.0/WMTSCapabilities.xml</t>
  </si>
  <si>
    <t>Zoznam právnych vzťahov na LV nepriradených k účastníkovi</t>
  </si>
  <si>
    <t>https://eskn.skgeodesy.sk/odata/Regions?&amp;$select=Id,ValidTo,Code,Name&amp;$orderby=Name</t>
  </si>
  <si>
    <t>https://eskn.skgeodesy.sk/odata/Districts?&amp;$select=Id,ValidTo,Code,Name&amp;$expand=Region($select=Id,Code,Name)&amp;$orderby=Name</t>
  </si>
  <si>
    <t>https://eskn.skgeodesy.sk/odata/Municipalities?&amp;$select=Id,ValidTo,Code,Name&amp;$expand=District($select=Id,Code,Name)&amp;$orderby=Name</t>
  </si>
  <si>
    <t>https://eskn.skgeodesy.sk/odata/CadastralUnits?&amp;$select=Id,ValidTo,Code,Name&amp;$expand=Municipality($select=Id,Code,Name)&amp;$orderby=Name</t>
  </si>
  <si>
    <t>https://eskn.skgeodesy.sk/odata/OriginalCadastralUnits?$filter=Id gt 0&amp;$select=Id,ValidTo,Value,Code,Name&amp;$expand=CadastralUnit($select=Id,Code,Name)&amp;$orderby=Name</t>
  </si>
  <si>
    <t>https://eskn.skgeodesy.sk/odata/ProtectedProperties?$filter=Id gt 0&amp;$select=Id,ValidTo,Code,Name&amp;$orderby=Code</t>
  </si>
  <si>
    <t>https://eskn.skgeodesy.sk/odata/LandUses?$filter=Id%20gt%200&amp;$select=Id,ValidTo,Code,Name&amp;$orderby=Code</t>
  </si>
  <si>
    <t>https://eskn.skgeodesy.sk/odata/SharedProperties?$filter=Id%20gt%200&amp;$select=Id,ValidTo,Code,Name&amp;$orderby=Code</t>
  </si>
  <si>
    <t>https://eskn.skgeodesy.sk/odata/ParticipantTypes?$filter=Id%20gt%200&amp;$select=Id,ValidTo,Code,Name&amp;$orderby=Code</t>
  </si>
  <si>
    <t>https://eskn.skgeodesy.sk/odata/Affiliations?$filter=Id%20gt%200&amp;$select=Id,ValidTo,Code,Name&amp;$orderby=Code</t>
  </si>
  <si>
    <t>https://eskn.skgeodesy.sk/odata/Utilisations?$filter=Id%20gt%200&amp;$select=Id,ValidTo,Code,Name&amp;$orderby=Code</t>
  </si>
  <si>
    <t>https://eskn.skgeodesy.sk/odata/FolioPartTypes?$filter=Id%20gt%200&amp;$select=Id,ValidTo,Code,Name&amp;$orderby=Code</t>
  </si>
  <si>
    <t>https://eskn.skgeodesy.sk/odata/SpaceTypes?$filter=Id%20gt%200&amp;$select=Id,ValidTo,Code,Name&amp;$orderby=Code</t>
  </si>
  <si>
    <t>https://eskn.skgeodesy.sk/odata/ConstructionTypes?$filter=Id%20gt%200&amp;$select=Id,ValidTo,Code,Name&amp;$orderby=Code</t>
  </si>
  <si>
    <t>https://eskn.skgeodesy.sk/odata/OwnerTypes?$filter=Id%20gt%200&amp;$select=Id,ValidTo,Code,Name&amp;$orderby=Code</t>
  </si>
  <si>
    <t>https://eskn.skgeodesy.sk/odata/Localizations?$filter=Id%20gt%200&amp;$select=Id,ValidTo,Code,Name&amp;$orderby=Code</t>
  </si>
  <si>
    <t>https://eskn.skgeodesy.sk/odata/ConstructionLocalizations?$filter=Id%20gt%200&amp;$select=Id,ValidTo,Code,Name&amp;$orderby=Code</t>
  </si>
  <si>
    <t>https://eskn.skgeodesy.sk/odata/OwnershipTypes?$filter=Id%20gt%200&amp;$select=Id,ValidTo,Code,Name&amp;$orderby=Code</t>
  </si>
  <si>
    <t>https://eskn.skgeodesy.sk/odata/NonresidentialSpaceTypes?$filter=Id%20gt%200&amp;$select=Id,ValidTo,Code,Name&amp;$orderby=Code</t>
  </si>
  <si>
    <t>&lt;IČO&gt;</t>
  </si>
  <si>
    <t>&lt;ID FOPO&gt;</t>
  </si>
  <si>
    <t>&lt;kód k.ú.&gt;</t>
  </si>
  <si>
    <t>&lt;kód obce&gt;</t>
  </si>
  <si>
    <t>&lt;ID parcely&gt;</t>
  </si>
  <si>
    <t>&lt;ID stavby&gt;</t>
  </si>
  <si>
    <t>&lt;súpisné číslo&gt;</t>
  </si>
  <si>
    <t>&lt;ID priestoru&gt;</t>
  </si>
  <si>
    <t>&lt;ID účastníka&gt;</t>
  </si>
  <si>
    <t>&lt;ID LV&gt;</t>
  </si>
  <si>
    <t>&lt;kód kraja&gt;</t>
  </si>
  <si>
    <t>&lt;názov kraja&gt;</t>
  </si>
  <si>
    <t>&lt;ID kraja&gt;</t>
  </si>
  <si>
    <t>&lt;kód okresu&gt;</t>
  </si>
  <si>
    <t>&lt;názov okresu&gt;</t>
  </si>
  <si>
    <t>&lt;ID okresu&gt;</t>
  </si>
  <si>
    <t>&lt;názov obce&gt;</t>
  </si>
  <si>
    <t>&lt;ID obce&gt;</t>
  </si>
  <si>
    <t>&lt;názov k.ú.&gt;</t>
  </si>
  <si>
    <t>&lt;ID k.ú.&gt;</t>
  </si>
  <si>
    <t>&lt;ID pôv. k.ú.&gt;</t>
  </si>
  <si>
    <t>&lt;číslo parcely&gt;</t>
  </si>
  <si>
    <t>&lt;číslo LV&gt;</t>
  </si>
  <si>
    <t>&lt;ID mapy&gt;</t>
  </si>
  <si>
    <t>&lt;číslo p.k.ú.&gt;</t>
  </si>
  <si>
    <t>&lt;č. bytu&gt;</t>
  </si>
  <si>
    <t>&lt;č. nebyt. priestoru&gt;</t>
  </si>
  <si>
    <t>&lt;preskočiť&gt;</t>
  </si>
  <si>
    <t>&lt;parametre služby&gt;</t>
  </si>
  <si>
    <t>SERVICE=WMS&amp;REQUEST=GetCapabilities</t>
  </si>
  <si>
    <t>parameter</t>
  </si>
  <si>
    <t>príklad</t>
  </si>
  <si>
    <t>č.II</t>
  </si>
  <si>
    <t>max 12 miestny reťazec znakov [0-9; -/]</t>
  </si>
  <si>
    <t>671/1</t>
  </si>
  <si>
    <t>max 12 miestne číslo</t>
  </si>
  <si>
    <t>max 10 miestne číslo</t>
  </si>
  <si>
    <t>max 5 miestne číslo</t>
  </si>
  <si>
    <t>max 4 miestne číslo</t>
  </si>
  <si>
    <t>max 2 miestne číslo</t>
  </si>
  <si>
    <t>1 miestne číslo</t>
  </si>
  <si>
    <t>6 miestne číslo (začínajúce číslom 8 alebo 9)</t>
  </si>
  <si>
    <t>6 miestne číslo (začínajúce číslom 5)</t>
  </si>
  <si>
    <t>3 miestne číslo (začínajúce číslom 1 až 8)</t>
  </si>
  <si>
    <t>1 miestne číslo 1 až 8</t>
  </si>
  <si>
    <t>max 254 miestny reťazec znakov [a-z; A-Z; diakritika; -]</t>
  </si>
  <si>
    <t>Sokolce-Turi</t>
  </si>
  <si>
    <t>max 50 miestny reťazec znakov [ľubovoľné znaky]</t>
  </si>
  <si>
    <t>max 20 miestny reťazec znakov [a-z; A-Z; diakritika]</t>
  </si>
  <si>
    <t>Bratislava-Záhorská Bystrica</t>
  </si>
  <si>
    <t>Košice - okolie</t>
  </si>
  <si>
    <t>max 150 miestny reťazec znakov [ľubovoľné znaky]</t>
  </si>
  <si>
    <t>Slov. vodohospodársky podnik</t>
  </si>
  <si>
    <t>max 512 miestny reťazec znakov [ľubovoľné znaky]</t>
  </si>
  <si>
    <t>Turanec</t>
  </si>
  <si>
    <t>9-10 miestne číslo</t>
  </si>
  <si>
    <t>popis vstupu</t>
  </si>
  <si>
    <t>max 4 miestny reťazec znakov [ľubovoľné znaky]</t>
  </si>
  <si>
    <t>Ján</t>
  </si>
  <si>
    <t>&lt;meno&gt;</t>
  </si>
  <si>
    <t>&lt;názov&gt;</t>
  </si>
  <si>
    <t>&lt;priezvisko&gt;</t>
  </si>
  <si>
    <t>&lt;rodné číslo&gt;</t>
  </si>
  <si>
    <t>max 4096 miestny reťazec znakov [ľubovoľné znaky]</t>
  </si>
  <si>
    <t>https://eskn.skgeodesy.sk/odata/Subjects?$filter=IdNo eq 35826754&amp;$select=Id,ValidTo,Title,FirstName,Surname,BirthSurname,BirthDate,IdNo&amp;$expand=Address($select=Street,HouseNo,Municipality,Zip,State)</t>
  </si>
  <si>
    <t>https://eskn.skgeodesy.sk/odata/Subjects(731797041)/?$select=Id,ValidTo,Title,FirstName,Surname,BirthSurname,BirthDate,IdNo&amp;$expand=Address($select=Street,HouseNo,Municipality,Zip,State),Participants($select=Id)</t>
  </si>
  <si>
    <t>https://eskn.skgeodesy.sk/odata/ParcelsC/?&amp;$filter=CadastralUnit/Code eq 833657 and No eq '' and StatusId ne 3&amp;$select=Id,ValidTo,No,Area&amp;$expand=CadastralUnit($select=Id,Code,Name),Folio($select=Id,No;$expand=CadastralUnit($select=Id,Code,Name)),LandUse($select=Id,Code,Name),Utilisation($select=Id,Code,Name),Localization($select=Id,Code,Name),Affiliation($select=Id,Code,Name),OwnershipType($select=Id,Code,Name),OwnershipType($select=Id,Code,Name),SharedProperty($select=Id,Code,Name)</t>
  </si>
  <si>
    <t>https://eskn.skgeodesy.sk/odata/ParcelsC/?&amp;$filter=CadastralUnit/Code eq 833657 and Folio/No eq 422&amp;$select=Id,ValidTo,No,Area&amp;$expand=CadastralUnit($select=Id,Code,Name),Folio($select=Id,No;$expand=CadastralUnit($select=Id,Code,Name)),LandUse($select=Id,Code,Name),Utilisation($select=Id,Code,Name),Localization($select=Id,Code,Name),Affiliation($select=Id,Code,Name),OwnershipType($select=Id,Code,Name),OwnershipType($select=Id,Code,Name),SharedProperty($select=Id,Code,Name)</t>
  </si>
  <si>
    <t>https://eskn.skgeodesy.sk/odata/ParcelsC/?&amp;$filter=Municipality/Code eq 508756 and No eq '' and StatusId ne 3&amp;$select=Id,ValidTo,No,Area&amp;$expand=CadastralUnit($select=Id,Code,Name),Folio($select=Id,No;$expand=CadastralUnit($select=Id,Code,Name)),LandUse($select=Id,Code,Name),Utilisation($select=Id,Code,Name),Localization($select=Id,Code,Name),Affiliation($select=Id,Code,Name),OwnershipType($select=Id,Code,Name),OwnershipType($select=Id,Code,Name),SharedProperty($select=Id,Code,Name)</t>
  </si>
  <si>
    <t>https://eskn.skgeodesy.sk/odata/ParcelsC/?&amp;$filter=Municipality/Code eq 508756 and Folio/No eq 422&amp;$select=Id,ValidTo,No,Area&amp;$expand=CadastralUnit($select=Id,Code,Name),Folio($select=Id,No;$expand=CadastralUnit($select=Id,Code,Name)),LandUse($select=Id,Code,Name),Utilisation($select=Id,Code,Name),Localization($select=Id,Code,Name),Affiliation($select=Id,Code,Name),OwnershipType($select=Id,Code,Name),OwnershipType($select=Id,Code,Name),SharedProperty($select=Id,Code,Name)</t>
  </si>
  <si>
    <t>https://eskn.skgeodesy.sk/odata/ParcelsC(24938150)/?&amp;$select=Id,ValidTo,No,Area&amp;$expand=CadastralUnit($select=Id,Code,Name),Folio($select=Id,No;$expand=CadastralUnit($select=Id,Code,Name)),LandUse($select=Id,Code,Name),ProtectedParcelsC($select=Id;$expand=ProtectedProperty($select=Id,Code,Name)),Utilisation($select=Id,Code,Name),Localization($select=Id,Code,Name),Affiliation($select=Id,Code,Name),OwnershipType($select=Id,Code,Name),OwnershipType($select=Id,Code,Name),SharedProperty($select=Id,Code,Name)</t>
  </si>
  <si>
    <t>https://eskn.skgeodesy.sk/odata/ParcelsE/?&amp;$filter=CadastralUnit/Code eq 833657 and No eq '' and StatusId ne 3&amp;$select=Id,ValidTo,No,Area&amp;$expand=CadastralUnit($select=Id,Code,Name),OriginalCadastralUnit($select=Id,Value,Code,Name),Folio($select=Id,No;$expand=CadastralUnit($select=Id,Code,Name)),LandUse($select=Id,Code,Name),Localization($select=Id,Code,Name),OwnershipType($select=Id,Code,Name),SharedProperty($select=Id,Code,Name)</t>
  </si>
  <si>
    <t>https://eskn.skgeodesy.sk/odata/ParcelsE/?&amp;$filter=CadastralUnit/Code eq 833657 and Folio/No eq 875 and StatusId ne 3&amp;$select=Id,ValidTo,No,Area&amp;$expand=CadastralUnit($select=Id,Code,Name),OriginalCadastralUnit($select=Id,Value,Code,Name),Folio($select=Id,No;$expand=CadastralUnit($select=Id,Code,Name)),LandUse($select=Id,Code,Name),Localization($select=Id,Code,Name),OwnershipType($select=Id,Code,Name),SharedProperty($select=Id,Code,Name)</t>
  </si>
  <si>
    <t>https://eskn.skgeodesy.sk/odata/ParcelsE/?&amp;$filter=CadastralUnit/Code eq 833657 and No eq '' and OriginalCadastralUnitCode eq   and StatusId ne 3&amp;$select=Id,ValidTo,No,Area&amp;$expand=CadastralUnit($select=Id,Code,Name),OriginalCadastralUnit($select=Id,Value,Code,Name),Folio($select=Id,No;$expand=CadastralUnit($select=Id,Code,Name)),LandUse($select=Id,Code,Name),Localization($select=Id,Code,Name),OwnershipType($select=Id,Code,Name),SharedProperty($select=Id,Code,Name)</t>
  </si>
  <si>
    <t>https://eskn.skgeodesy.sk/odata/ParcelsE/?&amp;$filter=Municipality/Code eq 508756 and No eq '' and StatusId ne 3&amp;$select=Id,ValidTo,No,Area&amp;$expand=CadastralUnit($select=Id,Code,Name),OriginalCadastralUnit($select=Id,Value,Code,Name),Folio($select=Id,No;$expand=CadastralUnit($select=Id,Code,Name)),LandUse($select=Id,Code,Name),Localization($select=Id,Code,Name),OwnershipType($select=Id,Code,Name),SharedProperty($select=Id,Code,Name)</t>
  </si>
  <si>
    <t>https://eskn.skgeodesy.sk/odata/ParcelsE/?&amp;$filter=Municipality/Code eq 508756 and Folio/No eq 875 and StatusId ne 3&amp;$select=Id,ValidTo,No,Area&amp;$expand=CadastralUnit($select=Id,Code,Name),OriginalCadastralUnit($select=Id,Value,Code,Name),Folio($select=Id,No;$expand=CadastralUnit($select=Id,Code,Name)),LandUse($select=Id,Code,Name),Localization($select=Id,Code,Name),OwnershipType($select=Id,Code,Name),SharedProperty($select=Id,Code,Name)</t>
  </si>
  <si>
    <t>https://eskn.skgeodesy.sk/odata/ParcelsE(9172295)/?&amp;$select=Id,ValidTo,No,Area&amp;$expand=CadastralUnit($select=Id,Code,Name),OriginalCadastralUnit($select=Id,Value,Code,Name),Folio($select=Id,No;$expand=CadastralUnit($select=Id,Code,Name)),LandUse($select=Id,Code,Name),Localization($select=Id,Code,Name),OwnershipType($select=Id,Code,Name),SharedProperty($select=Id,Code,Name)</t>
  </si>
  <si>
    <t>https://eskn.skgeodesy.sk/odata/Constructions/?&amp;$filter=CadastralUnit/Code eq 833657 and ParcelsC/any(p: p/No eq '542')&amp;$select=Id,ValidTo,HouseNo,Description,SitePart&amp;$expand=Folio($select=Id,No;$expand=CadastralUnit($select=Id,Code,Name)),Type($select=Id,Name,Code),Localization($select=Id,Code,Name),ProtectedProperty($select=Id,Code,Name)</t>
  </si>
  <si>
    <t>https://eskn.skgeodesy.sk/odata/Constructions/?&amp;$filter=CadastralUnit/Code eq 833657 and Folio/No eq 422&amp;$select=Id,ValidTo,HouseNo,Description,SitePart&amp;$expand=Folio($select=Id,No;$expand=CadastralUnit($select=Id,Code,Name)),Type($select=Id,Name,Code),Localization($select=Id,Code,Name),ProtectedProperty($select=Id,Code,Name)</t>
  </si>
  <si>
    <t>https://eskn.skgeodesy.sk/odata/Constructions/?&amp;$filter=CadastralUnit/Code eq 833657 and HouseNo eq 141&amp;$select=Id,ValidTo,HouseNo,Description,SitePart&amp;$expand=Folio($select=Id,No;$expand=CadastralUnit($select=Id,Code,Name)),Type($select=Id,Name,Code),Localization($select=Id,Code,Name),ProtectedProperty($select=Id,Code,Name)</t>
  </si>
  <si>
    <t>https://eskn.skgeodesy.sk/odata/Constructions/?&amp;$filter=Municipality/Code eq 508756 and ParcelsC/any(p: p/No eq '542')&amp;$select=Id,ValidTo,HouseNo,Description,SitePart&amp;$expand=Folio($select=Id,No;$expand=CadastralUnit($select=Id,Code,Name)),Type($select=Id,Name,Code),Localization($select=Id,Code,Name),ProtectedProperty($select=Id,Code,Name)</t>
  </si>
  <si>
    <t>https://eskn.skgeodesy.sk/odata/Constructions/?&amp;$filter=Municipality/Code eq 508756 and Folio/No eq 422&amp;$select=Id,ValidTo,HouseNo,Description,SitePart&amp;$expand=Folio($select=Id,No;$expand=CadastralUnit($select=Id,Code,Name)),Type($select=Id,Name,Code),Localization($select=Id,Code,Name),ProtectedProperty($select=Id,Code,Name)</t>
  </si>
  <si>
    <t>https://eskn.skgeodesy.sk/odata/Constructions/?&amp;$filter=Municipality/Code eq 508756 and HouseNo eq 141&amp;$select=Id,ValidTo,HouseNo,Description,SitePart&amp;$expand=Folio($select=Id,No;$expand=CadastralUnit($select=Id,Code,Name)),Type($select=Id,Name,Code),Localization($select=Id,Code,Name),ProtectedProperty($select=Id,Code,Name)</t>
  </si>
  <si>
    <t>https://eskn.skgeodesy.sk/odata/Constructions(5686880)?$select=Id,ValidTo,HouseNo,Description,SitePart&amp;$expand=ParcelsC($select=Id),Folio($select=Id,No;$expand=CadastralUnit($select=Id,Code,Name)),Type($select=Id,Name,Code),Localization($select=Id,Code,Name),ProtectedProperty($select=Id,Code,Name)</t>
  </si>
  <si>
    <t>https://eskn.skgeodesy.sk/odata/Spaces/?&amp;$filter=Entrance/HouseNo eq 1171 and CadastralUnit/Code eq 804959&amp;$select=Id,ValidTo,FlatNo,NonresidentialNo,FloorNo,Numerator,Denominator&amp;$expand=Type($select=Id,Code,Name),NonresidentialType($select=Id,Code,Name),Entrance($select=Id,Label,HouseNo,SitePart),Construction($select=Id,HouseNo;$expand=Folio($select=Id,No;$expand=CadastralUnit($select=Id,Code,Name)))</t>
  </si>
  <si>
    <t>https://eskn.skgeodesy.sk/odata/Spaces/?&amp;$filter=Entrance/HouseNo eq 1171 and CadastralUnit/Code eq 804959 and FlatNo eq 122&amp;$select=Id,ValidTo,FlatNo,NonresidentialNo,FloorNo,Numerator,Denominator&amp;$expand=Type($select=Id,Code,Name),NonresidentialType($select=Id,Code,Name),Entrance($select=Id,Label,HouseNo,SitePart),Construction($select=Id,HouseNo;$expand=Folio($select=Id,No;$expand=CadastralUnit($select=Id,Code,Name)))</t>
  </si>
  <si>
    <t>https://eskn.skgeodesy.sk/odata/Spaces/?&amp;$filter=Entrance/HouseNo eq 1171 and CadastralUnit/Code eq 804959 and NonresidentialNo eq '189'&amp;$select=Id,ValidTo,FlatNo,NonresidentialNo,FloorNo,Numerator,Denominator&amp;$expand=Type($select=Id,Code,Name),NonresidentialType($select=Id,Code,Name),Entrance($select=Id,Label,HouseNo,SitePart),Construction($select=Id,HouseNo;$expand=Folio($select=Id,No;$expand=CadastralUnit($select=Id,Code,Name)))</t>
  </si>
  <si>
    <t>https://eskn.skgeodesy.sk/odata/Spaces/?&amp;$filter=CadastralUnit/Code eq 804959 and Construction/Folio/No eq 2436&amp;$select=Id,ValidTo,FlatNo,NonresidentialNo,FloorNo,Numerator,Denominator&amp;$expand=Type($select=Id,Code,Name),NonresidentialType($select=Id,Code,Name),Entrance($select=Id,Label,HouseNo,SitePart),Construction($select=Id,HouseNo;$expand=Folio($select=Id,No;$expand=CadastralUnit($select=Id,Code,Name)))</t>
  </si>
  <si>
    <t>https://eskn.skgeodesy.sk/odata/Spaces/?&amp;$filter=Municipality/Code eq 529460 and Entrance/HouseNo eq 1171&amp;$select=Id,ValidTo,FlatNo,NonresidentialNo,FloorNo,Numerator,Denominator&amp;$expand=Type($select=Id,Code,Name),NonresidentialType($select=Id,Code,Name),Entrance($select=Id,Label,HouseNo,SitePart),Construction($select=Id,HouseNo;$expand=Folio($select=Id,No;$expand=CadastralUnit($select=Id,Code,Name)))</t>
  </si>
  <si>
    <t>https://eskn.skgeodesy.sk/odata/Spaces/?&amp;$filter=Municipality/Code eq 529460 and Entrance/HouseNo eq 1171 and FlatNo eq 122&amp;$select=Id,ValidTo,FlatNo,NonresidentialNo,FloorNo,Numerator,Denominator&amp;$expand=Type($select=Id,Code,Name),NonresidentialType($select=Id,Code,Name),Entrance($select=Id,Label,HouseNo,SitePart),Construction($select=Id,HouseNo;$expand=Folio($select=Id,No;$expand=CadastralUnit($select=Id,Code,Name)))</t>
  </si>
  <si>
    <t>https://eskn.skgeodesy.sk/odata/Spaces/?&amp;$filter=Municipality/Code eq 529460 and Entrance/HouseNo eq 1171 and NonresidentialNo eq '189'&amp;$select=Id,ValidTo,FlatNo,NonresidentialNo,FloorNo,Numerator,Denominator&amp;$expand=Type($select=Id,Code,Name),NonresidentialType($select=Id,Code,Name),Entrance($select=Id,Label,HouseNo,SitePart),Construction($select=Id,HouseNo;$expand=Folio($select=Id,No;$expand=CadastralUnit($select=Id,Code,Name)))</t>
  </si>
  <si>
    <t>https://eskn.skgeodesy.sk/odata/Spaces/?&amp;$filter=Municipality/Code eq 529460 and Construction/Folio/No eq 2436&amp;$select=Id,ValidTo,FlatNo,NonresidentialNo,FloorNo,Numerator,Denominator&amp;$expand=Type($select=Id,Code,Name),NonresidentialType($select=Id,Code,Name),Entrance($select=Id,Label,HouseNo,SitePart),Construction($select=Id,HouseNo;$expand=Folio($select=Id,No;$expand=CadastralUnit($select=Id,Code,Name)))</t>
  </si>
  <si>
    <t>https://eskn.skgeodesy.sk/odata/Spaces(106256017)/?&amp;$select=Id,ValidTo,FlatNo,NonresidentialNo,FloorNo,Numerator,Denominator&amp;$expand=SpaceRecords($select=SpaceId;$expand=OwnershipRecord($select=Id;$expand=Folio($select=Id,No;$expand=CadastralUnit($select=Id,Code,Name)))),Type($select=Id,Code,Name),NonresidentialType($select=Id,Code,Name),Entrance($select=Id,Label,HouseNo,SitePart),Construction($select=Id,HouseNo;$expand=Folio($select=Id,No;$expand=CadastralUnit($select=Id,Code,Name)))</t>
  </si>
  <si>
    <t>https://eskn.skgeodesy.sk/odata/Participants/?$filter=CadastralUnit/Code eq 804959 and Subjects/any(p: p/Id eq  28576586) &amp;$select=Id,ValidTo,Name,Numerator,Denominator,Notes&amp;$expand=Type($select=Id,Code,Name),OwnerType($select=Id,Code,Name),OwnershipRecord($select=Order;$expand=Folio($select=Id,No;$expand=CadastralUnit($select=Id,Code,Name)))</t>
  </si>
  <si>
    <t>https://eskn.skgeodesy.sk/odata/Participants/?$filter=CadastralUnit/Code eq 833657 and OwnershipRecord/Folio/ParcelsC/any(p: p/No eq '542')&amp;$select=Id,ValidTo,Name,Numerator,Denominator,Notes&amp;$expand=Type($select=Id,Code,Name),OwnerType($select=Id,Code,Name),OwnershipRecord($select=Order;$expand=Folio($select=Id,No;$expand=CadastralUnit($select=Id,Code,Name)))</t>
  </si>
  <si>
    <t>https://eskn.skgeodesy.sk/odata/Participants/?$filter=CadastralUnit/Code eq 833657 and OwnershipRecord/Folio/ParcelsE/any(p: p/No eq '272/1')&amp;$select=Id,ValidTo,Name,Numerator,Denominator,Notes&amp;$expand=Type($select=Id,Code,Name),OwnerType($select=Id,Code,Name),OwnershipRecord($select=Order;$expand=Folio($select=Id,No;$expand=CadastralUnit($select=Id,Code,Name)))</t>
  </si>
  <si>
    <t>https://eskn.skgeodesy.sk/odata/Participants/?$filter=CadastralUnit/Code eq 833657 and OwnershipRecord/Folio/ParcelsE/any(p: p/No eq '' and p/OriginalCadastralUnitCode eq   )&amp;$select=Id,ValidTo,Name,Numerator,Denominator,Notes&amp;$expand=Type($select=Id,Code,Name),OwnerType($select=Id,Code,Name),OwnershipRecord($select=Order;$expand=Folio($select=Id,No;$expand=CadastralUnit($select=Id,Code,Name)))</t>
  </si>
  <si>
    <t>https://eskn.skgeodesy.sk/odata/Participants/?$filter=CadastralUnit/Code eq 833657 and OwnershipRecord/Folio/Constructions/any(p: p/HouseNo eq 141)&amp;$select=Id,ValidTo,Name,Numerator,Denominator,Notes&amp;$expand=Type($select=Id,Code,Name),OwnerType($select=Id,Code,Name),OwnershipRecord($select=Order;$expand=Folio($select=Id,No;$expand=CadastralUnit($select=Id,Code,Name)))</t>
  </si>
  <si>
    <t>https://eskn.skgeodesy.sk/odata/Participants/?$filter=CadastralUnit/Code eq 804959 and OwnershipRecord/Folio/Constructions/any(p: p/HouseNo eq 1171) and OwnershipRecord/SpaceRecords/any(p: p/Space/FlatNo eq 122)&amp;$select=Id,ValidTo,Name,Numerator,Denominator,Notes&amp;$expand=Type($select=Id,Code,Name),OwnerType($select=Id,Code,Name),OwnershipRecord($select=Order;$expand=Folio($select=Id,No;$expand=CadastralUnit($select=Id,Code,Name)))</t>
  </si>
  <si>
    <t>https://eskn.skgeodesy.sk/odata/Participants/?$filter=CadastralUnit/Code eq 804959 and OwnershipRecord/Folio/Constructions/any(p: p/HouseNo eq 1171) and OwnershipRecord/SpaceRecords/any(p: p/Space/NonresidentialNo eq '189')&amp;$select=Id,ValidTo,Name,Numerator,Denominator,Notes&amp;$expand=Type($select=Id,Code,Name),OwnerType($select=Id,Code,Name),OwnershipRecord($select=Order;$expand=Folio($select=Id,No;$expand=CadastralUnit($select=Id,Code,Name)))</t>
  </si>
  <si>
    <t>https://eskn.skgeodesy.sk/odata/Participants(2050459039)/?&amp;$select=Id,ValidTo,Name,Numerator,Denominator,Notes&amp;$expand=Type($select=Id,Code,Name),OwnerType($select=Id,Code,Name),OwnershipRecord($select=Order;$expand=Folio($select=Id,No;$expand=CadastralUnit($select=Id,Code,Name),ParcelsC($select=Id),ParcelsE($select=Id),Constructions($select=Id)),SpaceRecords($select=Numerator,Denominator;$expand=Space($select=Id)),LegalRightRecords($select=LegalRightId;$expand=FolioPartType($select=Id,Code,Name),LegalRight($select=Id,Text,TextFull)))</t>
  </si>
  <si>
    <t>https://eskn.skgeodesy.sk/odata/Folios(353934994)/?&amp;$select=Id,ValidTo,No&amp;$expand=CadastralUnit($select=Id,Code,Name),Records($filter=Order eq 0;$select=Id;$expand=LegalRightRecords($select=LegalRightId;$expand=FolioPartType($select=Id,Code,Name),LegalRight($select=Id,Text,TextFull)))</t>
  </si>
  <si>
    <t>https://eskn.skgeodesy.sk/odata/Regions?$filter=Code eq 6&amp;$select=Id,ValidTo,Code,Name&amp;$orderby=Name</t>
  </si>
  <si>
    <t>https://eskn.skgeodesy.sk/odata/Regions?$filter=Name eq 'Banskobystrický kraj'&amp;$select=Id,ValidTo,Code,Name&amp;$orderby=Name</t>
  </si>
  <si>
    <t>https://eskn.skgeodesy.sk/odata/Regions?$filter=Id eq 6&amp;$select=Id,ValidTo,Code,Name&amp;$orderby=Name</t>
  </si>
  <si>
    <t>https://eskn.skgeodesy.sk/odata/Districts?$filter=Region/Code eq 6&amp;$select=Id,ValidTo,Code,Name&amp;$expand=Region($select=Id,Code,Name)&amp;$orderby=Name</t>
  </si>
  <si>
    <t>https://eskn.skgeodesy.sk/odata/Districts?$filter=Code eq 601&amp;$select=Id,ValidTo,Code,Name&amp;$expand=Region($select=Id,Code,Name)&amp;$orderby=Name</t>
  </si>
  <si>
    <t>https://eskn.skgeodesy.sk/odata/Districts?$filter=Name eq 'Banská Bystrica'&amp;$select=Id,ValidTo,Code,Name&amp;$expand=Region($select=Id,Code,Name)&amp;$orderby=Name</t>
  </si>
  <si>
    <t>https://eskn.skgeodesy.sk/odata/Districts?$filter=Id eq 43&amp;$select=Id,ValidTo,Code,Name&amp;$expand=Region($select=Id,Code,Name)&amp;$orderby=Name</t>
  </si>
  <si>
    <t>https://eskn.skgeodesy.sk/odata/Municipalities?$filter=District/Code eq 601&amp;$select=Id,ValidTo,Code,Name&amp;$expand=District($select=Id,Code,Name)&amp;$orderby=Name</t>
  </si>
  <si>
    <t>https://eskn.skgeodesy.sk/odata/Municipalities?$filter=Code eq 508756&amp;$select=Id,ValidTo,Code,Name&amp;$expand=District($select=Id,Code,Name)&amp;$orderby=Name</t>
  </si>
  <si>
    <t>https://eskn.skgeodesy.sk/odata/Municipalities?$filter=Name eq 'Lučatín'&amp;$select=Id,ValidTo,Code,Name&amp;$expand=District($select=Id,Code,Name)&amp;$orderby=Name</t>
  </si>
  <si>
    <t>https://eskn.skgeodesy.sk/odata/Municipalities?$filter=Id eq 1366&amp;$select=Id,ValidTo,Code,Name&amp;$expand=District($select=Id,Code,Name)&amp;$orderby=Name</t>
  </si>
  <si>
    <t>https://eskn.skgeodesy.sk/odata/CadastralUnits?$filter=Municipality/Code eq 508756&amp;$select=Id,ValidTo,Code,Name&amp;$expand=Municipality($select=Id,Code,Name)&amp;$orderby=Name</t>
  </si>
  <si>
    <t>https://eskn.skgeodesy.sk/odata/CadastralUnits?$filter=Code eq 833657&amp;$select=Id,ValidTo,Code,Name&amp;$expand=Municipality($select=Id,Code,Name)&amp;$orderby=Name</t>
  </si>
  <si>
    <t>https://eskn.skgeodesy.sk/odata/CadastralUnits?$filter=Name eq 'Lučatín'&amp;$select=Id,ValidTo,Code,Name&amp;$expand=Municipality($select=Id,Code,Name)&amp;$orderby=Name</t>
  </si>
  <si>
    <t>https://eskn.skgeodesy.sk/odata/CadastralUnits?$filter=Id eq 606&amp;$select=Id,ValidTo,Code,Name&amp;$expand=Municipality($select=Id,Code,Name)&amp;$orderby=Name</t>
  </si>
  <si>
    <t>https://eskn.skgeodesy.sk/odata/OriginalCadastralUnits?$filter=CadastralUnit/Code eq 804959 and Id gt 0&amp;$select=Id,ValidTo,Value,Code,Name&amp;$expand=CadastralUnit($select=Id,Code,Name)&amp;$orderby=Name</t>
  </si>
  <si>
    <t>https://eskn.skgeodesy.sk/odata/OriginalCadastralUnits?$filter=Id eq 14600&amp;$select=Id,ValidTo,Value,Code,Name&amp;$expand=CadastralUnit($select=Id,Code,Name)&amp;$orderby=Name</t>
  </si>
  <si>
    <t>https://eskn.skgeodesy.sk/odata/Folios/?$filter=CadastralUnit/Code eq 833657 and No eq 422&amp;$select=Id,ValidTo,No,HasCaveats,IdentificationDate&amp;$expand=CadastralUnit($select=Id,Code,Name;$expand=Municipality($select=Id,Code,Name;$expand=District($select=Id,Code,Name)))</t>
  </si>
  <si>
    <t>https://eskn.skgeodesy.sk/odata/Folios?$filter=ParcelsC/any(d:d/No eq '542') and CadastralUnit/Code eq 833657&amp;$select=Id,ValidTo,No,HasCaveats,IdentificationDate&amp;$expand=CadastralUnit($select=Id,Code,Name;$expand=Municipality($select=Id,Code,Name;$expand=District($select=Id,Code,Name)))</t>
  </si>
  <si>
    <t>https://eskn.skgeodesy.sk/odata/Folios?$filter=ParcelsE/any(d:d/No eq '272/1') and CadastralUnit/Code eq 833657&amp;$select=Id,ValidTo,No,HasCaveats,IdentificationDate&amp;$expand=CadastralUnit($select=Id,Code,Name;$expand=Municipality($select=Id,Code,Name;$expand=District($select=Id,Code,Name)))</t>
  </si>
  <si>
    <t>https://eskn.skgeodesy.sk/odata/Folios?$filter=Constructions/any(d:d/HouseNo eq 141) and CadastralUnit/Code eq 833657&amp;$select=Id,ValidTo,No,HasCaveats,IdentificationDate&amp;$expand=CadastralUnit($select=Id,Code,Name;$expand=Municipality($select=Id,Code,Name;$expand=District($select=Id,Code,Name)))</t>
  </si>
  <si>
    <t>https://eskn.skgeodesy.sk/odata/Folios/?$filter=Id eq 353934994&amp;$select=Id,ValidTo,No,HasCaveats,IdentificationDate&amp;$expand=CadastralUnit($select=Id,Code,Name;$expand=Municipality($select=Id,Code,Name;$expand=District($select=Id,Code,Name)))</t>
  </si>
  <si>
    <t>https://eskn.skgeodesy.sk/EsknBo/Bo.svc/GeneratePrf?prfNumber=422&amp;cadastralUnitCode=833657&amp;outputType=pdf</t>
  </si>
  <si>
    <t>https://eskn.skgeodesy.sk/EsknBo/Bo.svc/GeneratePrf?parcelC=542&amp;cadastralUnitCode=833657&amp;outputType=pdf</t>
  </si>
  <si>
    <t>https://eskn.skgeodesy.sk/EsknBo/Bo.svc/GeneratePrf?parcelE=272/1&amp;cadastralUnitCode=833657&amp;outputType=pdf</t>
  </si>
  <si>
    <t>https://eskn.skgeodesy.sk/EsknBo/Bo.svc/GeneratePrf?houseNo=141&amp;cadastralUnitCode=833657&amp;outputType=pdf</t>
  </si>
  <si>
    <t>https://eskn.skgeodesy.sk/EsknBo/Bo.svc/GeneratePrf?prfId=353934994&amp;outputType=pdf</t>
  </si>
  <si>
    <t>https://eskn.skgeodesy.sk/EsknBo/Bo.svc/GeneratePrf?prfNumber=422&amp;cadastralUnitCode=833657&amp;outputType=html</t>
  </si>
  <si>
    <t>https://eskn.skgeodesy.sk/EsknBo/Bo.svc/GeneratePrf?parcelC=542&amp;cadastralUnitCode=833657&amp;outputType=html</t>
  </si>
  <si>
    <t>https://eskn.skgeodesy.sk/EsknBo/Bo.svc/GeneratePrf?parcelE=272/1&amp;cadastralUnitCode=833657&amp;outputType=html</t>
  </si>
  <si>
    <t>https://eskn.skgeodesy.sk/EsknBo/Bo.svc/GeneratePrf?houseNo=141&amp;cadastralUnitCode=833657&amp;outputType=html</t>
  </si>
  <si>
    <t>https://eskn.skgeodesy.sk/EsknBo/Bo.svc/GeneratePrf?prfId=353934994&amp;outputType=html</t>
  </si>
  <si>
    <t>https://eskn.skgeodesy.sk/odata/ParcelsC/?&amp;$filter=CadastralUnit/Code eq 833657 and StatusId ne 3&amp;$select=Id,ValidTo,No,Area&amp;$expand=CadastralUnit($select=Id,Code,Name),Folio($select=Id,No;$expand=CadastralUnit($select=Id,Code,Name)),LandUse($select=Id,Code,Name),Utilisation($select=Id,Code,Name),Localization($select=Id,Code,Name),Affiliation($select=Id,Code,Name),OwnershipType($select=Id,Code,Name),OwnershipType($select=Id,Code,Name),SharedProperty($select=Id,Code,Name)</t>
  </si>
  <si>
    <t>https://eskn.skgeodesy.sk/odata/ParcelsC/?&amp;$filter=Municipality/Code eq 508756 and StatusId ne 3&amp;$select=Id,ValidTo,No,Area&amp;$expand=CadastralUnit($select=Id,Code,Name),Folio($select=Id,No;$expand=CadastralUnit($select=Id,Code,Name)),LandUse($select=Id,Code,Name),Utilisation($select=Id,Code,Name),Localization($select=Id,Code,Name),Affiliation($select=Id,Code,Name),OwnershipType($select=Id,Code,Name),OwnershipType($select=Id,Code,Name),SharedProperty($select=Id,Code,Name)</t>
  </si>
  <si>
    <t>https://eskn.skgeodesy.sk/odata/ParcelsE/?&amp;$filter=CadastralUnit/Code eq 833657 and StatusId ne 3&amp;$select=Id,ValidTo,No,Area&amp;$expand=CadastralUnit($select=Id,Code,Name),OriginalCadastralUnit($select=Id,Value,Code,Name),Folio($select=Id,No;$expand=CadastralUnit($select=Id,Code,Name)),LandUse($select=Id,Code,Name),Localization($select=Id,Code,Name),OwnershipType($select=Id,Code,Name),SharedProperty($select=Id,Code,Name)</t>
  </si>
  <si>
    <t>https://eskn.skgeodesy.sk/odata/ParcelsE/?&amp;$filter=Municipality/Code eq 508756 and StatusId ne 3&amp;$select=Id,ValidTo,No,Area&amp;$expand=CadastralUnit($select=Id,Code,Name),OriginalCadastralUnit($select=Id,Value,Code,Name),Folio($select=Id,No;$expand=CadastralUnit($select=Id,Code,Name)),LandUse($select=Id,Code,Name),Localization($select=Id,Code,Name),OwnershipType($select=Id,Code,Name),SharedProperty($select=Id,Code,Name)</t>
  </si>
  <si>
    <t>https://eskn.skgeodesy.sk/odata/Constructions/?&amp;$filter=CadastralUnit/Code eq 833657&amp;$select=Id,ValidTo,HouseNo,Description,SitePart&amp;$expand=Folio($select=Id,No;$expand=CadastralUnit($select=Id,Code,Name)),Type($select=Id,Name,Code),Localization($select=Id,Code,Name),ProtectedProperty($select=Id,Code,Name)</t>
  </si>
  <si>
    <t>https://eskn.skgeodesy.sk/odata/Constructions/?&amp;$filter=Municipality/Code eq 508756&amp;$select=Id,ValidTo,HouseNo,Description,SitePart&amp;$expand=Folio($select=Id,No;$expand=CadastralUnit($select=Id,Code,Name)),Type($select=Id,Name,Code),Localization($select=Id,Code,Name),ProtectedProperty($select=Id,Code,Name)</t>
  </si>
  <si>
    <t>https://eskn.skgeodesy.sk/odata/Spaces/?&amp;$filter=CadastralUnit/Code eq 833657&amp;$select=Id,ValidTo,FlatNo,NonresidentialNo,FloorNo,Numerator,Denominator&amp;$expand=Type($select=Id,Code,Name),NonresidentialType($select=Id,Code,Name),Entrance($select=Id,Label,HouseNo,SitePart),Construction($select=Id,HouseNo;$expand=Folio($select=Id,No;$expand=CadastralUnit($select=Id,Code,Name)))</t>
  </si>
  <si>
    <t>https://eskn.skgeodesy.sk/odata/Spaces/?&amp;$filter=Municipality/Code eq 508756&amp;$select=Id,ValidTo,FlatNo,NonresidentialNo,FloorNo,Numerator,Denominator&amp;$expand=Type($select=Id,Code,Name),NonresidentialType($select=Id,Code,Name),Entrance($select=Id,Label,HouseNo,SitePart),Construction($select=Id,HouseNo;$expand=Folio($select=Id,No;$expand=CadastralUnit($select=Id,Code,Name)))</t>
  </si>
  <si>
    <t>https://eskn.skgeodesy.sk/odata/Subjects?$filter=Participants/any(p: p/CadastralUnitId eq 754 and p/Type/Code eq 1)&amp;$select=Id,ValidTo,Title,FirstName,Surname,BirthSurname,BirthDate,IdNo&amp;$expand=Address($select=Street,HouseNo,Municipality,Zip,State)</t>
  </si>
  <si>
    <t>https://eskn.skgeodesy.sk/odata/Subjects?$filter=Participants/any(p: p/CadastralUnit/Code eq 833657 and p/Type/Code eq 1)&amp;$select=Id,ValidTo,Title,FirstName,Surname,BirthSurname,BirthDate,IdNo&amp;$expand=Address($select=Street,HouseNo,Municipality,Zip,State)</t>
  </si>
  <si>
    <t>https://eskn.skgeodesy.sk/odata/Subjects?$filter=Participants/any(p: p/ Municipality/Code eq 508756 and p/Type/Code eq 1)&amp;$select=Id,ValidTo,Title,FirstName,Surname,BirthSurname,BirthDate,IdNo&amp;$expand=Address($select=Street,HouseNo,Municipality,Zip,State)</t>
  </si>
  <si>
    <t>https://eskn.skgeodesy.sk/odata/Participants?$filter=Type/Code eq 1 and CadastralUnitId eq 754&amp;$select=Id,ValidTo,Name,Numerator,Denominator,Notes&amp;$expand=Type($select=Id,Code,Name),OwnerType($select=Id,Code,Name),OwnershipRecord($select=Order;$expand=Folio($select=Id,No;$expand=CadastralUnit($select=Id,Code,Name)))</t>
  </si>
  <si>
    <t>https://eskn.skgeodesy.sk/odata/Participants?$filter=Type/Code eq 1 and CadastralUnit/Code eq 833657&amp;$select=Id,ValidTo,Name,Numerator,Denominator,Notes&amp;$expand=Type($select=Id,Code,Name),OwnerType($select=Id,Code,Name),OwnershipRecord($select=Order;$expand=Folio($select=Id,No;$expand=CadastralUnit($select=Id,Code,Name)))</t>
  </si>
  <si>
    <t>https://eskn.skgeodesy.sk/odata/Participants?$filter=Type/Code eq 1 and Municipality/Code eq 508756&amp;$select=Id,ValidTo,Name,Numerator,Denominator,Notes&amp;$expand=Type($select=Id,Code,Name),OwnerType($select=Id,Code,Name),OwnershipRecord($select=Order;$expand=Folio($select=Id,No;$expand=CadastralUnit($select=Id,Code,Name)))</t>
  </si>
  <si>
    <t>https://eskn.skgeodesy.sk/EsknBo/Subject.svc/GetSubjects?cadastralUnitCode=833657&amp;participantType=1</t>
  </si>
  <si>
    <t>https://eskn.skgeodesy.sk/EsknBo/Subject.svc/GetSubjects?municipalityCode=508756&amp;participantType=1</t>
  </si>
  <si>
    <t>https://eskn.skgeodesy.sk/odata/Subjects?$filter=Participants/any(p: p/CadastralUnitId eq 754 and p/Type/Code eq 2)&amp;$select=Id,ValidTo,Title,FirstName,Surname,BirthSurname,BirthDate,IdNo&amp;$expand=Address($select=Street,HouseNo,Municipality,Zip,State)</t>
  </si>
  <si>
    <t>https://eskn.skgeodesy.sk/odata/Subjects?$filter=Participants/any(p: p/CadastralUnit/Code eq 833657 and p/Type/Code eq 2)&amp;$select=Id,ValidTo,Title,FirstName,Surname,BirthSurname,BirthDate,IdNo&amp;$expand=Address($select=Street,HouseNo,Municipality,Zip,State)</t>
  </si>
  <si>
    <t>https://eskn.skgeodesy.sk/odata/Subjects?$filter=Participants/any(p: p/ Municipality/Code eq 508756 and p/Type/Code eq 2)&amp;$select=Id,ValidTo,Title,FirstName,Surname,BirthSurname,BirthDate,IdNo&amp;$expand=Address($select=Street,HouseNo,Municipality,Zip,State)</t>
  </si>
  <si>
    <t>https://eskn.skgeodesy.sk/odata/Participants?$filter=Type/Code eq 2 and CadastralUnitId eq 754&amp;$select=Id,ValidTo,Name,Numerator,Denominator,Notes&amp;$expand=Type($select=Id,Code,Name),OwnerType($select=Id,Code,Name),OwnershipRecord($select=Order;$expand=Folio($select=Id,No;$expand=CadastralUnit($select=Id,Code,Name)))</t>
  </si>
  <si>
    <t>https://eskn.skgeodesy.sk/odata/Participants?$filter=Type/Code eq 2 and CadastralUnit/Code eq 833657&amp;$select=Id,ValidTo,Name,Numerator,Denominator,Notes&amp;$expand=Type($select=Id,Code,Name),OwnerType($select=Id,Code,Name),OwnershipRecord($select=Order;$expand=Folio($select=Id,No;$expand=CadastralUnit($select=Id,Code,Name)))</t>
  </si>
  <si>
    <t>https://eskn.skgeodesy.sk/odata/Participants?$filter=Type/Code eq 2 and Municipality/Code eq 508756&amp;$select=Id,ValidTo,Name,Numerator,Denominator,Notes&amp;$expand=Type($select=Id,Code,Name),OwnerType($select=Id,Code,Name),OwnershipRecord($select=Order;$expand=Folio($select=Id,No;$expand=CadastralUnit($select=Id,Code,Name)))</t>
  </si>
  <si>
    <t>https://eskn.skgeodesy.sk/EsknBo/Subject.svc/GetSubjects?cadastralUnitCode=833657&amp;participantType=2</t>
  </si>
  <si>
    <t>https://eskn.skgeodesy.sk/EsknBo/Subject.svc/GetSubjects?municipalityCode=508756&amp;participantType=2</t>
  </si>
  <si>
    <t>https://eskn.skgeodesy.sk/odata/Subjects?$filter=Participants/any(p: p/CadastralUnitId eq 754 and p/Type/Code eq 3)&amp;$select=Id,ValidTo,Title,FirstName,Surname,BirthSurname,BirthDate,IdNo&amp;$expand=Address($select=Street,HouseNo,Municipality,Zip,State)</t>
  </si>
  <si>
    <t>https://eskn.skgeodesy.sk/odata/Subjects?$filter=Participants/any(p: p/CadastralUnit/Code eq 833657 and p/Type/Code eq 3)&amp;$select=Id,ValidTo,Title,FirstName,Surname,BirthSurname,BirthDate,IdNo&amp;$expand=Address($select=Street,HouseNo,Municipality,Zip,State)</t>
  </si>
  <si>
    <t>https://eskn.skgeodesy.sk/odata/Subjects?$filter=Participants/any(p: p/ Municipality/Code eq 508756 and p/Type/Code eq 3)&amp;$select=Id,ValidTo,Title,FirstName,Surname,BirthSurname,BirthDate,IdNo&amp;$expand=Address($select=Street,HouseNo,Municipality,Zip,State)</t>
  </si>
  <si>
    <t>https://eskn.skgeodesy.sk/odata/Participants?$filter=Type/Code eq 3 and CadastralUnitId eq 754&amp;$select=Id,ValidTo,Name,Numerator,Denominator,Notes&amp;$expand=Type($select=Id,Code,Name),OwnerType($select=Id,Code,Name),OwnershipRecord($select=Order;$expand=Folio($select=Id,No;$expand=CadastralUnit($select=Id,Code,Name)))</t>
  </si>
  <si>
    <t>https://eskn.skgeodesy.sk/odata/Participants?$filter=Type/Code eq 3 and CadastralUnit/Code eq 833657&amp;$select=Id,ValidTo,Name,Numerator,Denominator,Notes&amp;$expand=Type($select=Id,Code,Name),OwnerType($select=Id,Code,Name),OwnershipRecord($select=Order;$expand=Folio($select=Id,No;$expand=CadastralUnit($select=Id,Code,Name)))</t>
  </si>
  <si>
    <t>https://eskn.skgeodesy.sk/odata/Participants?$filter=Type/Code eq 3 and Municipality/Code eq 508756&amp;$select=Id,ValidTo,Name,Numerator,Denominator,Notes&amp;$expand=Type($select=Id,Code,Name),OwnerType($select=Id,Code,Name),OwnershipRecord($select=Order;$expand=Folio($select=Id,No;$expand=CadastralUnit($select=Id,Code,Name)))</t>
  </si>
  <si>
    <t>https://eskn.skgeodesy.sk/EsknBo/Subject.svc/GetSubjects?cadastralUnitCode=833657&amp;participantType=3</t>
  </si>
  <si>
    <t>https://eskn.skgeodesy.sk/EsknBo/Subject.svc/GetSubjects?municipalityCode=508756&amp;participantType=3</t>
  </si>
  <si>
    <t>https://eskn.skgeodesy.sk/odata/Subjects?$filter=Participants/any(p: p/CadastralUnitId eq 754 and p/Type/Code eq 4)&amp;$select=Id,ValidTo,Title,FirstName,Surname,BirthSurname,BirthDate,IdNo&amp;$expand=Address($select=Street,HouseNo,Municipality,Zip,State)</t>
  </si>
  <si>
    <t>https://eskn.skgeodesy.sk/odata/Subjects?$filter=Participants/any(p: p/CadastralUnit/Code eq 833657 and p/Type/Code eq 4)&amp;$select=Id,ValidTo,Title,FirstName,Surname,BirthSurname,BirthDate,IdNo&amp;$expand=Address($select=Street,HouseNo,Municipality,Zip,State)</t>
  </si>
  <si>
    <t>https://eskn.skgeodesy.sk/odata/Subjects?$filter=Participants/any(p: p/ Municipality/Code eq 508756 and p/Type/Code eq 4)&amp;$select=Id,ValidTo,Title,FirstName,Surname,BirthSurname,BirthDate,IdNo&amp;$expand=Address($select=Street,HouseNo,Municipality,Zip,State)</t>
  </si>
  <si>
    <t>https://eskn.skgeodesy.sk/odata/Participants?$filter=Type/Code eq 4 and CadastralUnitId eq 754&amp;$select=Id,ValidTo,Name,Numerator,Denominator,Notes&amp;$expand=Type($select=Id,Code,Name),OwnerType($select=Id,Code,Name),OwnershipRecord($select=Order;$expand=Folio($select=Id,No;$expand=CadastralUnit($select=Id,Code,Name)))</t>
  </si>
  <si>
    <t>https://eskn.skgeodesy.sk/odata/Participants?$filter=Type/Code eq 4 and CadastralUnit/Code eq 833657&amp;$select=Id,ValidTo,Name,Numerator,Denominator,Notes&amp;$expand=Type($select=Id,Code,Name),OwnerType($select=Id,Code,Name),OwnershipRecord($select=Order;$expand=Folio($select=Id,No;$expand=CadastralUnit($select=Id,Code,Name)))</t>
  </si>
  <si>
    <t>https://eskn.skgeodesy.sk/odata/Participants?$filter=Type/Code eq 4 and Municipality/Code eq 508756&amp;$select=Id,ValidTo,Name,Numerator,Denominator,Notes&amp;$expand=Type($select=Id,Code,Name),OwnerType($select=Id,Code,Name),OwnershipRecord($select=Order;$expand=Folio($select=Id,No;$expand=CadastralUnit($select=Id,Code,Name)))</t>
  </si>
  <si>
    <t>https://eskn.skgeodesy.sk/EsknBo/Subject.svc/GetSubjects?cadastralUnitCode=833657&amp;participantType=4</t>
  </si>
  <si>
    <t>https://eskn.skgeodesy.sk/EsknBo/Subject.svc/GetSubjects?municipalityCode=508756&amp;participantType=4</t>
  </si>
  <si>
    <t>https://eskn.skgeodesy.sk/odata/ParcelMaps?$filter=CadastralUnit/Code eq 804959&amp;$select=Id,Name,Type,DeclarationDate,UpdateDate</t>
  </si>
  <si>
    <t>https://eskn.skgeodesy.sk/Portal/sk/Vgi/Download/17668</t>
  </si>
  <si>
    <t>https://eskn.skgeodesy.sk/odata/Subjects/Kn.Search()?firstName='Miroslav'&amp;surname='Kováčik'&amp;birthNo=8512311236&amp;$select=Id,ValidTo,Title,FirstName,Surname,BirthSurname,BirthDate,IdNo&amp;$expand=Address($select=Street,HouseNo,Municipality,Zip,State)</t>
  </si>
  <si>
    <t>https://eskn.skgeodesy.sk/odata/Subjects/Kn.Search()?firstName=Miroslav&amp;surname=Kováčik&amp;municipality=Bratislava-Petržalka&amp;$select=Id,ValidTo,Title,FirstName,Surname,BirthSurname,BirthDate,IdNo&amp;$expand=Address($select=Street,HouseNo,Municipality,Zip,State)</t>
  </si>
  <si>
    <t>https://eskn.skgeodesy.sk/odata/Subjects/Kn.Search()?firstName=Miroslav&amp;surname=Kováčik&amp;cu=Petržalka&amp;$select=Id,ValidTo,Title,FirstName,Surname,BirthSurname,BirthDate,IdNo&amp;$expand=Address($select=Street,HouseNo,Municipality,Zip,State)</t>
  </si>
  <si>
    <t>https://eskn.skgeodesy.sk/odata/Subjects/Kn.Search()?name=Bytové družstvo Petržalka&amp;municipality=Bratislava-Petržalka&amp;$select=Id,ValidTo,Title,FirstName,Surname,BirthSurname,BirthDate,IdNo&amp;$expand=Address($select=Street,HouseNo,Municipality,Zip,State)</t>
  </si>
  <si>
    <t>https://eskn.skgeodesy.sk/odata/Subjects/Kn.Search()?name=Bytové družstvo Petržalka&amp;cu=Petržalka&amp;$select=Id,ValidTo,Title,FirstName,Surname,BirthSurname,BirthDate,IdNo&amp;$expand=Address($select=Street,HouseNo,Municipality,Zip,State)</t>
  </si>
  <si>
    <t>https://eskn.skgeodesy.sk/eskn/services/NR/kn_wms_norm/MapServer/WMSServer?,layer=lb</t>
  </si>
  <si>
    <t>https://eskn.skgeodesy.sk/eskn/services/NR/kn_wms_orto/MapServer/WMSServer?,layer=lb</t>
  </si>
  <si>
    <t>https://eskn.skgeodesy.sk/eskn/rest/services/NR/kn_wmts_norm_sjtsk/MapServer/WMTS/1.0.0/WMTSCapabilities.xml,layer=lb</t>
  </si>
  <si>
    <t>https://eskn.skgeodesy.sk/eskn/rest/services/NR/kn_wmts_norm_wm/MapServer/WMTS/1.0.0/WMTSCapabilities.xml,layer=lb</t>
  </si>
  <si>
    <t>https://eskn.skgeodesy.sk/eskn/rest/services/NR/kn_wmts_orto_sjtsk/MapServer/WMTS/1.0.0/WMTSCapabilities.xml,layer=lb</t>
  </si>
  <si>
    <t>https://eskn.skgeodesy.sk/eskn/rest/services/NR/kn_wmts_orto_wm/MapServer/WMTS/1.0.0/WMTSCapabilities.xml,layer=lb</t>
  </si>
  <si>
    <t>https://eskn.skgeodesy.sk/eskn/services/NR/uo_wms_norm/MapServer/WMSServer?,layer=lb</t>
  </si>
  <si>
    <t>https://eskn.skgeodesy.sk/eskn/services/NR/uo_wms_orto/MapServer/WMSServer?,layer=lb</t>
  </si>
  <si>
    <t>https://eskn.skgeodesy.sk/eskn/rest/services/NR/uo_wmts_norm_sjtsk/MapServer/WMTS/1.0.0/WMTSCapabilities.xml,layer=lb</t>
  </si>
  <si>
    <t>https://eskn.skgeodesy.sk/eskn/rest/services/NR/uo_wmts_norm_wm/MapServer/WMTS/1.0.0/WMTSCapabilities.xml,layer=lb</t>
  </si>
  <si>
    <t>https://eskn.skgeodesy.sk/eskn/rest/services/NR/uo_wmts_orto_sjtsk/MapServer/WMTS/1.0.0/WMTSCapabilities.xml,layer=lb</t>
  </si>
  <si>
    <t>https://eskn.skgeodesy.sk/eskn/rest/services/NR/uo_wmts_orto_wm/MapServer/WMTS/1.0.0/WMTSCapabilities.xml,layer=lb</t>
  </si>
  <si>
    <t>https://eskn.skgeodesy.sk/odata/Subjects/Kn.Search()?firstName='Miroslav'&amp;surname='Kováčik'&amp;birthNo=8512311236&amp;$select=Id,ValidTo,Title,FirstName,Surname,BirthSurname,BirthDate,IdNo&amp;$expand=Address($select=Street,HouseNo,Municipality,Zip,State)&amp;$skip=0</t>
  </si>
  <si>
    <t>https://eskn.skgeodesy.sk/odata/Subjects?$filter=IdNo eq 35826754&amp;$select=Id,ValidTo,Title,FirstName,Surname,BirthSurname,BirthDate,IdNo&amp;$expand=Address($select=Street,HouseNo,Municipality,Zip,State)&amp;$skip=0</t>
  </si>
  <si>
    <t>https://eskn.skgeodesy.sk/odata/Subjects/Kn.Search()?firstName=Miroslav&amp;surname=Kováčik&amp;municipality=Bratislava-Petržalka&amp;$select=Id,ValidTo,Title,FirstName,Surname,BirthSurname,BirthDate,IdNo&amp;$expand=Address($select=Street,HouseNo,Municipality,Zip,State)&amp;$skip=0</t>
  </si>
  <si>
    <t>https://eskn.skgeodesy.sk/odata/Subjects/Kn.Search()?firstName=Miroslav&amp;surname=Kováčik&amp;cu=Petržalka&amp;$select=Id,ValidTo,Title,FirstName,Surname,BirthSurname,BirthDate,IdNo&amp;$expand=Address($select=Street,HouseNo,Municipality,Zip,State)&amp;$skip=0</t>
  </si>
  <si>
    <t>https://eskn.skgeodesy.sk/odata/Subjects/Kn.Search()?name=Bytové družstvo Petržalka&amp;municipality=Bratislava-Petržalka&amp;$select=Id,ValidTo,Title,FirstName,Surname,BirthSurname,BirthDate,IdNo&amp;$expand=Address($select=Street,HouseNo,Municipality,Zip,State)&amp;$skip=0</t>
  </si>
  <si>
    <t>https://eskn.skgeodesy.sk/odata/Subjects/Kn.Search()?name=Bytové družstvo Petržalka&amp;cu=Petržalka&amp;$select=Id,ValidTo,Title,FirstName,Surname,BirthSurname,BirthDate,IdNo&amp;$expand=Address($select=Street,HouseNo,Municipality,Zip,State)&amp;$skip=0</t>
  </si>
  <si>
    <t>https://eskn.skgeodesy.sk/odata/ParcelsC/?&amp;$filter=CadastralUnit/Code eq 833657 and Folio/No eq 422&amp;$select=Id,ValidTo,No,Area&amp;$expand=CadastralUnit($select=Id,Code,Name),Folio($select=Id,No;$expand=CadastralUnit($select=Id,Code,Name)),LandUse($select=Id,Code,Name),Utilisation($select=Id,Code,Name),Localization($select=Id,Code,Name),Affiliation($select=Id,Code,Name),OwnershipType($select=Id,Code,Name),OwnershipType($select=Id,Code,Name),SharedProperty($select=Id,Code,Name)&amp;$skip=0</t>
  </si>
  <si>
    <t>https://eskn.skgeodesy.sk/odata/ParcelsC/?&amp;$filter=Municipality/Code eq 508756 and Folio/No eq 422&amp;$select=Id,ValidTo,No,Area&amp;$expand=CadastralUnit($select=Id,Code,Name),Folio($select=Id,No;$expand=CadastralUnit($select=Id,Code,Name)),LandUse($select=Id,Code,Name),Utilisation($select=Id,Code,Name),Localization($select=Id,Code,Name),Affiliation($select=Id,Code,Name),OwnershipType($select=Id,Code,Name),OwnershipType($select=Id,Code,Name),SharedProperty($select=Id,Code,Name)&amp;$skip=0</t>
  </si>
  <si>
    <t>https://eskn.skgeodesy.sk/odata/ParcelsE/?&amp;$filter=CadastralUnit/Code eq 833657 and Folio/No eq 875 and StatusId ne 3&amp;$select=Id,ValidTo,No,Area&amp;$expand=CadastralUnit($select=Id,Code,Name),OriginalCadastralUnit($select=Id,Value,Code,Name),Folio($select=Id,No;$expand=CadastralUnit($select=Id,Code,Name)),LandUse($select=Id,Code,Name),Localization($select=Id,Code,Name),OwnershipType($select=Id,Code,Name),SharedProperty($select=Id,Code,Name)&amp;$skip=0</t>
  </si>
  <si>
    <t>https://eskn.skgeodesy.sk/odata/ParcelsE/?&amp;$filter=Municipality/Code eq 508756 and Folio/No eq 875 and StatusId ne 3&amp;$select=Id,ValidTo,No,Area&amp;$expand=CadastralUnit($select=Id,Code,Name),OriginalCadastralUnit($select=Id,Value,Code,Name),Folio($select=Id,No;$expand=CadastralUnit($select=Id,Code,Name)),LandUse($select=Id,Code,Name),Localization($select=Id,Code,Name),OwnershipType($select=Id,Code,Name),SharedProperty($select=Id,Code,Name)&amp;$skip=0</t>
  </si>
  <si>
    <t>https://eskn.skgeodesy.sk/odata/Constructions/?&amp;$filter=CadastralUnit/Code eq 833657 and ParcelsC/any(p: p/No eq '542')&amp;$select=Id,ValidTo,HouseNo,Description,SitePart&amp;$expand=Folio($select=Id,No;$expand=CadastralUnit($select=Id,Code,Name)),Type($select=Id,Name,Code),Localization($select=Id,Code,Name),ProtectedProperty($select=Id,Code,Name)&amp;$skip=0</t>
  </si>
  <si>
    <t>https://eskn.skgeodesy.sk/odata/Constructions/?&amp;$filter=CadastralUnit/Code eq 833657 and Folio/No eq 422&amp;$select=Id,ValidTo,HouseNo,Description,SitePart&amp;$expand=Folio($select=Id,No;$expand=CadastralUnit($select=Id,Code,Name)),Type($select=Id,Name,Code),Localization($select=Id,Code,Name),ProtectedProperty($select=Id,Code,Name)&amp;$skip=0</t>
  </si>
  <si>
    <t>https://eskn.skgeodesy.sk/odata/Constructions/?&amp;$filter=CadastralUnit/Code eq 833657 and HouseNo eq 141&amp;$select=Id,ValidTo,HouseNo,Description,SitePart&amp;$expand=Folio($select=Id,No;$expand=CadastralUnit($select=Id,Code,Name)),Type($select=Id,Name,Code),Localization($select=Id,Code,Name),ProtectedProperty($select=Id,Code,Name)&amp;$skip=0</t>
  </si>
  <si>
    <t>https://eskn.skgeodesy.sk/odata/Constructions/?&amp;$filter=Municipality/Code eq 508756 and ParcelsC/any(p: p/No eq '542')&amp;$select=Id,ValidTo,HouseNo,Description,SitePart&amp;$expand=Folio($select=Id,No;$expand=CadastralUnit($select=Id,Code,Name)),Type($select=Id,Name,Code),Localization($select=Id,Code,Name),ProtectedProperty($select=Id,Code,Name)&amp;$skip=0</t>
  </si>
  <si>
    <t>https://eskn.skgeodesy.sk/odata/Constructions/?&amp;$filter=Municipality/Code eq 508756 and Folio/No eq 422&amp;$select=Id,ValidTo,HouseNo,Description,SitePart&amp;$expand=Folio($select=Id,No;$expand=CadastralUnit($select=Id,Code,Name)),Type($select=Id,Name,Code),Localization($select=Id,Code,Name),ProtectedProperty($select=Id,Code,Name)&amp;$skip=0</t>
  </si>
  <si>
    <t>https://eskn.skgeodesy.sk/odata/Constructions/?&amp;$filter=Municipality/Code eq 508756 and HouseNo eq 141&amp;$select=Id,ValidTo,HouseNo,Description,SitePart&amp;$expand=Folio($select=Id,No;$expand=CadastralUnit($select=Id,Code,Name)),Type($select=Id,Name,Code),Localization($select=Id,Code,Name),ProtectedProperty($select=Id,Code,Name)&amp;$skip=0</t>
  </si>
  <si>
    <t>https://eskn.skgeodesy.sk/odata/Spaces/?&amp;$filter=Entrance/HouseNo eq 1171 and CadastralUnit/Code eq 804959&amp;$select=Id,ValidTo,FlatNo,NonresidentialNo,FloorNo,Numerator,Denominator&amp;$expand=Type($select=Id,Code,Name),NonresidentialType($select=Id,Code,Name),Entrance($select=Id,Label,HouseNo,SitePart),Construction($select=Id,HouseNo;$expand=Folio($select=Id,No;$expand=CadastralUnit($select=Id,Code,Name)))&amp;$skip=0</t>
  </si>
  <si>
    <t>https://eskn.skgeodesy.sk/odata/Spaces/?&amp;$filter=Entrance/HouseNo eq 1171 and CadastralUnit/Code eq 804959 and FlatNo eq 122&amp;$select=Id,ValidTo,FlatNo,NonresidentialNo,FloorNo,Numerator,Denominator&amp;$expand=Type($select=Id,Code,Name),NonresidentialType($select=Id,Code,Name),Entrance($select=Id,Label,HouseNo,SitePart),Construction($select=Id,HouseNo;$expand=Folio($select=Id,No;$expand=CadastralUnit($select=Id,Code,Name)))&amp;$skip=0</t>
  </si>
  <si>
    <t>https://eskn.skgeodesy.sk/odata/Spaces/?&amp;$filter=Entrance/HouseNo eq 1171 and CadastralUnit/Code eq 804959 and NonresidentialNo eq '189'&amp;$select=Id,ValidTo,FlatNo,NonresidentialNo,FloorNo,Numerator,Denominator&amp;$expand=Type($select=Id,Code,Name),NonresidentialType($select=Id,Code,Name),Entrance($select=Id,Label,HouseNo,SitePart),Construction($select=Id,HouseNo;$expand=Folio($select=Id,No;$expand=CadastralUnit($select=Id,Code,Name)))&amp;$skip=0</t>
  </si>
  <si>
    <t>https://eskn.skgeodesy.sk/odata/Spaces/?&amp;$filter=CadastralUnit/Code eq 804959 and Construction/Folio/No eq 2436&amp;$select=Id,ValidTo,FlatNo,NonresidentialNo,FloorNo,Numerator,Denominator&amp;$expand=Type($select=Id,Code,Name),NonresidentialType($select=Id,Code,Name),Entrance($select=Id,Label,HouseNo,SitePart),Construction($select=Id,HouseNo;$expand=Folio($select=Id,No;$expand=CadastralUnit($select=Id,Code,Name)))&amp;$skip=0</t>
  </si>
  <si>
    <t>https://eskn.skgeodesy.sk/odata/Spaces/?&amp;$filter=Municipality/Code eq 529460 and Entrance/HouseNo eq 1171&amp;$select=Id,ValidTo,FlatNo,NonresidentialNo,FloorNo,Numerator,Denominator&amp;$expand=Type($select=Id,Code,Name),NonresidentialType($select=Id,Code,Name),Entrance($select=Id,Label,HouseNo,SitePart),Construction($select=Id,HouseNo;$expand=Folio($select=Id,No;$expand=CadastralUnit($select=Id,Code,Name)))&amp;$skip=0</t>
  </si>
  <si>
    <t>https://eskn.skgeodesy.sk/odata/Spaces/?&amp;$filter=Municipality/Code eq 529460 and Entrance/HouseNo eq 1171 and FlatNo eq 122&amp;$select=Id,ValidTo,FlatNo,NonresidentialNo,FloorNo,Numerator,Denominator&amp;$expand=Type($select=Id,Code,Name),NonresidentialType($select=Id,Code,Name),Entrance($select=Id,Label,HouseNo,SitePart),Construction($select=Id,HouseNo;$expand=Folio($select=Id,No;$expand=CadastralUnit($select=Id,Code,Name)))&amp;$skip=0</t>
  </si>
  <si>
    <t>https://eskn.skgeodesy.sk/odata/Spaces/?&amp;$filter=Municipality/Code eq 529460 and Entrance/HouseNo eq 1171 and NonresidentialNo eq '189'&amp;$select=Id,ValidTo,FlatNo,NonresidentialNo,FloorNo,Numerator,Denominator&amp;$expand=Type($select=Id,Code,Name),NonresidentialType($select=Id,Code,Name),Entrance($select=Id,Label,HouseNo,SitePart),Construction($select=Id,HouseNo;$expand=Folio($select=Id,No;$expand=CadastralUnit($select=Id,Code,Name)))&amp;$skip=0</t>
  </si>
  <si>
    <t>https://eskn.skgeodesy.sk/odata/Spaces/?&amp;$filter=Municipality/Code eq 529460 and Construction/Folio/No eq 2436&amp;$select=Id,ValidTo,FlatNo,NonresidentialNo,FloorNo,Numerator,Denominator&amp;$expand=Type($select=Id,Code,Name),NonresidentialType($select=Id,Code,Name),Entrance($select=Id,Label,HouseNo,SitePart),Construction($select=Id,HouseNo;$expand=Folio($select=Id,No;$expand=CadastralUnit($select=Id,Code,Name)))&amp;$skip=0</t>
  </si>
  <si>
    <t>https://eskn.skgeodesy.sk/odata/Participants/?$filter=CadastralUnit/Code eq 804959 and Subjects/any(p: p/Id eq  28576586) &amp;$select=Id,ValidTo,Name,Numerator,Denominator,Notes&amp;$expand=Type($select=Id,Code,Name),OwnerType($select=Id,Code,Name),OwnershipRecord($select=Order;$expand=Folio($select=Id,No;$expand=CadastralUnit($select=Id,Code,Name)))&amp;$skip=0</t>
  </si>
  <si>
    <t>https://eskn.skgeodesy.sk/odata/Participants/?$filter=CadastralUnit/Code eq 833657 and OwnershipRecord/Folio/ParcelsC/any(p: p/No eq '542')&amp;$select=Id,ValidTo,Name,Numerator,Denominator,Notes&amp;$expand=Type($select=Id,Code,Name),OwnerType($select=Id,Code,Name),OwnershipRecord($select=Order;$expand=Folio($select=Id,No;$expand=CadastralUnit($select=Id,Code,Name)))&amp;$skip=0</t>
  </si>
  <si>
    <t>https://eskn.skgeodesy.sk/odata/Participants/?$filter=CadastralUnit/Code eq 833657 and OwnershipRecord/Folio/ParcelsE/any(p: p/No eq '272/1')&amp;$select=Id,ValidTo,Name,Numerator,Denominator,Notes&amp;$expand=Type($select=Id,Code,Name),OwnerType($select=Id,Code,Name),OwnershipRecord($select=Order;$expand=Folio($select=Id,No;$expand=CadastralUnit($select=Id,Code,Name)))&amp;$skip=0</t>
  </si>
  <si>
    <t>https://eskn.skgeodesy.sk/odata/Participants/?$filter=CadastralUnit/Code eq 833657 and OwnershipRecord/Folio/ParcelsE/any(p: p/No eq '' and p/OriginalCadastralUnitCode eq   )&amp;$select=Id,ValidTo,Name,Numerator,Denominator,Notes&amp;$expand=Type($select=Id,Code,Name),OwnerType($select=Id,Code,Name),OwnershipRecord($select=Order;$expand=Folio($select=Id,No;$expand=CadastralUnit($select=Id,Code,Name)))&amp;$skip=0</t>
  </si>
  <si>
    <t>https://eskn.skgeodesy.sk/odata/Participants/?$filter=CadastralUnit/Code eq 833657 and OwnershipRecord/Folio/Constructions/any(p: p/HouseNo eq 141)&amp;$select=Id,ValidTo,Name,Numerator,Denominator,Notes&amp;$expand=Type($select=Id,Code,Name),OwnerType($select=Id,Code,Name),OwnershipRecord($select=Order;$expand=Folio($select=Id,No;$expand=CadastralUnit($select=Id,Code,Name)))&amp;$skip=0</t>
  </si>
  <si>
    <t>https://eskn.skgeodesy.sk/odata/Participants/?$filter=CadastralUnit/Code eq 804959 and OwnershipRecord/Folio/Constructions/any(p: p/HouseNo eq 1171) and OwnershipRecord/SpaceRecords/any(p: p/Space/FlatNo eq 122)&amp;$select=Id,ValidTo,Name,Numerator,Denominator,Notes&amp;$expand=Type($select=Id,Code,Name),OwnerType($select=Id,Code,Name),OwnershipRecord($select=Order;$expand=Folio($select=Id,No;$expand=CadastralUnit($select=Id,Code,Name)))&amp;$skip=0</t>
  </si>
  <si>
    <t>https://eskn.skgeodesy.sk/odata/Participants/?$filter=CadastralUnit/Code eq 804959 and OwnershipRecord/Folio/Constructions/any(p: p/HouseNo eq 1171) and OwnershipRecord/SpaceRecords/any(p: p/Space/NonresidentialNo eq '189')&amp;$select=Id,ValidTo,Name,Numerator,Denominator,Notes&amp;$expand=Type($select=Id,Code,Name),OwnerType($select=Id,Code,Name),OwnershipRecord($select=Order;$expand=Folio($select=Id,No;$expand=CadastralUnit($select=Id,Code,Name)))&amp;$skip=0</t>
  </si>
  <si>
    <t>https://eskn.skgeodesy.sk/odata/Municipalities?&amp;$select=Id,ValidTo,Code,Name&amp;$expand=District($select=Id,Code,Name)&amp;$orderby=Name&amp;$skip=0</t>
  </si>
  <si>
    <t>https://eskn.skgeodesy.sk/odata/CadastralUnits?&amp;$select=Id,ValidTo,Code,Name&amp;$expand=Municipality($select=Id,Code,Name)&amp;$orderby=Name&amp;$skip=0</t>
  </si>
  <si>
    <t>https://eskn.skgeodesy.sk/odata/OriginalCadastralUnits?$filter=Id gt 0&amp;$select=Id,ValidTo,Value,Code,Name&amp;$expand=CadastralUnit($select=Id,Code,Name)&amp;$orderby=Name&amp;$skip=0</t>
  </si>
  <si>
    <t>https://eskn.skgeodesy.sk/odata/ParcelsC/?&amp;$filter=CadastralUnit/Code eq 833657 and StatusId ne 3&amp;$select=Id,ValidTo,No,Area&amp;$expand=CadastralUnit($select=Id,Code,Name),Folio($select=Id,No;$expand=CadastralUnit($select=Id,Code,Name)),LandUse($select=Id,Code,Name),Utilisation($select=Id,Code,Name),Localization($select=Id,Code,Name),Affiliation($select=Id,Code,Name),OwnershipType($select=Id,Code,Name),OwnershipType($select=Id,Code,Name),SharedProperty($select=Id,Code,Name)&amp;$skip=0</t>
  </si>
  <si>
    <t>https://eskn.skgeodesy.sk/odata/ParcelsC/?&amp;$filter=Municipality/Code eq 508756 and StatusId ne 3&amp;$select=Id,ValidTo,No,Area&amp;$expand=CadastralUnit($select=Id,Code,Name),Folio($select=Id,No;$expand=CadastralUnit($select=Id,Code,Name)),LandUse($select=Id,Code,Name),Utilisation($select=Id,Code,Name),Localization($select=Id,Code,Name),Affiliation($select=Id,Code,Name),OwnershipType($select=Id,Code,Name),OwnershipType($select=Id,Code,Name),SharedProperty($select=Id,Code,Name)&amp;$skip=0</t>
  </si>
  <si>
    <t>https://eskn.skgeodesy.sk/odata/ParcelsE/?&amp;$filter=CadastralUnit/Code eq 833657 and StatusId ne 3&amp;$select=Id,ValidTo,No,Area&amp;$expand=CadastralUnit($select=Id,Code,Name),OriginalCadastralUnit($select=Id,Value,Code,Name),Folio($select=Id,No;$expand=CadastralUnit($select=Id,Code,Name)),LandUse($select=Id,Code,Name),Localization($select=Id,Code,Name),OwnershipType($select=Id,Code,Name),SharedProperty($select=Id,Code,Name)&amp;$skip=0</t>
  </si>
  <si>
    <t>https://eskn.skgeodesy.sk/odata/ParcelsE/?&amp;$filter=Municipality/Code eq 508756 and StatusId ne 3&amp;$select=Id,ValidTo,No,Area&amp;$expand=CadastralUnit($select=Id,Code,Name),OriginalCadastralUnit($select=Id,Value,Code,Name),Folio($select=Id,No;$expand=CadastralUnit($select=Id,Code,Name)),LandUse($select=Id,Code,Name),Localization($select=Id,Code,Name),OwnershipType($select=Id,Code,Name),SharedProperty($select=Id,Code,Name)&amp;$skip=0</t>
  </si>
  <si>
    <t>https://eskn.skgeodesy.sk/odata/Constructions/?&amp;$filter=CadastralUnit/Code eq 833657&amp;$select=Id,ValidTo,HouseNo,Description,SitePart&amp;$expand=Folio($select=Id,No;$expand=CadastralUnit($select=Id,Code,Name)),Type($select=Id,Name,Code),Localization($select=Id,Code,Name),ProtectedProperty($select=Id,Code,Name)&amp;$skip=0</t>
  </si>
  <si>
    <t>https://eskn.skgeodesy.sk/odata/Constructions/?&amp;$filter=Municipality/Code eq 508756&amp;$select=Id,ValidTo,HouseNo,Description,SitePart&amp;$expand=Folio($select=Id,No;$expand=CadastralUnit($select=Id,Code,Name)),Type($select=Id,Name,Code),Localization($select=Id,Code,Name),ProtectedProperty($select=Id,Code,Name)&amp;$skip=0</t>
  </si>
  <si>
    <t>https://eskn.skgeodesy.sk/odata/Spaces/?&amp;$filter=CadastralUnit/Code eq 833657&amp;$select=Id,ValidTo,FlatNo,NonresidentialNo,FloorNo,Numerator,Denominator&amp;$expand=Type($select=Id,Code,Name),NonresidentialType($select=Id,Code,Name),Entrance($select=Id,Label,HouseNo,SitePart),Construction($select=Id,HouseNo;$expand=Folio($select=Id,No;$expand=CadastralUnit($select=Id,Code,Name)))&amp;$skip=0</t>
  </si>
  <si>
    <t>https://eskn.skgeodesy.sk/odata/Spaces/?&amp;$filter=Municipality/Code eq 508756&amp;$select=Id,ValidTo,FlatNo,NonresidentialNo,FloorNo,Numerator,Denominator&amp;$expand=Type($select=Id,Code,Name),NonresidentialType($select=Id,Code,Name),Entrance($select=Id,Label,HouseNo,SitePart),Construction($select=Id,HouseNo;$expand=Folio($select=Id,No;$expand=CadastralUnit($select=Id,Code,Name)))&amp;$skip=0</t>
  </si>
  <si>
    <t>https://eskn.skgeodesy.sk/odata/Subjects?$filter=Participants/any(p: p/CadastralUnitId eq 754 and p/Type/Code eq 1)&amp;$select=Id,ValidTo,Title,FirstName,Surname,BirthSurname,BirthDate,IdNo&amp;$expand=Address($select=Street,HouseNo,Municipality,Zip,State)&amp;$skip=0</t>
  </si>
  <si>
    <t>https://eskn.skgeodesy.sk/odata/Subjects?$filter=Participants/any(p: p/CadastralUnit/Code eq 833657 and p/Type/Code eq 1)&amp;$select=Id,ValidTo,Title,FirstName,Surname,BirthSurname,BirthDate,IdNo&amp;$expand=Address($select=Street,HouseNo,Municipality,Zip,State)&amp;$skip=0</t>
  </si>
  <si>
    <t>https://eskn.skgeodesy.sk/odata/Subjects?$filter=Participants/any(p: p/ Municipality/Code eq 508756 and p/Type/Code eq 1)&amp;$select=Id,ValidTo,Title,FirstName,Surname,BirthSurname,BirthDate,IdNo&amp;$expand=Address($select=Street,HouseNo,Municipality,Zip,State)&amp;$skip=0</t>
  </si>
  <si>
    <t>https://eskn.skgeodesy.sk/odata/Participants?$filter=Type/Code eq 1 and CadastralUnitId eq 754&amp;$select=Id,ValidTo,Name,Numerator,Denominator,Notes&amp;$expand=Type($select=Id,Code,Name),OwnerType($select=Id,Code,Name),OwnershipRecord($select=Order;$expand=Folio($select=Id,No;$expand=CadastralUnit($select=Id,Code,Name)))&amp;$skip=0</t>
  </si>
  <si>
    <t>https://eskn.skgeodesy.sk/odata/Participants?$filter=Type/Code eq 1 and CadastralUnit/Code eq 833657&amp;$select=Id,ValidTo,Name,Numerator,Denominator,Notes&amp;$expand=Type($select=Id,Code,Name),OwnerType($select=Id,Code,Name),OwnershipRecord($select=Order;$expand=Folio($select=Id,No;$expand=CadastralUnit($select=Id,Code,Name)))&amp;$skip=0</t>
  </si>
  <si>
    <t>https://eskn.skgeodesy.sk/odata/Participants?$filter=Type/Code eq 1 and Municipality/Code eq 508756&amp;$select=Id,ValidTo,Name,Numerator,Denominator,Notes&amp;$expand=Type($select=Id,Code,Name),OwnerType($select=Id,Code,Name),OwnershipRecord($select=Order;$expand=Folio($select=Id,No;$expand=CadastralUnit($select=Id,Code,Name)))&amp;$skip=0</t>
  </si>
  <si>
    <t>https://eskn.skgeodesy.sk/odata/Subjects?$filter=Participants/any(p: p/CadastralUnitId eq 754 and p/Type/Code eq 2)&amp;$select=Id,ValidTo,Title,FirstName,Surname,BirthSurname,BirthDate,IdNo&amp;$expand=Address($select=Street,HouseNo,Municipality,Zip,State)&amp;$skip=0</t>
  </si>
  <si>
    <t>https://eskn.skgeodesy.sk/odata/Subjects?$filter=Participants/any(p: p/CadastralUnit/Code eq 833657 and p/Type/Code eq 2)&amp;$select=Id,ValidTo,Title,FirstName,Surname,BirthSurname,BirthDate,IdNo&amp;$expand=Address($select=Street,HouseNo,Municipality,Zip,State)&amp;$skip=0</t>
  </si>
  <si>
    <t>https://eskn.skgeodesy.sk/odata/Subjects?$filter=Participants/any(p: p/ Municipality/Code eq 508756 and p/Type/Code eq 2)&amp;$select=Id,ValidTo,Title,FirstName,Surname,BirthSurname,BirthDate,IdNo&amp;$expand=Address($select=Street,HouseNo,Municipality,Zip,State)&amp;$skip=0</t>
  </si>
  <si>
    <t>https://eskn.skgeodesy.sk/odata/Participants?$filter=Type/Code eq 2 and CadastralUnitId eq 754&amp;$select=Id,ValidTo,Name,Numerator,Denominator,Notes&amp;$expand=Type($select=Id,Code,Name),OwnerType($select=Id,Code,Name),OwnershipRecord($select=Order;$expand=Folio($select=Id,No;$expand=CadastralUnit($select=Id,Code,Name)))&amp;$skip=0</t>
  </si>
  <si>
    <t>https://eskn.skgeodesy.sk/odata/Participants?$filter=Type/Code eq 2 and CadastralUnit/Code eq 833657&amp;$select=Id,ValidTo,Name,Numerator,Denominator,Notes&amp;$expand=Type($select=Id,Code,Name),OwnerType($select=Id,Code,Name),OwnershipRecord($select=Order;$expand=Folio($select=Id,No;$expand=CadastralUnit($select=Id,Code,Name)))&amp;$skip=0</t>
  </si>
  <si>
    <t>https://eskn.skgeodesy.sk/odata/Participants?$filter=Type/Code eq 2 and Municipality/Code eq 508756&amp;$select=Id,ValidTo,Name,Numerator,Denominator,Notes&amp;$expand=Type($select=Id,Code,Name),OwnerType($select=Id,Code,Name),OwnershipRecord($select=Order;$expand=Folio($select=Id,No;$expand=CadastralUnit($select=Id,Code,Name)))&amp;$skip=0</t>
  </si>
  <si>
    <t>https://eskn.skgeodesy.sk/odata/Subjects?$filter=Participants/any(p: p/CadastralUnitId eq 754 and p/Type/Code eq 3)&amp;$select=Id,ValidTo,Title,FirstName,Surname,BirthSurname,BirthDate,IdNo&amp;$expand=Address($select=Street,HouseNo,Municipality,Zip,State)&amp;$skip=0</t>
  </si>
  <si>
    <t>https://eskn.skgeodesy.sk/odata/Subjects?$filter=Participants/any(p: p/CadastralUnit/Code eq 833657 and p/Type/Code eq 3)&amp;$select=Id,ValidTo,Title,FirstName,Surname,BirthSurname,BirthDate,IdNo&amp;$expand=Address($select=Street,HouseNo,Municipality,Zip,State)&amp;$skip=0</t>
  </si>
  <si>
    <t>https://eskn.skgeodesy.sk/odata/Subjects?$filter=Participants/any(p: p/ Municipality/Code eq 508756 and p/Type/Code eq 3)&amp;$select=Id,ValidTo,Title,FirstName,Surname,BirthSurname,BirthDate,IdNo&amp;$expand=Address($select=Street,HouseNo,Municipality,Zip,State)&amp;$skip=0</t>
  </si>
  <si>
    <t>https://eskn.skgeodesy.sk/odata/Participants?$filter=Type/Code eq 3 and CadastralUnitId eq 754&amp;$select=Id,ValidTo,Name,Numerator,Denominator,Notes&amp;$expand=Type($select=Id,Code,Name),OwnerType($select=Id,Code,Name),OwnershipRecord($select=Order;$expand=Folio($select=Id,No;$expand=CadastralUnit($select=Id,Code,Name)))&amp;$skip=0</t>
  </si>
  <si>
    <t>https://eskn.skgeodesy.sk/odata/Participants?$filter=Type/Code eq 3 and CadastralUnit/Code eq 833657&amp;$select=Id,ValidTo,Name,Numerator,Denominator,Notes&amp;$expand=Type($select=Id,Code,Name),OwnerType($select=Id,Code,Name),OwnershipRecord($select=Order;$expand=Folio($select=Id,No;$expand=CadastralUnit($select=Id,Code,Name)))&amp;$skip=0</t>
  </si>
  <si>
    <t>https://eskn.skgeodesy.sk/odata/Participants?$filter=Type/Code eq 3 and Municipality/Code eq 508756&amp;$select=Id,ValidTo,Name,Numerator,Denominator,Notes&amp;$expand=Type($select=Id,Code,Name),OwnerType($select=Id,Code,Name),OwnershipRecord($select=Order;$expand=Folio($select=Id,No;$expand=CadastralUnit($select=Id,Code,Name)))&amp;$skip=0</t>
  </si>
  <si>
    <t>https://eskn.skgeodesy.sk/odata/Subjects?$filter=Participants/any(p: p/CadastralUnitId eq 754 and p/Type/Code eq 4)&amp;$select=Id,ValidTo,Title,FirstName,Surname,BirthSurname,BirthDate,IdNo&amp;$expand=Address($select=Street,HouseNo,Municipality,Zip,State)&amp;$skip=0</t>
  </si>
  <si>
    <t>https://eskn.skgeodesy.sk/odata/Subjects?$filter=Participants/any(p: p/CadastralUnit/Code eq 833657 and p/Type/Code eq 4)&amp;$select=Id,ValidTo,Title,FirstName,Surname,BirthSurname,BirthDate,IdNo&amp;$expand=Address($select=Street,HouseNo,Municipality,Zip,State)&amp;$skip=0</t>
  </si>
  <si>
    <t>https://eskn.skgeodesy.sk/odata/Subjects?$filter=Participants/any(p: p/ Municipality/Code eq 508756 and p/Type/Code eq 4)&amp;$select=Id,ValidTo,Title,FirstName,Surname,BirthSurname,BirthDate,IdNo&amp;$expand=Address($select=Street,HouseNo,Municipality,Zip,State)&amp;$skip=0</t>
  </si>
  <si>
    <t>https://eskn.skgeodesy.sk/odata/Participants?$filter=Type/Code eq 4 and CadastralUnitId eq 754&amp;$select=Id,ValidTo,Name,Numerator,Denominator,Notes&amp;$expand=Type($select=Id,Code,Name),OwnerType($select=Id,Code,Name),OwnershipRecord($select=Order;$expand=Folio($select=Id,No;$expand=CadastralUnit($select=Id,Code,Name)))&amp;$skip=0</t>
  </si>
  <si>
    <t>https://eskn.skgeodesy.sk/odata/Participants?$filter=Type/Code eq 4 and CadastralUnit/Code eq 833657&amp;$select=Id,ValidTo,Name,Numerator,Denominator,Notes&amp;$expand=Type($select=Id,Code,Name),OwnerType($select=Id,Code,Name),OwnershipRecord($select=Order;$expand=Folio($select=Id,No;$expand=CadastralUnit($select=Id,Code,Name)))&amp;$skip=0</t>
  </si>
  <si>
    <t>https://eskn.skgeodesy.sk/odata/Participants?$filter=Type/Code eq 4 and Municipality/Code eq 508756&amp;$select=Id,ValidTo,Name,Numerator,Denominator,Notes&amp;$expand=Type($select=Id,Code,Name),OwnerType($select=Id,Code,Name),OwnershipRecord($select=Order;$expand=Folio($select=Id,No;$expand=CadastralUnit($select=Id,Code,Name)))&amp;$skip=0</t>
  </si>
  <si>
    <t>https://eskn.skgeodesy.sk/odata/Folios(366267865)/ParcelsC?$skip=1000</t>
  </si>
  <si>
    <t>https://eskn.skgeodesy.sk/odata/OwnershipRecords(2347487526)/LegalRightRecords?$skip=1000</t>
  </si>
  <si>
    <t>https://eskn.skgeodesy.sk/odata/Subjects(731797041)/Participants?$skip=0</t>
  </si>
  <si>
    <t>https://eskn.skgeodesy.sk/eskn/services/NR</t>
  </si>
  <si>
    <t>https://eskn.skgeodesy.sk/eskn/rest/services/NR</t>
  </si>
  <si>
    <t>https://eskn.skgeodesy.sk/odata</t>
  </si>
  <si>
    <t>https://eskn.skgeodesy.sk/EsknBo/Bo.svc</t>
  </si>
  <si>
    <t>https://eskn.skgeodesy.sk/EsknBo/Subject.svc</t>
  </si>
  <si>
    <t>https://eskn.skgeodesy.sk/Portal</t>
  </si>
  <si>
    <t>http://test-kataster.skgeodesy.sk/eskn/services/NR</t>
  </si>
  <si>
    <t>http://test-kataster.skgeodesy.sk/eskn/rest/services/NR</t>
  </si>
  <si>
    <t>http://test-kataster.skgeodesy.sk/odata</t>
  </si>
  <si>
    <t>http://test-kataster.skgeodesy.sk/EsknBo/Bo.svc</t>
  </si>
  <si>
    <t>http://test-kataster.skgeodesy.sk/EsknBo/Subject.svc</t>
  </si>
  <si>
    <t>http://test-kataster.skgeodesy.sk/Portal</t>
  </si>
  <si>
    <t>/kn_wms_norm/MapServer/WMSServer?&lt;parametre služby&gt;</t>
  </si>
  <si>
    <t/>
  </si>
  <si>
    <t>/kn_wms_orto/MapServer/WMSServer?&lt;parametre služby&gt;</t>
  </si>
  <si>
    <t>/kn_wmts_norm_sjtsk/MapServer/WMTS/1.0.0/WMTSCapabilities.xml</t>
  </si>
  <si>
    <t>/kn_wmts_norm_sjtsk/MapServer/WMTS/1.0.0/WMTSCapabilities.xml&lt;parametre služby&gt;</t>
  </si>
  <si>
    <t>/kn_wmts_norm_wm/MapServer/WMTS/1.0.0/WMTSCapabilities.xml</t>
  </si>
  <si>
    <t>/kn_wmts_norm_wm/MapServer/WMTS/1.0.0/WMTSCapabilities.xml&lt;parametre služby&gt;</t>
  </si>
  <si>
    <t>/kn_wmts_orto_sjtsk/MapServer/WMTS/1.0.0/WMTSCapabilities.xml</t>
  </si>
  <si>
    <t>/kn_wmts_orto_sjtsk/MapServer/WMTS/1.0.0/WMTSCapabilities.xml&lt;parametre služby&gt;</t>
  </si>
  <si>
    <t>/kn_wmts_orto_wm/MapServer/WMTS/1.0.0/WMTSCapabilities.xml</t>
  </si>
  <si>
    <t>/kn_wmts_orto_wm/MapServer/WMTS/1.0.0/WMTSCapabilities.xml&lt;parametre služby&gt;</t>
  </si>
  <si>
    <t>/uo_wms_norm/MapServer/WMSServer?&lt;parametre služby&gt;</t>
  </si>
  <si>
    <t>/uo_wms_orto/MapServer/WMSServer?&lt;parametre služby&gt;</t>
  </si>
  <si>
    <t>/uo_wmts_norm_sjtsk/MapServer/WMTS/1.0.0/WMTSCapabilities.xml</t>
  </si>
  <si>
    <t>/uo_wmts_norm_sjtsk/MapServer/WMTS/1.0.0/WMTSCapabilities.xml&lt;parametre služby&gt;</t>
  </si>
  <si>
    <t>/uo_wmts_norm_wm/MapServer/WMTS/1.0.0/WMTSCapabilities.xml</t>
  </si>
  <si>
    <t>/uo_wmts_norm_wm/MapServer/WMTS/1.0.0/WMTSCapabilities.xml&lt;parametre služby&gt;</t>
  </si>
  <si>
    <t>/uo_wmts_orto_sjtsk/MapServer/WMTS/1.0.0/WMTSCapabilities.xml</t>
  </si>
  <si>
    <t>/uo_wmts_orto_sjtsk/MapServer/WMTS/1.0.0/WMTSCapabilities.xml&lt;parametre služby&gt;</t>
  </si>
  <si>
    <t>/uo_wmts_orto_wm/MapServer/WMTS/1.0.0/WMTSCapabilities.xml</t>
  </si>
  <si>
    <t>/uo_wmts_orto_wm/MapServer/WMTS/1.0.0/WMTSCapabilities.xml&lt;parametre služby&gt;</t>
  </si>
  <si>
    <t>/Subjects/Kn.Search()?firstName='&lt;meno&gt;'&amp;surname='&lt;priezvisko&gt;'&amp;birthNo=&lt;rodné číslo&gt;&amp;$select=Id,ValidTo,Title,FirstName,Surname,BirthSurname,BirthDate,IdNo&amp;$expand=Address($select=Street,HouseNo,Municipality,Zip,State)</t>
  </si>
  <si>
    <t>/Subjects/Kn.Search()?firstName='&lt;meno&gt;'&amp;surname='&lt;priezvisko&gt;'&amp;birthNo=&lt;rodné číslo&gt;&amp;$select=Id,ValidTo,Title,FirstName,Surname,BirthSurname,BirthDate,IdNo&amp;$expand=Address($select=Street,HouseNo,Municipality,Zip,State)&amp;$skip=&lt;preskočiť&gt;</t>
  </si>
  <si>
    <t>/Subjects?$filter=IdNo eq &lt;IČO&gt;&amp;$select=Id,ValidTo,Title,FirstName,Surname,BirthSurname,BirthDate,IdNo&amp;$expand=Address($select=Street,HouseNo,Municipality,Zip,State)</t>
  </si>
  <si>
    <t>/Subjects?$filter=IdNo eq &lt;IČO&gt;&amp;$select=Id,ValidTo,Title,FirstName,Surname,BirthSurname,BirthDate,IdNo&amp;$expand=Address($select=Street,HouseNo,Municipality,Zip,State)&amp;$skip=&lt;preskočiť&gt;</t>
  </si>
  <si>
    <t>/Subjects/Kn.Search()?firstName=&lt;meno&gt;&amp;surname=&lt;priezvisko&gt;&amp;municipality=&lt;názov obce&gt;&amp;$select=Id,ValidTo,Title,FirstName,Surname,BirthSurname,BirthDate,IdNo&amp;$expand=Address($select=Street,HouseNo,Municipality,Zip,State)</t>
  </si>
  <si>
    <t>/Subjects/Kn.Search()?firstName=&lt;meno&gt;&amp;surname=&lt;priezvisko&gt;&amp;municipality=&lt;názov obce&gt;&amp;$select=Id,ValidTo,Title,FirstName,Surname,BirthSurname,BirthDate,IdNo&amp;$expand=Address($select=Street,HouseNo,Municipality,Zip,State)&amp;$skip=&lt;preskočiť&gt;</t>
  </si>
  <si>
    <t>/Subjects/Kn.Search()?firstName=&lt;meno&gt;&amp;surname=&lt;priezvisko&gt;&amp;cu=&lt;názov k.ú.&gt;&amp;$select=Id,ValidTo,Title,FirstName,Surname,BirthSurname,BirthDate,IdNo&amp;$expand=Address($select=Street,HouseNo,Municipality,Zip,State)</t>
  </si>
  <si>
    <t>/Subjects/Kn.Search()?firstName=&lt;meno&gt;&amp;surname=&lt;priezvisko&gt;&amp;cu=&lt;názov k.ú.&gt;&amp;$select=Id,ValidTo,Title,FirstName,Surname,BirthSurname,BirthDate,IdNo&amp;$expand=Address($select=Street,HouseNo,Municipality,Zip,State)&amp;$skip=&lt;preskočiť&gt;</t>
  </si>
  <si>
    <t>/Subjects/Kn.Search()?name=&lt;názov&gt;&amp;municipality=&lt;názov obce&gt;&amp;$select=Id,ValidTo,Title,FirstName,Surname,BirthSurname,BirthDate,IdNo&amp;$expand=Address($select=Street,HouseNo,Municipality,Zip,State)</t>
  </si>
  <si>
    <t>/Subjects/Kn.Search()?name=&lt;názov&gt;&amp;municipality=&lt;názov obce&gt;&amp;$select=Id,ValidTo,Title,FirstName,Surname,BirthSurname,BirthDate,IdNo&amp;$expand=Address($select=Street,HouseNo,Municipality,Zip,State)&amp;$skip=&lt;preskočiť&gt;</t>
  </si>
  <si>
    <t>/Subjects/Kn.Search()?name=&lt;názov&gt;&amp;cu=&lt;názov k.ú.&gt;&amp;$select=Id,ValidTo,Title,FirstName,Surname,BirthSurname,BirthDate,IdNo&amp;$expand=Address($select=Street,HouseNo,Municipality,Zip,State)</t>
  </si>
  <si>
    <t>/Subjects/Kn.Search()?name=&lt;názov&gt;&amp;cu=&lt;názov k.ú.&gt;&amp;$select=Id,ValidTo,Title,FirstName,Surname,BirthSurname,BirthDate,IdNo&amp;$expand=Address($select=Street,HouseNo,Municipality,Zip,State)&amp;$skip=&lt;preskočiť&gt;</t>
  </si>
  <si>
    <t>/Subjects(&lt;ID FOPO&gt;)/?$select=Id,ValidTo,Title,FirstName,Surname,BirthSurname,BirthDate,IdNo&amp;$expand=Address($select=Street,HouseNo,Municipality,Zip,State),Participants($select=Id)</t>
  </si>
  <si>
    <t>/Subjects(&lt;ID FOPO&gt;)/Participants?$skip=&lt;preskočiť&gt;</t>
  </si>
  <si>
    <t>/ParcelsC/?&amp;$filter=CadastralUnit/Code eq &lt;kód k.ú.&gt; and No eq '&lt;číslo parcely&gt;' and StatusId ne 3&amp;$select=Id,ValidTo,No,Area&amp;$expand=CadastralUnit($select=Id,Code,Name),Folio($select=Id,No;$expand=CadastralUnit($select=Id,Code,Name)),LandUse($select=Id,Code,Name),Utilisation($select=Id,Code,Name),Localization($select=Id,Code,Name),Affiliation($select=Id,Code,Name),OwnershipType($select=Id,Code,Name),OwnershipType($select=Id,Code,Name),SharedProperty($select=Id,Code,Name)</t>
  </si>
  <si>
    <t>/ParcelsC/?&amp;$filter=CadastralUnit/Code eq &lt;kód k.ú.&gt; and Folio/No eq &lt;číslo LV&gt;&amp;$select=Id,ValidTo,No,Area&amp;$expand=CadastralUnit($select=Id,Code,Name),Folio($select=Id,No;$expand=CadastralUnit($select=Id,Code,Name)),LandUse($select=Id,Code,Name),Utilisation($select=Id,Code,Name),Localization($select=Id,Code,Name),Affiliation($select=Id,Code,Name),OwnershipType($select=Id,Code,Name),OwnershipType($select=Id,Code,Name),SharedProperty($select=Id,Code,Name)</t>
  </si>
  <si>
    <t>/ParcelsC/?&amp;$filter=CadastralUnit/Code eq &lt;kód k.ú.&gt; and Folio/No eq &lt;číslo LV&gt;&amp;$select=Id,ValidTo,No,Area&amp;$expand=CadastralUnit($select=Id,Code,Name),Folio($select=Id,No;$expand=CadastralUnit($select=Id,Code,Name)),LandUse($select=Id,Code,Name),Utilisation($select=Id,Code,Name),Localization($select=Id,Code,Name),Affiliation($select=Id,Code,Name),OwnershipType($select=Id,Code,Name),OwnershipType($select=Id,Code,Name),SharedProperty($select=Id,Code,Name)&amp;$skip=&lt;preskočiť&gt;</t>
  </si>
  <si>
    <t>/ParcelsC/?&amp;$filter=Municipality/Code eq &lt;kód obce&gt; and No eq '&lt;číslo parcely&gt;' and StatusId ne 3&amp;$select=Id,ValidTo,No,Area&amp;$expand=CadastralUnit($select=Id,Code,Name),Folio($select=Id,No;$expand=CadastralUnit($select=Id,Code,Name)),LandUse($select=Id,Code,Name),Utilisation($select=Id,Code,Name),Localization($select=Id,Code,Name),Affiliation($select=Id,Code,Name),OwnershipType($select=Id,Code,Name),OwnershipType($select=Id,Code,Name),SharedProperty($select=Id,Code,Name)</t>
  </si>
  <si>
    <t>/ParcelsC/?&amp;$filter=Municipality/Code eq &lt;kód obce&gt; and Folio/No eq &lt;číslo LV&gt;&amp;$select=Id,ValidTo,No,Area&amp;$expand=CadastralUnit($select=Id,Code,Name),Folio($select=Id,No;$expand=CadastralUnit($select=Id,Code,Name)),LandUse($select=Id,Code,Name),Utilisation($select=Id,Code,Name),Localization($select=Id,Code,Name),Affiliation($select=Id,Code,Name),OwnershipType($select=Id,Code,Name),OwnershipType($select=Id,Code,Name),SharedProperty($select=Id,Code,Name)</t>
  </si>
  <si>
    <t>/ParcelsC/?&amp;$filter=Municipality/Code eq &lt;kód obce&gt; and Folio/No eq &lt;číslo LV&gt;&amp;$select=Id,ValidTo,No,Area&amp;$expand=CadastralUnit($select=Id,Code,Name),Folio($select=Id,No;$expand=CadastralUnit($select=Id,Code,Name)),LandUse($select=Id,Code,Name),Utilisation($select=Id,Code,Name),Localization($select=Id,Code,Name),Affiliation($select=Id,Code,Name),OwnershipType($select=Id,Code,Name),OwnershipType($select=Id,Code,Name),SharedProperty($select=Id,Code,Name)&amp;$skip=&lt;preskočiť&gt;</t>
  </si>
  <si>
    <t>/ParcelsC(&lt;ID parcely&gt;)/?&amp;$select=Id,ValidTo,No,Area&amp;$expand=CadastralUnit($select=Id,Code,Name),Folio($select=Id,No;$expand=CadastralUnit($select=Id,Code,Name)),LandUse($select=Id,Code,Name),ProtectedParcelsC($select=Id;$expand=ProtectedProperty($select=Id,Code,Name)),Utilisation($select=Id,Code,Name),Localization($select=Id,Code,Name),Affiliation($select=Id,Code,Name),OwnershipType($select=Id,Code,Name),OwnershipType($select=Id,Code,Name),SharedProperty($select=Id,Code,Name)</t>
  </si>
  <si>
    <t>/ParcelsE/?&amp;$filter=CadastralUnit/Code eq &lt;kód k.ú.&gt; and No eq '&lt;číslo parcely&gt;' and StatusId ne 3&amp;$select=Id,ValidTo,No,Area&amp;$expand=CadastralUnit($select=Id,Code,Name),OriginalCadastralUnit($select=Id,Value,Code,Name),Folio($select=Id,No;$expand=CadastralUnit($select=Id,Code,Name)),LandUse($select=Id,Code,Name),Localization($select=Id,Code,Name),OwnershipType($select=Id,Code,Name),SharedProperty($select=Id,Code,Name)</t>
  </si>
  <si>
    <t>/ParcelsE/?&amp;$filter=CadastralUnit/Code eq &lt;kód k.ú.&gt; and Folio/No eq &lt;číslo LV&gt; and StatusId ne 3&amp;$select=Id,ValidTo,No,Area&amp;$expand=CadastralUnit($select=Id,Code,Name),OriginalCadastralUnit($select=Id,Value,Code,Name),Folio($select=Id,No;$expand=CadastralUnit($select=Id,Code,Name)),LandUse($select=Id,Code,Name),Localization($select=Id,Code,Name),OwnershipType($select=Id,Code,Name),SharedProperty($select=Id,Code,Name)</t>
  </si>
  <si>
    <t>/ParcelsE/?&amp;$filter=CadastralUnit/Code eq &lt;kód k.ú.&gt; and Folio/No eq &lt;číslo LV&gt; and StatusId ne 3&amp;$select=Id,ValidTo,No,Area&amp;$expand=CadastralUnit($select=Id,Code,Name),OriginalCadastralUnit($select=Id,Value,Code,Name),Folio($select=Id,No;$expand=CadastralUnit($select=Id,Code,Name)),LandUse($select=Id,Code,Name),Localization($select=Id,Code,Name),OwnershipType($select=Id,Code,Name),SharedProperty($select=Id,Code,Name)&amp;$skip=&lt;preskočiť&gt;</t>
  </si>
  <si>
    <t>/ParcelsE/?&amp;$filter=CadastralUnit/Code eq &lt;kód k.ú.&gt; and No eq '&lt;číslo parcely&gt;' and OriginalCadastralUnitCode eq &lt;číslo p.k.ú.&gt;  and StatusId ne 3&amp;$select=Id,ValidTo,No,Area&amp;$expand=CadastralUnit($select=Id,Code,Name),OriginalCadastralUnit($select=Id,Value,Code,Name),Folio($select=Id,No;$expand=CadastralUnit($select=Id,Code,Name)),LandUse($select=Id,Code,Name),Localization($select=Id,Code,Name),OwnershipType($select=Id,Code,Name),SharedProperty($select=Id,Code,Name)</t>
  </si>
  <si>
    <t>/ParcelsE/?&amp;$filter=Municipality/Code eq &lt;kód obce&gt; and No eq '&lt;číslo parcely&gt;' and StatusId ne 3&amp;$select=Id,ValidTo,No,Area&amp;$expand=CadastralUnit($select=Id,Code,Name),OriginalCadastralUnit($select=Id,Value,Code,Name),Folio($select=Id,No;$expand=CadastralUnit($select=Id,Code,Name)),LandUse($select=Id,Code,Name),Localization($select=Id,Code,Name),OwnershipType($select=Id,Code,Name),SharedProperty($select=Id,Code,Name)</t>
  </si>
  <si>
    <t>/ParcelsE/?&amp;$filter=Municipality/Code eq &lt;kód obce&gt; and Folio/No eq &lt;číslo LV&gt; and StatusId ne 3&amp;$select=Id,ValidTo,No,Area&amp;$expand=CadastralUnit($select=Id,Code,Name),OriginalCadastralUnit($select=Id,Value,Code,Name),Folio($select=Id,No;$expand=CadastralUnit($select=Id,Code,Name)),LandUse($select=Id,Code,Name),Localization($select=Id,Code,Name),OwnershipType($select=Id,Code,Name),SharedProperty($select=Id,Code,Name)</t>
  </si>
  <si>
    <t>/ParcelsE/?&amp;$filter=Municipality/Code eq &lt;kód obce&gt; and Folio/No eq &lt;číslo LV&gt; and StatusId ne 3&amp;$select=Id,ValidTo,No,Area&amp;$expand=CadastralUnit($select=Id,Code,Name),OriginalCadastralUnit($select=Id,Value,Code,Name),Folio($select=Id,No;$expand=CadastralUnit($select=Id,Code,Name)),LandUse($select=Id,Code,Name),Localization($select=Id,Code,Name),OwnershipType($select=Id,Code,Name),SharedProperty($select=Id,Code,Name)&amp;$skip=&lt;preskočiť&gt;</t>
  </si>
  <si>
    <t>/ParcelsE(&lt;ID parcely&gt;)/?&amp;$select=Id,ValidTo,No,Area&amp;$expand=CadastralUnit($select=Id,Code,Name),OriginalCadastralUnit($select=Id,Value,Code,Name),Folio($select=Id,No;$expand=CadastralUnit($select=Id,Code,Name)),LandUse($select=Id,Code,Name),Localization($select=Id,Code,Name),OwnershipType($select=Id,Code,Name),SharedProperty($select=Id,Code,Name)</t>
  </si>
  <si>
    <t>/Constructions/?&amp;$filter=CadastralUnit/Code eq &lt;kód k.ú.&gt; and ParcelsC/any(p: p/No eq '&lt;číslo parcely&gt;')&amp;$select=Id,ValidTo,HouseNo,Description,SitePart&amp;$expand=Folio($select=Id,No;$expand=CadastralUnit($select=Id,Code,Name)),Type($select=Id,Name,Code),Localization($select=Id,Code,Name),ProtectedProperty($select=Id,Code,Name)</t>
  </si>
  <si>
    <t>/Constructions/?&amp;$filter=CadastralUnit/Code eq &lt;kód k.ú.&gt; and ParcelsC/any(p: p/No eq '&lt;číslo parcely&gt;')&amp;$select=Id,ValidTo,HouseNo,Description,SitePart&amp;$expand=Folio($select=Id,No;$expand=CadastralUnit($select=Id,Code,Name)),Type($select=Id,Name,Code),Localization($select=Id,Code,Name),ProtectedProperty($select=Id,Code,Name)&amp;$skip=&lt;preskočiť&gt;</t>
  </si>
  <si>
    <t>/Constructions/?&amp;$filter=CadastralUnit/Code eq &lt;kód k.ú.&gt; and Folio/No eq &lt;číslo LV&gt;&amp;$select=Id,ValidTo,HouseNo,Description,SitePart&amp;$expand=Folio($select=Id,No;$expand=CadastralUnit($select=Id,Code,Name)),Type($select=Id,Name,Code),Localization($select=Id,Code,Name),ProtectedProperty($select=Id,Code,Name)</t>
  </si>
  <si>
    <t>/Constructions/?&amp;$filter=CadastralUnit/Code eq &lt;kód k.ú.&gt; and Folio/No eq &lt;číslo LV&gt;&amp;$select=Id,ValidTo,HouseNo,Description,SitePart&amp;$expand=Folio($select=Id,No;$expand=CadastralUnit($select=Id,Code,Name)),Type($select=Id,Name,Code),Localization($select=Id,Code,Name),ProtectedProperty($select=Id,Code,Name)&amp;$skip=&lt;preskočiť&gt;</t>
  </si>
  <si>
    <t>/Constructions/?&amp;$filter=CadastralUnit/Code eq &lt;kód k.ú.&gt; and HouseNo eq &lt;súpisné číslo&gt;&amp;$select=Id,ValidTo,HouseNo,Description,SitePart&amp;$expand=Folio($select=Id,No;$expand=CadastralUnit($select=Id,Code,Name)),Type($select=Id,Name,Code),Localization($select=Id,Code,Name),ProtectedProperty($select=Id,Code,Name)</t>
  </si>
  <si>
    <t>/Constructions/?&amp;$filter=CadastralUnit/Code eq &lt;kód k.ú.&gt; and HouseNo eq &lt;súpisné číslo&gt;&amp;$select=Id,ValidTo,HouseNo,Description,SitePart&amp;$expand=Folio($select=Id,No;$expand=CadastralUnit($select=Id,Code,Name)),Type($select=Id,Name,Code),Localization($select=Id,Code,Name),ProtectedProperty($select=Id,Code,Name)&amp;$skip=&lt;preskočiť&gt;</t>
  </si>
  <si>
    <t>/Constructions/?&amp;$filter=Municipality/Code eq &lt;kód obce&gt; and ParcelsC/any(p: p/No eq '&lt;číslo parcely&gt;')&amp;$select=Id,ValidTo,HouseNo,Description,SitePart&amp;$expand=Folio($select=Id,No;$expand=CadastralUnit($select=Id,Code,Name)),Type($select=Id,Name,Code),Localization($select=Id,Code,Name),ProtectedProperty($select=Id,Code,Name)</t>
  </si>
  <si>
    <t>/Constructions/?&amp;$filter=Municipality/Code eq &lt;kód obce&gt; and ParcelsC/any(p: p/No eq '&lt;číslo parcely&gt;')&amp;$select=Id,ValidTo,HouseNo,Description,SitePart&amp;$expand=Folio($select=Id,No;$expand=CadastralUnit($select=Id,Code,Name)),Type($select=Id,Name,Code),Localization($select=Id,Code,Name),ProtectedProperty($select=Id,Code,Name)&amp;$skip=&lt;preskočiť&gt;</t>
  </si>
  <si>
    <t>/Constructions/?&amp;$filter=Municipality/Code eq &lt;kód obce&gt; and Folio/No eq &lt;číslo LV&gt;&amp;$select=Id,ValidTo,HouseNo,Description,SitePart&amp;$expand=Folio($select=Id,No;$expand=CadastralUnit($select=Id,Code,Name)),Type($select=Id,Name,Code),Localization($select=Id,Code,Name),ProtectedProperty($select=Id,Code,Name)</t>
  </si>
  <si>
    <t>/Constructions/?&amp;$filter=Municipality/Code eq &lt;kód obce&gt; and Folio/No eq &lt;číslo LV&gt;&amp;$select=Id,ValidTo,HouseNo,Description,SitePart&amp;$expand=Folio($select=Id,No;$expand=CadastralUnit($select=Id,Code,Name)),Type($select=Id,Name,Code),Localization($select=Id,Code,Name),ProtectedProperty($select=Id,Code,Name)&amp;$skip=&lt;preskočiť&gt;</t>
  </si>
  <si>
    <t>/Constructions/?&amp;$filter=Municipality/Code eq &lt;kód obce&gt; and HouseNo eq &lt;súpisné číslo&gt;&amp;$select=Id,ValidTo,HouseNo,Description,SitePart&amp;$expand=Folio($select=Id,No;$expand=CadastralUnit($select=Id,Code,Name)),Type($select=Id,Name,Code),Localization($select=Id,Code,Name),ProtectedProperty($select=Id,Code,Name)</t>
  </si>
  <si>
    <t>/Constructions/?&amp;$filter=Municipality/Code eq &lt;kód obce&gt; and HouseNo eq &lt;súpisné číslo&gt;&amp;$select=Id,ValidTo,HouseNo,Description,SitePart&amp;$expand=Folio($select=Id,No;$expand=CadastralUnit($select=Id,Code,Name)),Type($select=Id,Name,Code),Localization($select=Id,Code,Name),ProtectedProperty($select=Id,Code,Name)&amp;$skip=&lt;preskočiť&gt;</t>
  </si>
  <si>
    <t>/Constructions(&lt;ID stavby&gt;)?$select=Id,ValidTo,HouseNo,Description,SitePart&amp;$expand=ParcelsC($select=Id),Folio($select=Id,No;$expand=CadastralUnit($select=Id,Code,Name)),Type($select=Id,Name,Code),Localization($select=Id,Code,Name),ProtectedProperty($select=Id,Code,Name)</t>
  </si>
  <si>
    <t>/Spaces/?&amp;$filter=Entrance/HouseNo eq &lt;súpisné číslo&gt; and CadastralUnit/Code eq &lt;kód k.ú.&gt;&amp;$select=Id,ValidTo,FlatNo,NonresidentialNo,FloorNo,Numerator,Denominator&amp;$expand=Type($select=Id,Code,Name),NonresidentialType($select=Id,Code,Name),Entrance($select=Id,Label,HouseNo,SitePart),Construction($select=Id,HouseNo;$expand=Folio($select=Id,No;$expand=CadastralUnit($select=Id,Code,Name)))</t>
  </si>
  <si>
    <t>/Spaces/?&amp;$filter=Entrance/HouseNo eq &lt;súpisné číslo&gt; and CadastralUnit/Code eq &lt;kód k.ú.&gt;&amp;$select=Id,ValidTo,FlatNo,NonresidentialNo,FloorNo,Numerator,Denominator&amp;$expand=Type($select=Id,Code,Name),NonresidentialType($select=Id,Code,Name),Entrance($select=Id,Label,HouseNo,SitePart),Construction($select=Id,HouseNo;$expand=Folio($select=Id,No;$expand=CadastralUnit($select=Id,Code,Name)))&amp;$skip=&lt;preskočiť&gt;</t>
  </si>
  <si>
    <t>/Spaces/?&amp;$filter=Entrance/HouseNo eq &lt;súpisné číslo&gt; and CadastralUnit/Code eq &lt;kód k.ú.&gt; and FlatNo eq &lt;č. bytu&gt;&amp;$select=Id,ValidTo,FlatNo,NonresidentialNo,FloorNo,Numerator,Denominator&amp;$expand=Type($select=Id,Code,Name),NonresidentialType($select=Id,Code,Name),Entrance($select=Id,Label,HouseNo,SitePart),Construction($select=Id,HouseNo;$expand=Folio($select=Id,No;$expand=CadastralUnit($select=Id,Code,Name)))</t>
  </si>
  <si>
    <t>/Spaces/?&amp;$filter=Entrance/HouseNo eq &lt;súpisné číslo&gt; and CadastralUnit/Code eq &lt;kód k.ú.&gt; and FlatNo eq &lt;č. bytu&gt;&amp;$select=Id,ValidTo,FlatNo,NonresidentialNo,FloorNo,Numerator,Denominator&amp;$expand=Type($select=Id,Code,Name),NonresidentialType($select=Id,Code,Name),Entrance($select=Id,Label,HouseNo,SitePart),Construction($select=Id,HouseNo;$expand=Folio($select=Id,No;$expand=CadastralUnit($select=Id,Code,Name)))&amp;$skip=&lt;preskočiť&gt;</t>
  </si>
  <si>
    <t>/Spaces/?&amp;$filter=Entrance/HouseNo eq &lt;súpisné číslo&gt; and CadastralUnit/Code eq &lt;kód k.ú.&gt; and NonresidentialNo eq '&lt;č. nebyt. priestoru&gt;'&amp;$select=Id,ValidTo,FlatNo,NonresidentialNo,FloorNo,Numerator,Denominator&amp;$expand=Type($select=Id,Code,Name),NonresidentialType($select=Id,Code,Name),Entrance($select=Id,Label,HouseNo,SitePart),Construction($select=Id,HouseNo;$expand=Folio($select=Id,No;$expand=CadastralUnit($select=Id,Code,Name)))</t>
  </si>
  <si>
    <t>/Spaces/?&amp;$filter=Entrance/HouseNo eq &lt;súpisné číslo&gt; and CadastralUnit/Code eq &lt;kód k.ú.&gt; and NonresidentialNo eq '&lt;č. nebyt. priestoru&gt;'&amp;$select=Id,ValidTo,FlatNo,NonresidentialNo,FloorNo,Numerator,Denominator&amp;$expand=Type($select=Id,Code,Name),NonresidentialType($select=Id,Code,Name),Entrance($select=Id,Label,HouseNo,SitePart),Construction($select=Id,HouseNo;$expand=Folio($select=Id,No;$expand=CadastralUnit($select=Id,Code,Name)))&amp;$skip=&lt;preskočiť&gt;</t>
  </si>
  <si>
    <t>/Spaces/?&amp;$filter=CadastralUnit/Code eq &lt;kód k.ú.&gt; and Construction/Folio/No eq &lt;číslo LV&gt;&amp;$select=Id,ValidTo,FlatNo,NonresidentialNo,FloorNo,Numerator,Denominator&amp;$expand=Type($select=Id,Code,Name),NonresidentialType($select=Id,Code,Name),Entrance($select=Id,Label,HouseNo,SitePart),Construction($select=Id,HouseNo;$expand=Folio($select=Id,No;$expand=CadastralUnit($select=Id,Code,Name)))</t>
  </si>
  <si>
    <t>/Spaces/?&amp;$filter=CadastralUnit/Code eq &lt;kód k.ú.&gt; and Construction/Folio/No eq &lt;číslo LV&gt;&amp;$select=Id,ValidTo,FlatNo,NonresidentialNo,FloorNo,Numerator,Denominator&amp;$expand=Type($select=Id,Code,Name),NonresidentialType($select=Id,Code,Name),Entrance($select=Id,Label,HouseNo,SitePart),Construction($select=Id,HouseNo;$expand=Folio($select=Id,No;$expand=CadastralUnit($select=Id,Code,Name)))&amp;$skip=&lt;preskočiť&gt;</t>
  </si>
  <si>
    <t>/Spaces/?&amp;$filter=Municipality/Code eq &lt;kód obce&gt; and Entrance/HouseNo eq &lt;súpisné číslo&gt;&amp;$select=Id,ValidTo,FlatNo,NonresidentialNo,FloorNo,Numerator,Denominator&amp;$expand=Type($select=Id,Code,Name),NonresidentialType($select=Id,Code,Name),Entrance($select=Id,Label,HouseNo,SitePart),Construction($select=Id,HouseNo;$expand=Folio($select=Id,No;$expand=CadastralUnit($select=Id,Code,Name)))</t>
  </si>
  <si>
    <t>/Spaces/?&amp;$filter=Municipality/Code eq &lt;kód obce&gt; and Entrance/HouseNo eq &lt;súpisné číslo&gt;&amp;$select=Id,ValidTo,FlatNo,NonresidentialNo,FloorNo,Numerator,Denominator&amp;$expand=Type($select=Id,Code,Name),NonresidentialType($select=Id,Code,Name),Entrance($select=Id,Label,HouseNo,SitePart),Construction($select=Id,HouseNo;$expand=Folio($select=Id,No;$expand=CadastralUnit($select=Id,Code,Name)))&amp;$skip=&lt;preskočiť&gt;</t>
  </si>
  <si>
    <t>/Spaces/?&amp;$filter=Municipality/Code eq &lt;kód obce&gt; and Entrance/HouseNo eq &lt;súpisné číslo&gt; and FlatNo eq &lt;č. bytu&gt;&amp;$select=Id,ValidTo,FlatNo,NonresidentialNo,FloorNo,Numerator,Denominator&amp;$expand=Type($select=Id,Code,Name),NonresidentialType($select=Id,Code,Name),Entrance($select=Id,Label,HouseNo,SitePart),Construction($select=Id,HouseNo;$expand=Folio($select=Id,No;$expand=CadastralUnit($select=Id,Code,Name)))</t>
  </si>
  <si>
    <t>/Spaces/?&amp;$filter=Municipality/Code eq &lt;kód obce&gt; and Entrance/HouseNo eq &lt;súpisné číslo&gt; and FlatNo eq &lt;č. bytu&gt;&amp;$select=Id,ValidTo,FlatNo,NonresidentialNo,FloorNo,Numerator,Denominator&amp;$expand=Type($select=Id,Code,Name),NonresidentialType($select=Id,Code,Name),Entrance($select=Id,Label,HouseNo,SitePart),Construction($select=Id,HouseNo;$expand=Folio($select=Id,No;$expand=CadastralUnit($select=Id,Code,Name)))&amp;$skip=&lt;preskočiť&gt;</t>
  </si>
  <si>
    <t>/Spaces/?&amp;$filter=Municipality/Code eq &lt;kód obce&gt; and Entrance/HouseNo eq &lt;súpisné číslo&gt; and NonresidentialNo eq '&lt;č. nebyt. priestoru&gt;'&amp;$select=Id,ValidTo,FlatNo,NonresidentialNo,FloorNo,Numerator,Denominator&amp;$expand=Type($select=Id,Code,Name),NonresidentialType($select=Id,Code,Name),Entrance($select=Id,Label,HouseNo,SitePart),Construction($select=Id,HouseNo;$expand=Folio($select=Id,No;$expand=CadastralUnit($select=Id,Code,Name)))</t>
  </si>
  <si>
    <t>/Spaces/?&amp;$filter=Municipality/Code eq &lt;kód obce&gt; and Entrance/HouseNo eq &lt;súpisné číslo&gt; and NonresidentialNo eq '&lt;č. nebyt. priestoru&gt;'&amp;$select=Id,ValidTo,FlatNo,NonresidentialNo,FloorNo,Numerator,Denominator&amp;$expand=Type($select=Id,Code,Name),NonresidentialType($select=Id,Code,Name),Entrance($select=Id,Label,HouseNo,SitePart),Construction($select=Id,HouseNo;$expand=Folio($select=Id,No;$expand=CadastralUnit($select=Id,Code,Name)))&amp;$skip=&lt;preskočiť&gt;</t>
  </si>
  <si>
    <t>/Spaces/?&amp;$filter=Municipality/Code eq &lt;kód obce&gt; and Construction/Folio/No eq &lt;číslo LV&gt;&amp;$select=Id,ValidTo,FlatNo,NonresidentialNo,FloorNo,Numerator,Denominator&amp;$expand=Type($select=Id,Code,Name),NonresidentialType($select=Id,Code,Name),Entrance($select=Id,Label,HouseNo,SitePart),Construction($select=Id,HouseNo;$expand=Folio($select=Id,No;$expand=CadastralUnit($select=Id,Code,Name)))</t>
  </si>
  <si>
    <t>/Spaces/?&amp;$filter=Municipality/Code eq &lt;kód obce&gt; and Construction/Folio/No eq &lt;číslo LV&gt;&amp;$select=Id,ValidTo,FlatNo,NonresidentialNo,FloorNo,Numerator,Denominator&amp;$expand=Type($select=Id,Code,Name),NonresidentialType($select=Id,Code,Name),Entrance($select=Id,Label,HouseNo,SitePart),Construction($select=Id,HouseNo;$expand=Folio($select=Id,No;$expand=CadastralUnit($select=Id,Code,Name)))&amp;$skip=&lt;preskočiť&gt;</t>
  </si>
  <si>
    <t>/Spaces(&lt;ID priestoru&gt;)/?&amp;$select=Id,ValidTo,FlatNo,NonresidentialNo,FloorNo,Numerator,Denominator&amp;$expand=SpaceRecords($select=SpaceId;$expand=OwnershipRecord($select=Id;$expand=Folio($select=Id,No;$expand=CadastralUnit($select=Id,Code,Name)))),Type($select=Id,Code,Name),NonresidentialType($select=Id,Code,Name),Entrance($select=Id,Label,HouseNo,SitePart),Construction($select=Id,HouseNo;$expand=Folio($select=Id,No;$expand=CadastralUnit($select=Id,Code,Name)))</t>
  </si>
  <si>
    <t>/Participants/?$filter=CadastralUnit/Code eq &lt;kód k.ú.&gt; and Subjects/any(p: p/Id eq  &lt;ID FOPO&gt;) &amp;$select=Id,ValidTo,Name,Numerator,Denominator,Notes&amp;$expand=Type($select=Id,Code,Name),OwnerType($select=Id,Code,Name),OwnershipRecord($select=Order;$expand=Folio($select=Id,No;$expand=CadastralUnit($select=Id,Code,Name)))</t>
  </si>
  <si>
    <t>/Participants/?$filter=CadastralUnit/Code eq &lt;kód k.ú.&gt; and Subjects/any(p: p/Id eq  &lt;ID FOPO&gt;) &amp;$select=Id,ValidTo,Name,Numerator,Denominator,Notes&amp;$expand=Type($select=Id,Code,Name),OwnerType($select=Id,Code,Name),OwnershipRecord($select=Order;$expand=Folio($select=Id,No;$expand=CadastralUnit($select=Id,Code,Name)))&amp;$skip=&lt;preskočiť&gt;</t>
  </si>
  <si>
    <t>/Participants/?$filter=CadastralUnit/Code eq &lt;kód k.ú.&gt; and OwnershipRecord/Folio/ParcelsC/any(p: p/No eq '&lt;číslo parcely&gt;')&amp;$select=Id,ValidTo,Name,Numerator,Denominator,Notes&amp;$expand=Type($select=Id,Code,Name),OwnerType($select=Id,Code,Name),OwnershipRecord($select=Order;$expand=Folio($select=Id,No;$expand=CadastralUnit($select=Id,Code,Name)))</t>
  </si>
  <si>
    <t>/Participants/?$filter=CadastralUnit/Code eq &lt;kód k.ú.&gt; and OwnershipRecord/Folio/ParcelsC/any(p: p/No eq '&lt;číslo parcely&gt;')&amp;$select=Id,ValidTo,Name,Numerator,Denominator,Notes&amp;$expand=Type($select=Id,Code,Name),OwnerType($select=Id,Code,Name),OwnershipRecord($select=Order;$expand=Folio($select=Id,No;$expand=CadastralUnit($select=Id,Code,Name)))&amp;$skip=&lt;preskočiť&gt;</t>
  </si>
  <si>
    <t>/Participants/?$filter=CadastralUnit/Code eq &lt;kód k.ú.&gt; and OwnershipRecord/Folio/ParcelsE/any(p: p/No eq '&lt;číslo parcely&gt;')&amp;$select=Id,ValidTo,Name,Numerator,Denominator,Notes&amp;$expand=Type($select=Id,Code,Name),OwnerType($select=Id,Code,Name),OwnershipRecord($select=Order;$expand=Folio($select=Id,No;$expand=CadastralUnit($select=Id,Code,Name)))</t>
  </si>
  <si>
    <t>/Participants/?$filter=CadastralUnit/Code eq &lt;kód k.ú.&gt; and OwnershipRecord/Folio/ParcelsE/any(p: p/No eq '&lt;číslo parcely&gt;')&amp;$select=Id,ValidTo,Name,Numerator,Denominator,Notes&amp;$expand=Type($select=Id,Code,Name),OwnerType($select=Id,Code,Name),OwnershipRecord($select=Order;$expand=Folio($select=Id,No;$expand=CadastralUnit($select=Id,Code,Name)))&amp;$skip=&lt;preskočiť&gt;</t>
  </si>
  <si>
    <t>/Participants/?$filter=CadastralUnit/Code eq &lt;kód k.ú.&gt; and OwnershipRecord/Folio/ParcelsE/any(p: p/No eq '&lt;číslo parcely&gt;' and p/OriginalCadastralUnitCode eq &lt;číslo p.k.ú.&gt;  )&amp;$select=Id,ValidTo,Name,Numerator,Denominator,Notes&amp;$expand=Type($select=Id,Code,Name),OwnerType($select=Id,Code,Name),OwnershipRecord($select=Order;$expand=Folio($select=Id,No;$expand=CadastralUnit($select=Id,Code,Name)))</t>
  </si>
  <si>
    <t>/Participants/?$filter=CadastralUnit/Code eq &lt;kód k.ú.&gt; and OwnershipRecord/Folio/ParcelsE/any(p: p/No eq '&lt;číslo parcely&gt;' and p/OriginalCadastralUnitCode eq &lt;číslo p.k.ú.&gt;  )&amp;$select=Id,ValidTo,Name,Numerator,Denominator,Notes&amp;$expand=Type($select=Id,Code,Name),OwnerType($select=Id,Code,Name),OwnershipRecord($select=Order;$expand=Folio($select=Id,No;$expand=CadastralUnit($select=Id,Code,Name)))&amp;$skip=&lt;preskočiť&gt;</t>
  </si>
  <si>
    <t>/Participants/?$filter=CadastralUnit/Code eq &lt;kód k.ú.&gt; and OwnershipRecord/Folio/Constructions/any(p: p/HouseNo eq &lt;súpisné číslo&gt;)&amp;$select=Id,ValidTo,Name,Numerator,Denominator,Notes&amp;$expand=Type($select=Id,Code,Name),OwnerType($select=Id,Code,Name),OwnershipRecord($select=Order;$expand=Folio($select=Id,No;$expand=CadastralUnit($select=Id,Code,Name)))</t>
  </si>
  <si>
    <t>/Participants/?$filter=CadastralUnit/Code eq &lt;kód k.ú.&gt; and OwnershipRecord/Folio/Constructions/any(p: p/HouseNo eq &lt;súpisné číslo&gt;)&amp;$select=Id,ValidTo,Name,Numerator,Denominator,Notes&amp;$expand=Type($select=Id,Code,Name),OwnerType($select=Id,Code,Name),OwnershipRecord($select=Order;$expand=Folio($select=Id,No;$expand=CadastralUnit($select=Id,Code,Name)))&amp;$skip=&lt;preskočiť&gt;</t>
  </si>
  <si>
    <t>/Participants/?$filter=CadastralUnit/Code eq &lt;kód k.ú.&gt; and OwnershipRecord/Folio/Constructions/any(p: p/HouseNo eq &lt;súpisné číslo&gt;) and OwnershipRecord/SpaceRecords/any(p: p/Space/FlatNo eq &lt;č. bytu&gt;)&amp;$select=Id,ValidTo,Name,Numerator,Denominator,Notes&amp;$expand=Type($select=Id,Code,Name),OwnerType($select=Id,Code,Name),OwnershipRecord($select=Order;$expand=Folio($select=Id,No;$expand=CadastralUnit($select=Id,Code,Name)))</t>
  </si>
  <si>
    <t>/Participants/?$filter=CadastralUnit/Code eq &lt;kód k.ú.&gt; and OwnershipRecord/Folio/Constructions/any(p: p/HouseNo eq &lt;súpisné číslo&gt;) and OwnershipRecord/SpaceRecords/any(p: p/Space/FlatNo eq &lt;č. bytu&gt;)&amp;$select=Id,ValidTo,Name,Numerator,Denominator,Notes&amp;$expand=Type($select=Id,Code,Name),OwnerType($select=Id,Code,Name),OwnershipRecord($select=Order;$expand=Folio($select=Id,No;$expand=CadastralUnit($select=Id,Code,Name)))&amp;$skip=&lt;preskočiť&gt;</t>
  </si>
  <si>
    <t>/Participants/?$filter=CadastralUnit/Code eq &lt;kód k.ú.&gt; and OwnershipRecord/Folio/Constructions/any(p: p/HouseNo eq &lt;súpisné číslo&gt;) and OwnershipRecord/SpaceRecords/any(p: p/Space/NonresidentialNo eq '&lt;č. nebyt. priestoru&gt;')&amp;$select=Id,ValidTo,Name,Numerator,Denominator,Notes&amp;$expand=Type($select=Id,Code,Name),OwnerType($select=Id,Code,Name),OwnershipRecord($select=Order;$expand=Folio($select=Id,No;$expand=CadastralUnit($select=Id,Code,Name)))</t>
  </si>
  <si>
    <t>/Participants/?$filter=CadastralUnit/Code eq &lt;kód k.ú.&gt; and OwnershipRecord/Folio/Constructions/any(p: p/HouseNo eq &lt;súpisné číslo&gt;) and OwnershipRecord/SpaceRecords/any(p: p/Space/NonresidentialNo eq '&lt;č. nebyt. priestoru&gt;')&amp;$select=Id,ValidTo,Name,Numerator,Denominator,Notes&amp;$expand=Type($select=Id,Code,Name),OwnerType($select=Id,Code,Name),OwnershipRecord($select=Order;$expand=Folio($select=Id,No;$expand=CadastralUnit($select=Id,Code,Name)))&amp;$skip=&lt;preskočiť&gt;</t>
  </si>
  <si>
    <t>/Participants(&lt;ID účastníka&gt;)/?&amp;$select=Id,ValidTo,Name,Numerator,Denominator,Notes&amp;$expand=Type($select=Id,Code,Name),OwnerType($select=Id,Code,Name),OwnershipRecord($select=Order;$expand=Folio($select=Id,No;$expand=CadastralUnit($select=Id,Code,Name),ParcelsC($select=Id),ParcelsE($select=Id),Constructions($select=Id)),SpaceRecords($select=Numerator,Denominator;$expand=Space($select=Id)),LegalRightRecords($select=LegalRightId;$expand=FolioPartType($select=Id,Code,Name),LegalRight($select=Id,Text,TextFull)))</t>
  </si>
  <si>
    <t>/Folios(&lt;ID účastníka&gt;)/ParcelsC?$skip=&lt;preskočiť&gt;</t>
  </si>
  <si>
    <t>/Folios(&lt;ID účastníka&gt;)/ParcelsE?$skip=&lt;preskočiť&gt;</t>
  </si>
  <si>
    <t>/Folios(&lt;ID účastníka&gt;)/Constructions?$skip=&lt;preskočiť&gt;</t>
  </si>
  <si>
    <t>/Folios(&lt;ID účastníka&gt;)/SpaceRecords?$skip=&lt;preskočiť&gt;</t>
  </si>
  <si>
    <t>/Folios(&lt;ID účastníka&gt;)/LegalRightRecords?$skip=&lt;preskočiť&gt;</t>
  </si>
  <si>
    <t>/Folios(&lt;ID LV&gt;)/?&amp;$select=Id,ValidTo,No&amp;$expand=CadastralUnit($select=Id,Code,Name),Records($filter=Order eq 0;$select=Id;$expand=LegalRightRecords($select=LegalRightId;$expand=FolioPartType($select=Id,Code,Name),LegalRight($select=Id,Text,TextFull)))</t>
  </si>
  <si>
    <t>/OwnershipRecords(&lt;ID LV&gt;)/LegalRightRecords?$skip=&lt;preskočiť&gt;</t>
  </si>
  <si>
    <t>/Regions?&amp;$select=Id,ValidTo,Code,Name&amp;$orderby=Name</t>
  </si>
  <si>
    <t>/Regions?$filter=Code eq &lt;kód kraja&gt;&amp;$select=Id,ValidTo,Code,Name&amp;$orderby=Name</t>
  </si>
  <si>
    <t>/Regions?$filter=Name eq '&lt;názov kraja&gt;'&amp;$select=Id,ValidTo,Code,Name&amp;$orderby=Name</t>
  </si>
  <si>
    <t>/Regions?$filter=Id eq &lt;ID kraja&gt;&amp;$select=Id,ValidTo,Code,Name&amp;$orderby=Name</t>
  </si>
  <si>
    <t>/Districts?&amp;$select=Id,ValidTo,Code,Name&amp;$expand=Region($select=Id,Code,Name)&amp;$orderby=Name</t>
  </si>
  <si>
    <t>/Districts?$filter=Region/Code eq &lt;kód kraja&gt;&amp;$select=Id,ValidTo,Code,Name&amp;$expand=Region($select=Id,Code,Name)&amp;$orderby=Name</t>
  </si>
  <si>
    <t>/Districts?$filter=Code eq &lt;kód okresu&gt;&amp;$select=Id,ValidTo,Code,Name&amp;$expand=Region($select=Id,Code,Name)&amp;$orderby=Name</t>
  </si>
  <si>
    <t>/Districts?$filter=Name eq '&lt;názov okresu&gt;'&amp;$select=Id,ValidTo,Code,Name&amp;$expand=Region($select=Id,Code,Name)&amp;$orderby=Name</t>
  </si>
  <si>
    <t>/Districts?$filter=Id eq &lt;ID okresu&gt;&amp;$select=Id,ValidTo,Code,Name&amp;$expand=Region($select=Id,Code,Name)&amp;$orderby=Name</t>
  </si>
  <si>
    <t>/Municipalities?&amp;$select=Id,ValidTo,Code,Name&amp;$expand=District($select=Id,Code,Name)&amp;$orderby=Name</t>
  </si>
  <si>
    <t>/Municipalities?&amp;$select=Id,ValidTo,Code,Name&amp;$expand=District($select=Id,Code,Name)&amp;$orderby=Name&amp;$skip=&lt;preskočiť&gt;</t>
  </si>
  <si>
    <t>/Municipalities?$filter=District/Code eq &lt;kód okresu&gt;&amp;$select=Id,ValidTo,Code,Name&amp;$expand=District($select=Id,Code,Name)&amp;$orderby=Name</t>
  </si>
  <si>
    <t>/Municipalities?$filter=Code eq &lt;kód obce&gt;&amp;$select=Id,ValidTo,Code,Name&amp;$expand=District($select=Id,Code,Name)&amp;$orderby=Name</t>
  </si>
  <si>
    <t>/Municipalities?$filter=Name eq '&lt;názov obce&gt;'&amp;$select=Id,ValidTo,Code,Name&amp;$expand=District($select=Id,Code,Name)&amp;$orderby=Name</t>
  </si>
  <si>
    <t>/Municipalities?$filter=Id eq &lt;ID obce&gt;&amp;$select=Id,ValidTo,Code,Name&amp;$expand=District($select=Id,Code,Name)&amp;$orderby=Name</t>
  </si>
  <si>
    <t>/CadastralUnits?&amp;$select=Id,ValidTo,Code,Name&amp;$expand=Municipality($select=Id,Code,Name)&amp;$orderby=Name</t>
  </si>
  <si>
    <t>/CadastralUnits?&amp;$select=Id,ValidTo,Code,Name&amp;$expand=Municipality($select=Id,Code,Name)&amp;$orderby=Name&amp;$skip=&lt;preskočiť&gt;</t>
  </si>
  <si>
    <t>/CadastralUnits?$filter=Municipality/Code eq &lt;kód obce&gt;&amp;$select=Id,ValidTo,Code,Name&amp;$expand=Municipality($select=Id,Code,Name)&amp;$orderby=Name</t>
  </si>
  <si>
    <t>/CadastralUnits?$filter=Code eq &lt;kód k.ú.&gt;&amp;$select=Id,ValidTo,Code,Name&amp;$expand=Municipality($select=Id,Code,Name)&amp;$orderby=Name</t>
  </si>
  <si>
    <t>/CadastralUnits?$filter=Name eq '&lt;názov k.ú.&gt;'&amp;$select=Id,ValidTo,Code,Name&amp;$expand=Municipality($select=Id,Code,Name)&amp;$orderby=Name</t>
  </si>
  <si>
    <t>/CadastralUnits?$filter=Id eq &lt;ID k.ú.&gt;&amp;$select=Id,ValidTo,Code,Name&amp;$expand=Municipality($select=Id,Code,Name)&amp;$orderby=Name</t>
  </si>
  <si>
    <t>/OriginalCadastralUnits?$filter=Id gt 0&amp;$select=Id,ValidTo,Value,Code,Name&amp;$expand=CadastralUnit($select=Id,Code,Name)&amp;$orderby=Name</t>
  </si>
  <si>
    <t>/OriginalCadastralUnits?$filter=Id gt 0&amp;$select=Id,ValidTo,Value,Code,Name&amp;$expand=CadastralUnit($select=Id,Code,Name)&amp;$orderby=Name&amp;$skip=&lt;preskočiť&gt;</t>
  </si>
  <si>
    <t>/OriginalCadastralUnits?$filter=CadastralUnit/Code eq &lt;kód k.ú.&gt; and Id gt 0&amp;$select=Id,ValidTo,Value,Code,Name&amp;$expand=CadastralUnit($select=Id,Code,Name)&amp;$orderby=Name</t>
  </si>
  <si>
    <t>/OriginalCadastralUnits?$filter=Id eq &lt;ID pôv. k.ú.&gt;&amp;$select=Id,ValidTo,Value,Code,Name&amp;$expand=CadastralUnit($select=Id,Code,Name)&amp;$orderby=Name</t>
  </si>
  <si>
    <t>/ProtectedProperties?$filter=Id gt 0&amp;$select=Id,ValidTo,Code,Name&amp;$orderby=Code</t>
  </si>
  <si>
    <t>/LandUses?$filter=Id%20gt%200&amp;$select=Id,ValidTo,Code,Name&amp;$orderby=Code</t>
  </si>
  <si>
    <t>/SharedProperties?$filter=Id%20gt%200&amp;$select=Id,ValidTo,Code,Name&amp;$orderby=Code</t>
  </si>
  <si>
    <t>/ParticipantTypes?$filter=Id%20gt%200&amp;$select=Id,ValidTo,Code,Name&amp;$orderby=Code</t>
  </si>
  <si>
    <t>/Affiliations?$filter=Id%20gt%200&amp;$select=Id,ValidTo,Code,Name&amp;$orderby=Code</t>
  </si>
  <si>
    <t>/Utilisations?$filter=Id%20gt%200&amp;$select=Id,ValidTo,Code,Name&amp;$orderby=Code</t>
  </si>
  <si>
    <t>/FolioPartTypes?$filter=Id%20gt%200&amp;$select=Id,ValidTo,Code,Name&amp;$orderby=Code</t>
  </si>
  <si>
    <t>/SpaceTypes?$filter=Id%20gt%200&amp;$select=Id,ValidTo,Code,Name&amp;$orderby=Code</t>
  </si>
  <si>
    <t>/ConstructionTypes?$filter=Id%20gt%200&amp;$select=Id,ValidTo,Code,Name&amp;$orderby=Code</t>
  </si>
  <si>
    <t>/OwnerTypes?$filter=Id%20gt%200&amp;$select=Id,ValidTo,Code,Name&amp;$orderby=Code</t>
  </si>
  <si>
    <t>/Localizations?$filter=Id%20gt%200&amp;$select=Id,ValidTo,Code,Name&amp;$orderby=Code</t>
  </si>
  <si>
    <t>/ConstructionLocalizations?$filter=Id%20gt%200&amp;$select=Id,ValidTo,Code,Name&amp;$orderby=Code</t>
  </si>
  <si>
    <t>/OwnershipTypes?$filter=Id%20gt%200&amp;$select=Id,ValidTo,Code,Name&amp;$orderby=Code</t>
  </si>
  <si>
    <t>/NonresidentialSpaceTypes?$filter=Id%20gt%200&amp;$select=Id,ValidTo,Code,Name&amp;$orderby=Code</t>
  </si>
  <si>
    <t>/Folios/?$filter=CadastralUnit/Code eq &lt;kód k.ú.&gt; and No eq &lt;číslo LV&gt;&amp;$select=Id,ValidTo,No,HasCaveats,IdentificationDate&amp;$expand=CadastralUnit($select=Id,Code,Name;$expand=Municipality($select=Id,Code,Name;$expand=District($select=Id,Code,Name)))</t>
  </si>
  <si>
    <t>/Folios?$filter=ParcelsC/any(d:d/No eq '&lt;číslo parcely&gt;') and CadastralUnit/Code eq &lt;kód k.ú.&gt;&amp;$select=Id,ValidTo,No,HasCaveats,IdentificationDate&amp;$expand=CadastralUnit($select=Id,Code,Name;$expand=Municipality($select=Id,Code,Name;$expand=District($select=Id,Code,Name)))</t>
  </si>
  <si>
    <t>/Folios?$filter=ParcelsE/any(d:d/No eq '&lt;číslo parcely&gt;') and CadastralUnit/Code eq &lt;kód k.ú.&gt;&amp;$select=Id,ValidTo,No,HasCaveats,IdentificationDate&amp;$expand=CadastralUnit($select=Id,Code,Name;$expand=Municipality($select=Id,Code,Name;$expand=District($select=Id,Code,Name)))</t>
  </si>
  <si>
    <t>/Folios?$filter=Constructions/any(d:d/HouseNo eq &lt;súpisné číslo&gt;) and CadastralUnit/Code eq &lt;kód k.ú.&gt;&amp;$select=Id,ValidTo,No,HasCaveats,IdentificationDate&amp;$expand=CadastralUnit($select=Id,Code,Name;$expand=Municipality($select=Id,Code,Name;$expand=District($select=Id,Code,Name)))</t>
  </si>
  <si>
    <t>/Folios/?$filter=Id eq &lt;ID LV&gt;&amp;$select=Id,ValidTo,No,HasCaveats,IdentificationDate&amp;$expand=CadastralUnit($select=Id,Code,Name;$expand=Municipality($select=Id,Code,Name;$expand=District($select=Id,Code,Name)))</t>
  </si>
  <si>
    <t>/GeneratePrf?prfNumber=&lt;číslo LV&gt;&amp;cadastralUnitCode=&lt;kód k.ú.&gt;&amp;outputType=pdf</t>
  </si>
  <si>
    <t>/GeneratePrf?parcelC=&lt;číslo parcely&gt;&amp;cadastralUnitCode=&lt;kód k.ú.&gt;&amp;outputType=pdf</t>
  </si>
  <si>
    <t>/GeneratePrf?parcelE=&lt;číslo parcely&gt;&amp;cadastralUnitCode=&lt;kód k.ú.&gt;&amp;outputType=pdf</t>
  </si>
  <si>
    <t>/GeneratePrf?houseNo=&lt;súpisné číslo&gt;&amp;cadastralUnitCode=&lt;kód k.ú.&gt;&amp;outputType=pdf</t>
  </si>
  <si>
    <t>/GeneratePrf?prfId=&lt;ID LV&gt;&amp;outputType=pdf</t>
  </si>
  <si>
    <t>/GeneratePrf?prfNumber=&lt;číslo LV&gt;&amp;cadastralUnitCode=&lt;kód k.ú.&gt;&amp;outputType=html</t>
  </si>
  <si>
    <t>/GeneratePrf?parcelC=&lt;číslo parcely&gt;&amp;cadastralUnitCode=&lt;kód k.ú.&gt;&amp;outputType=html</t>
  </si>
  <si>
    <t>/GeneratePrf?parcelE=&lt;číslo parcely&gt;&amp;cadastralUnitCode=&lt;kód k.ú.&gt;&amp;outputType=html</t>
  </si>
  <si>
    <t>/GeneratePrf?houseNo=&lt;súpisné číslo&gt;&amp;cadastralUnitCode=&lt;kód k.ú.&gt;&amp;outputType=html</t>
  </si>
  <si>
    <t>/GeneratePrf?prfId=&lt;ID LV&gt;&amp;outputType=html</t>
  </si>
  <si>
    <t>/ParcelsC/?&amp;$filter=CadastralUnit/Code eq &lt;kód k.ú.&gt; and StatusId ne 3&amp;$select=Id,ValidTo,No,Area&amp;$expand=CadastralUnit($select=Id,Code,Name),Folio($select=Id,No;$expand=CadastralUnit($select=Id,Code,Name)),LandUse($select=Id,Code,Name),Utilisation($select=Id,Code,Name),Localization($select=Id,Code,Name),Affiliation($select=Id,Code,Name),OwnershipType($select=Id,Code,Name),OwnershipType($select=Id,Code,Name),SharedProperty($select=Id,Code,Name)</t>
  </si>
  <si>
    <t>/ParcelsC/?&amp;$filter=CadastralUnit/Code eq &lt;kód k.ú.&gt; and StatusId ne 3&amp;$select=Id,ValidTo,No,Area&amp;$expand=CadastralUnit($select=Id,Code,Name),Folio($select=Id,No;$expand=CadastralUnit($select=Id,Code,Name)),LandUse($select=Id,Code,Name),Utilisation($select=Id,Code,Name),Localization($select=Id,Code,Name),Affiliation($select=Id,Code,Name),OwnershipType($select=Id,Code,Name),OwnershipType($select=Id,Code,Name),SharedProperty($select=Id,Code,Name)&amp;$skip=&lt;preskočiť&gt;</t>
  </si>
  <si>
    <t>/ParcelsC/?&amp;$filter=Municipality/Code eq &lt;kód obce&gt; and StatusId ne 3&amp;$select=Id,ValidTo,No,Area&amp;$expand=CadastralUnit($select=Id,Code,Name),Folio($select=Id,No;$expand=CadastralUnit($select=Id,Code,Name)),LandUse($select=Id,Code,Name),Utilisation($select=Id,Code,Name),Localization($select=Id,Code,Name),Affiliation($select=Id,Code,Name),OwnershipType($select=Id,Code,Name),OwnershipType($select=Id,Code,Name),SharedProperty($select=Id,Code,Name)</t>
  </si>
  <si>
    <t>/ParcelsC/?&amp;$filter=Municipality/Code eq &lt;kód obce&gt; and StatusId ne 3&amp;$select=Id,ValidTo,No,Area&amp;$expand=CadastralUnit($select=Id,Code,Name),Folio($select=Id,No;$expand=CadastralUnit($select=Id,Code,Name)),LandUse($select=Id,Code,Name),Utilisation($select=Id,Code,Name),Localization($select=Id,Code,Name),Affiliation($select=Id,Code,Name),OwnershipType($select=Id,Code,Name),OwnershipType($select=Id,Code,Name),SharedProperty($select=Id,Code,Name)&amp;$skip=&lt;preskočiť&gt;</t>
  </si>
  <si>
    <t>/ParcelsE/?&amp;$filter=CadastralUnit/Code eq &lt;kód k.ú.&gt; and StatusId ne 3&amp;$select=Id,ValidTo,No,Area&amp;$expand=CadastralUnit($select=Id,Code,Name),OriginalCadastralUnit($select=Id,Value,Code,Name),Folio($select=Id,No;$expand=CadastralUnit($select=Id,Code,Name)),LandUse($select=Id,Code,Name),Localization($select=Id,Code,Name),OwnershipType($select=Id,Code,Name),SharedProperty($select=Id,Code,Name)</t>
  </si>
  <si>
    <t>/ParcelsE/?&amp;$filter=CadastralUnit/Code eq &lt;kód k.ú.&gt; and StatusId ne 3&amp;$select=Id,ValidTo,No,Area&amp;$expand=CadastralUnit($select=Id,Code,Name),OriginalCadastralUnit($select=Id,Value,Code,Name),Folio($select=Id,No;$expand=CadastralUnit($select=Id,Code,Name)),LandUse($select=Id,Code,Name),Localization($select=Id,Code,Name),OwnershipType($select=Id,Code,Name),SharedProperty($select=Id,Code,Name)&amp;$skip=&lt;preskočiť&gt;</t>
  </si>
  <si>
    <t>/ParcelsE/?&amp;$filter=Municipality/Code eq &lt;kód obce&gt; and StatusId ne 3&amp;$select=Id,ValidTo,No,Area&amp;$expand=CadastralUnit($select=Id,Code,Name),OriginalCadastralUnit($select=Id,Value,Code,Name),Folio($select=Id,No;$expand=CadastralUnit($select=Id,Code,Name)),LandUse($select=Id,Code,Name),Localization($select=Id,Code,Name),OwnershipType($select=Id,Code,Name),SharedProperty($select=Id,Code,Name)</t>
  </si>
  <si>
    <t>/ParcelsE/?&amp;$filter=Municipality/Code eq &lt;kód obce&gt; and StatusId ne 3&amp;$select=Id,ValidTo,No,Area&amp;$expand=CadastralUnit($select=Id,Code,Name),OriginalCadastralUnit($select=Id,Value,Code,Name),Folio($select=Id,No;$expand=CadastralUnit($select=Id,Code,Name)),LandUse($select=Id,Code,Name),Localization($select=Id,Code,Name),OwnershipType($select=Id,Code,Name),SharedProperty($select=Id,Code,Name)&amp;$skip=&lt;preskočiť&gt;</t>
  </si>
  <si>
    <t>/Constructions/?&amp;$filter=CadastralUnit/Code eq &lt;kód k.ú.&gt;&amp;$select=Id,ValidTo,HouseNo,Description,SitePart&amp;$expand=Folio($select=Id,No;$expand=CadastralUnit($select=Id,Code,Name)),Type($select=Id,Name,Code),Localization($select=Id,Code,Name),ProtectedProperty($select=Id,Code,Name)</t>
  </si>
  <si>
    <t>/Constructions/?&amp;$filter=CadastralUnit/Code eq &lt;kód k.ú.&gt;&amp;$select=Id,ValidTo,HouseNo,Description,SitePart&amp;$expand=Folio($select=Id,No;$expand=CadastralUnit($select=Id,Code,Name)),Type($select=Id,Name,Code),Localization($select=Id,Code,Name),ProtectedProperty($select=Id,Code,Name)&amp;$skip=&lt;preskočiť&gt;</t>
  </si>
  <si>
    <t>/Constructions/?&amp;$filter=Municipality/Code eq &lt;kód obce&gt;&amp;$select=Id,ValidTo,HouseNo,Description,SitePart&amp;$expand=Folio($select=Id,No;$expand=CadastralUnit($select=Id,Code,Name)),Type($select=Id,Name,Code),Localization($select=Id,Code,Name),ProtectedProperty($select=Id,Code,Name)</t>
  </si>
  <si>
    <t>/Constructions/?&amp;$filter=Municipality/Code eq &lt;kód obce&gt;&amp;$select=Id,ValidTo,HouseNo,Description,SitePart&amp;$expand=Folio($select=Id,No;$expand=CadastralUnit($select=Id,Code,Name)),Type($select=Id,Name,Code),Localization($select=Id,Code,Name),ProtectedProperty($select=Id,Code,Name)&amp;$skip=&lt;preskočiť&gt;</t>
  </si>
  <si>
    <t>/Spaces/?&amp;$filter=CadastralUnit/Code eq &lt;kód k.ú.&gt;&amp;$select=Id,ValidTo,FlatNo,NonresidentialNo,FloorNo,Numerator,Denominator&amp;$expand=Type($select=Id,Code,Name),NonresidentialType($select=Id,Code,Name),Entrance($select=Id,Label,HouseNo,SitePart),Construction($select=Id,HouseNo;$expand=Folio($select=Id,No;$expand=CadastralUnit($select=Id,Code,Name)))</t>
  </si>
  <si>
    <t>/Spaces/?&amp;$filter=CadastralUnit/Code eq &lt;kód k.ú.&gt;&amp;$select=Id,ValidTo,FlatNo,NonresidentialNo,FloorNo,Numerator,Denominator&amp;$expand=Type($select=Id,Code,Name),NonresidentialType($select=Id,Code,Name),Entrance($select=Id,Label,HouseNo,SitePart),Construction($select=Id,HouseNo;$expand=Folio($select=Id,No;$expand=CadastralUnit($select=Id,Code,Name)))&amp;$skip=&lt;preskočiť&gt;</t>
  </si>
  <si>
    <t>/Spaces/?&amp;$filter=Municipality/Code eq &lt;kód obce&gt;&amp;$select=Id,ValidTo,FlatNo,NonresidentialNo,FloorNo,Numerator,Denominator&amp;$expand=Type($select=Id,Code,Name),NonresidentialType($select=Id,Code,Name),Entrance($select=Id,Label,HouseNo,SitePart),Construction($select=Id,HouseNo;$expand=Folio($select=Id,No;$expand=CadastralUnit($select=Id,Code,Name)))</t>
  </si>
  <si>
    <t>/Spaces/?&amp;$filter=Municipality/Code eq &lt;kód obce&gt;&amp;$select=Id,ValidTo,FlatNo,NonresidentialNo,FloorNo,Numerator,Denominator&amp;$expand=Type($select=Id,Code,Name),NonresidentialType($select=Id,Code,Name),Entrance($select=Id,Label,HouseNo,SitePart),Construction($select=Id,HouseNo;$expand=Folio($select=Id,No;$expand=CadastralUnit($select=Id,Code,Name)))&amp;$skip=&lt;preskočiť&gt;</t>
  </si>
  <si>
    <t>/Subjects?$filter=Participants/any(p: p/CadastralUnitId eq &lt;ID k.ú.&gt; and p/Type/Code eq 1)&amp;$select=Id,ValidTo,Title,FirstName,Surname,BirthSurname,BirthDate,IdNo&amp;$expand=Address($select=Street,HouseNo,Municipality,Zip,State)</t>
  </si>
  <si>
    <t>/Subjects?$filter=Participants/any(p: p/CadastralUnitId eq &lt;ID k.ú.&gt; and p/Type/Code eq 1)&amp;$select=Id,ValidTo,Title,FirstName,Surname,BirthSurname,BirthDate,IdNo&amp;$expand=Address($select=Street,HouseNo,Municipality,Zip,State)&amp;$skip=&lt;preskočiť&gt;</t>
  </si>
  <si>
    <t>/Subjects?$filter=Participants/any(p: p/CadastralUnit/Code eq &lt;kód k.ú.&gt; and p/Type/Code eq 1)&amp;$select=Id,ValidTo,Title,FirstName,Surname,BirthSurname,BirthDate,IdNo&amp;$expand=Address($select=Street,HouseNo,Municipality,Zip,State)</t>
  </si>
  <si>
    <t>/Subjects?$filter=Participants/any(p: p/CadastralUnit/Code eq &lt;kód k.ú.&gt; and p/Type/Code eq 1)&amp;$select=Id,ValidTo,Title,FirstName,Surname,BirthSurname,BirthDate,IdNo&amp;$expand=Address($select=Street,HouseNo,Municipality,Zip,State)&amp;$skip=&lt;preskočiť&gt;</t>
  </si>
  <si>
    <t>/Subjects?$filter=Participants/any(p: p/ Municipality/Code eq &lt;kód obce&gt; and p/Type/Code eq 1)&amp;$select=Id,ValidTo,Title,FirstName,Surname,BirthSurname,BirthDate,IdNo&amp;$expand=Address($select=Street,HouseNo,Municipality,Zip,State)</t>
  </si>
  <si>
    <t>/Subjects?$filter=Participants/any(p: p/ Municipality/Code eq &lt;kód obce&gt; and p/Type/Code eq 1)&amp;$select=Id,ValidTo,Title,FirstName,Surname,BirthSurname,BirthDate,IdNo&amp;$expand=Address($select=Street,HouseNo,Municipality,Zip,State)&amp;$skip=&lt;preskočiť&gt;</t>
  </si>
  <si>
    <t>/Participants?$filter=Type/Code eq 1 and CadastralUnitId eq &lt;ID k.ú.&gt;&amp;$select=Id,ValidTo,Name,Numerator,Denominator,Notes&amp;$expand=Type($select=Id,Code,Name),OwnerType($select=Id,Code,Name),OwnershipRecord($select=Order;$expand=Folio($select=Id,No;$expand=CadastralUnit($select=Id,Code,Name)))</t>
  </si>
  <si>
    <t>/Participants?$filter=Type/Code eq 1 and CadastralUnitId eq &lt;ID k.ú.&gt;&amp;$select=Id,ValidTo,Name,Numerator,Denominator,Notes&amp;$expand=Type($select=Id,Code,Name),OwnerType($select=Id,Code,Name),OwnershipRecord($select=Order;$expand=Folio($select=Id,No;$expand=CadastralUnit($select=Id,Code,Name)))&amp;$skip=&lt;preskočiť&gt;</t>
  </si>
  <si>
    <t>/Participants?$filter=Type/Code eq 1 and CadastralUnit/Code eq &lt;kód k.ú.&gt;&amp;$select=Id,ValidTo,Name,Numerator,Denominator,Notes&amp;$expand=Type($select=Id,Code,Name),OwnerType($select=Id,Code,Name),OwnershipRecord($select=Order;$expand=Folio($select=Id,No;$expand=CadastralUnit($select=Id,Code,Name)))</t>
  </si>
  <si>
    <t>/Participants?$filter=Type/Code eq 1 and CadastralUnit/Code eq &lt;kód k.ú.&gt;&amp;$select=Id,ValidTo,Name,Numerator,Denominator,Notes&amp;$expand=Type($select=Id,Code,Name),OwnerType($select=Id,Code,Name),OwnershipRecord($select=Order;$expand=Folio($select=Id,No;$expand=CadastralUnit($select=Id,Code,Name)))&amp;$skip=&lt;preskočiť&gt;</t>
  </si>
  <si>
    <t>/Participants?$filter=Type/Code eq 1 and Municipality/Code eq &lt;kód obce&gt;&amp;$select=Id,ValidTo,Name,Numerator,Denominator,Notes&amp;$expand=Type($select=Id,Code,Name),OwnerType($select=Id,Code,Name),OwnershipRecord($select=Order;$expand=Folio($select=Id,No;$expand=CadastralUnit($select=Id,Code,Name)))</t>
  </si>
  <si>
    <t>/Participants?$filter=Type/Code eq 1 and Municipality/Code eq &lt;kód obce&gt;&amp;$select=Id,ValidTo,Name,Numerator,Denominator,Notes&amp;$expand=Type($select=Id,Code,Name),OwnerType($select=Id,Code,Name),OwnershipRecord($select=Order;$expand=Folio($select=Id,No;$expand=CadastralUnit($select=Id,Code,Name)))&amp;$skip=&lt;preskočiť&gt;</t>
  </si>
  <si>
    <t>/GetSubjects?cadastralUnitCode=&lt;kód k.ú.&gt;&amp;participantType=1</t>
  </si>
  <si>
    <t>/GetSubjects?municipalityCode=&lt;kód obce&gt;&amp;participantType=1</t>
  </si>
  <si>
    <t>/Subjects?$filter=Participants/any(p: p/CadastralUnitId eq &lt;ID k.ú.&gt; and p/Type/Code eq 2)&amp;$select=Id,ValidTo,Title,FirstName,Surname,BirthSurname,BirthDate,IdNo&amp;$expand=Address($select=Street,HouseNo,Municipality,Zip,State)</t>
  </si>
  <si>
    <t>/Subjects?$filter=Participants/any(p: p/CadastralUnitId eq &lt;ID k.ú.&gt; and p/Type/Code eq 2)&amp;$select=Id,ValidTo,Title,FirstName,Surname,BirthSurname,BirthDate,IdNo&amp;$expand=Address($select=Street,HouseNo,Municipality,Zip,State)&amp;$skip=&lt;preskočiť&gt;</t>
  </si>
  <si>
    <t>/Subjects?$filter=Participants/any(p: p/CadastralUnit/Code eq &lt;kód k.ú.&gt; and p/Type/Code eq 2)&amp;$select=Id,ValidTo,Title,FirstName,Surname,BirthSurname,BirthDate,IdNo&amp;$expand=Address($select=Street,HouseNo,Municipality,Zip,State)</t>
  </si>
  <si>
    <t>/Subjects?$filter=Participants/any(p: p/CadastralUnit/Code eq &lt;kód k.ú.&gt; and p/Type/Code eq 2)&amp;$select=Id,ValidTo,Title,FirstName,Surname,BirthSurname,BirthDate,IdNo&amp;$expand=Address($select=Street,HouseNo,Municipality,Zip,State)&amp;$skip=&lt;preskočiť&gt;</t>
  </si>
  <si>
    <t>/Subjects?$filter=Participants/any(p: p/ Municipality/Code eq &lt;kód obce&gt; and p/Type/Code eq 2)&amp;$select=Id,ValidTo,Title,FirstName,Surname,BirthSurname,BirthDate,IdNo&amp;$expand=Address($select=Street,HouseNo,Municipality,Zip,State)</t>
  </si>
  <si>
    <t>/Subjects?$filter=Participants/any(p: p/ Municipality/Code eq &lt;kód obce&gt; and p/Type/Code eq 2)&amp;$select=Id,ValidTo,Title,FirstName,Surname,BirthSurname,BirthDate,IdNo&amp;$expand=Address($select=Street,HouseNo,Municipality,Zip,State)&amp;$skip=&lt;preskočiť&gt;</t>
  </si>
  <si>
    <t>/Participants?$filter=Type/Code eq 2 and CadastralUnitId eq &lt;ID k.ú.&gt;&amp;$select=Id,ValidTo,Name,Numerator,Denominator,Notes&amp;$expand=Type($select=Id,Code,Name),OwnerType($select=Id,Code,Name),OwnershipRecord($select=Order;$expand=Folio($select=Id,No;$expand=CadastralUnit($select=Id,Code,Name)))</t>
  </si>
  <si>
    <t>/Participants?$filter=Type/Code eq 2 and CadastralUnitId eq &lt;ID k.ú.&gt;&amp;$select=Id,ValidTo,Name,Numerator,Denominator,Notes&amp;$expand=Type($select=Id,Code,Name),OwnerType($select=Id,Code,Name),OwnershipRecord($select=Order;$expand=Folio($select=Id,No;$expand=CadastralUnit($select=Id,Code,Name)))&amp;$skip=&lt;preskočiť&gt;</t>
  </si>
  <si>
    <t>/Participants?$filter=Type/Code eq 2 and CadastralUnit/Code eq &lt;kód k.ú.&gt;&amp;$select=Id,ValidTo,Name,Numerator,Denominator,Notes&amp;$expand=Type($select=Id,Code,Name),OwnerType($select=Id,Code,Name),OwnershipRecord($select=Order;$expand=Folio($select=Id,No;$expand=CadastralUnit($select=Id,Code,Name)))</t>
  </si>
  <si>
    <t>/Participants?$filter=Type/Code eq 2 and CadastralUnit/Code eq &lt;kód k.ú.&gt;&amp;$select=Id,ValidTo,Name,Numerator,Denominator,Notes&amp;$expand=Type($select=Id,Code,Name),OwnerType($select=Id,Code,Name),OwnershipRecord($select=Order;$expand=Folio($select=Id,No;$expand=CadastralUnit($select=Id,Code,Name)))&amp;$skip=&lt;preskočiť&gt;</t>
  </si>
  <si>
    <t>/Participants?$filter=Type/Code eq 2 and Municipality/Code eq &lt;kód obce&gt;&amp;$select=Id,ValidTo,Name,Numerator,Denominator,Notes&amp;$expand=Type($select=Id,Code,Name),OwnerType($select=Id,Code,Name),OwnershipRecord($select=Order;$expand=Folio($select=Id,No;$expand=CadastralUnit($select=Id,Code,Name)))</t>
  </si>
  <si>
    <t>/Participants?$filter=Type/Code eq 2 and Municipality/Code eq &lt;kód obce&gt;&amp;$select=Id,ValidTo,Name,Numerator,Denominator,Notes&amp;$expand=Type($select=Id,Code,Name),OwnerType($select=Id,Code,Name),OwnershipRecord($select=Order;$expand=Folio($select=Id,No;$expand=CadastralUnit($select=Id,Code,Name)))&amp;$skip=&lt;preskočiť&gt;</t>
  </si>
  <si>
    <t>/GetSubjects?cadastralUnitCode=&lt;kód k.ú.&gt;&amp;participantType=2</t>
  </si>
  <si>
    <t>/GetSubjects?municipalityCode=&lt;kód obce&gt;&amp;participantType=2</t>
  </si>
  <si>
    <t>/Subjects?$filter=Participants/any(p: p/CadastralUnitId eq &lt;ID k.ú.&gt; and p/Type/Code eq 3)&amp;$select=Id,ValidTo,Title,FirstName,Surname,BirthSurname,BirthDate,IdNo&amp;$expand=Address($select=Street,HouseNo,Municipality,Zip,State)</t>
  </si>
  <si>
    <t>/Subjects?$filter=Participants/any(p: p/CadastralUnitId eq &lt;ID k.ú.&gt; and p/Type/Code eq 3)&amp;$select=Id,ValidTo,Title,FirstName,Surname,BirthSurname,BirthDate,IdNo&amp;$expand=Address($select=Street,HouseNo,Municipality,Zip,State)&amp;$skip=&lt;preskočiť&gt;</t>
  </si>
  <si>
    <t>/Subjects?$filter=Participants/any(p: p/CadastralUnit/Code eq &lt;kód k.ú.&gt; and p/Type/Code eq 3)&amp;$select=Id,ValidTo,Title,FirstName,Surname,BirthSurname,BirthDate,IdNo&amp;$expand=Address($select=Street,HouseNo,Municipality,Zip,State)</t>
  </si>
  <si>
    <t>/Subjects?$filter=Participants/any(p: p/CadastralUnit/Code eq &lt;kód k.ú.&gt; and p/Type/Code eq 3)&amp;$select=Id,ValidTo,Title,FirstName,Surname,BirthSurname,BirthDate,IdNo&amp;$expand=Address($select=Street,HouseNo,Municipality,Zip,State)&amp;$skip=&lt;preskočiť&gt;</t>
  </si>
  <si>
    <t>/Subjects?$filter=Participants/any(p: p/ Municipality/Code eq &lt;kód obce&gt; and p/Type/Code eq 3)&amp;$select=Id,ValidTo,Title,FirstName,Surname,BirthSurname,BirthDate,IdNo&amp;$expand=Address($select=Street,HouseNo,Municipality,Zip,State)</t>
  </si>
  <si>
    <t>/Subjects?$filter=Participants/any(p: p/ Municipality/Code eq &lt;kód obce&gt; and p/Type/Code eq 3)&amp;$select=Id,ValidTo,Title,FirstName,Surname,BirthSurname,BirthDate,IdNo&amp;$expand=Address($select=Street,HouseNo,Municipality,Zip,State)&amp;$skip=&lt;preskočiť&gt;</t>
  </si>
  <si>
    <t>/Participants?$filter=Type/Code eq 3 and CadastralUnitId eq &lt;ID k.ú.&gt;&amp;$select=Id,ValidTo,Name,Numerator,Denominator,Notes&amp;$expand=Type($select=Id,Code,Name),OwnerType($select=Id,Code,Name),OwnershipRecord($select=Order;$expand=Folio($select=Id,No;$expand=CadastralUnit($select=Id,Code,Name)))</t>
  </si>
  <si>
    <t>/Participants?$filter=Type/Code eq 3 and CadastralUnitId eq &lt;ID k.ú.&gt;&amp;$select=Id,ValidTo,Name,Numerator,Denominator,Notes&amp;$expand=Type($select=Id,Code,Name),OwnerType($select=Id,Code,Name),OwnershipRecord($select=Order;$expand=Folio($select=Id,No;$expand=CadastralUnit($select=Id,Code,Name)))&amp;$skip=&lt;preskočiť&gt;</t>
  </si>
  <si>
    <t>/Participants?$filter=Type/Code eq 3 and CadastralUnit/Code eq &lt;kód k.ú.&gt;&amp;$select=Id,ValidTo,Name,Numerator,Denominator,Notes&amp;$expand=Type($select=Id,Code,Name),OwnerType($select=Id,Code,Name),OwnershipRecord($select=Order;$expand=Folio($select=Id,No;$expand=CadastralUnit($select=Id,Code,Name)))</t>
  </si>
  <si>
    <t>/Participants?$filter=Type/Code eq 3 and CadastralUnit/Code eq &lt;kód k.ú.&gt;&amp;$select=Id,ValidTo,Name,Numerator,Denominator,Notes&amp;$expand=Type($select=Id,Code,Name),OwnerType($select=Id,Code,Name),OwnershipRecord($select=Order;$expand=Folio($select=Id,No;$expand=CadastralUnit($select=Id,Code,Name)))&amp;$skip=&lt;preskočiť&gt;</t>
  </si>
  <si>
    <t>/Participants?$filter=Type/Code eq 3 and Municipality/Code eq &lt;kód obce&gt;&amp;$select=Id,ValidTo,Name,Numerator,Denominator,Notes&amp;$expand=Type($select=Id,Code,Name),OwnerType($select=Id,Code,Name),OwnershipRecord($select=Order;$expand=Folio($select=Id,No;$expand=CadastralUnit($select=Id,Code,Name)))</t>
  </si>
  <si>
    <t>/Participants?$filter=Type/Code eq 3 and Municipality/Code eq &lt;kód obce&gt;&amp;$select=Id,ValidTo,Name,Numerator,Denominator,Notes&amp;$expand=Type($select=Id,Code,Name),OwnerType($select=Id,Code,Name),OwnershipRecord($select=Order;$expand=Folio($select=Id,No;$expand=CadastralUnit($select=Id,Code,Name)))&amp;$skip=&lt;preskočiť&gt;</t>
  </si>
  <si>
    <t>/GetSubjects?cadastralUnitCode=&lt;kód k.ú.&gt;&amp;participantType=3</t>
  </si>
  <si>
    <t>/GetSubjects?municipalityCode=&lt;kód obce&gt;&amp;participantType=3</t>
  </si>
  <si>
    <t>/Subjects?$filter=Participants/any(p: p/CadastralUnitId eq &lt;ID k.ú.&gt; and p/Type/Code eq 4)&amp;$select=Id,ValidTo,Title,FirstName,Surname,BirthSurname,BirthDate,IdNo&amp;$expand=Address($select=Street,HouseNo,Municipality,Zip,State)</t>
  </si>
  <si>
    <t>/Subjects?$filter=Participants/any(p: p/CadastralUnitId eq &lt;ID k.ú.&gt; and p/Type/Code eq 4)&amp;$select=Id,ValidTo,Title,FirstName,Surname,BirthSurname,BirthDate,IdNo&amp;$expand=Address($select=Street,HouseNo,Municipality,Zip,State)&amp;$skip=&lt;preskočiť&gt;</t>
  </si>
  <si>
    <t>/Subjects?$filter=Participants/any(p: p/CadastralUnit/Code eq &lt;kód k.ú.&gt; and p/Type/Code eq 4)&amp;$select=Id,ValidTo,Title,FirstName,Surname,BirthSurname,BirthDate,IdNo&amp;$expand=Address($select=Street,HouseNo,Municipality,Zip,State)</t>
  </si>
  <si>
    <t>/Subjects?$filter=Participants/any(p: p/CadastralUnit/Code eq &lt;kód k.ú.&gt; and p/Type/Code eq 4)&amp;$select=Id,ValidTo,Title,FirstName,Surname,BirthSurname,BirthDate,IdNo&amp;$expand=Address($select=Street,HouseNo,Municipality,Zip,State)&amp;$skip=&lt;preskočiť&gt;</t>
  </si>
  <si>
    <t>/Subjects?$filter=Participants/any(p: p/ Municipality/Code eq &lt;kód obce&gt; and p/Type/Code eq 4)&amp;$select=Id,ValidTo,Title,FirstName,Surname,BirthSurname,BirthDate,IdNo&amp;$expand=Address($select=Street,HouseNo,Municipality,Zip,State)</t>
  </si>
  <si>
    <t>/Subjects?$filter=Participants/any(p: p/ Municipality/Code eq &lt;kód obce&gt; and p/Type/Code eq 4)&amp;$select=Id,ValidTo,Title,FirstName,Surname,BirthSurname,BirthDate,IdNo&amp;$expand=Address($select=Street,HouseNo,Municipality,Zip,State)&amp;$skip=&lt;preskočiť&gt;</t>
  </si>
  <si>
    <t>/Participants?$filter=Type/Code eq 4 and CadastralUnitId eq &lt;ID k.ú.&gt;&amp;$select=Id,ValidTo,Name,Numerator,Denominator,Notes&amp;$expand=Type($select=Id,Code,Name),OwnerType($select=Id,Code,Name),OwnershipRecord($select=Order;$expand=Folio($select=Id,No;$expand=CadastralUnit($select=Id,Code,Name)))</t>
  </si>
  <si>
    <t>/Participants?$filter=Type/Code eq 4 and CadastralUnitId eq &lt;ID k.ú.&gt;&amp;$select=Id,ValidTo,Name,Numerator,Denominator,Notes&amp;$expand=Type($select=Id,Code,Name),OwnerType($select=Id,Code,Name),OwnershipRecord($select=Order;$expand=Folio($select=Id,No;$expand=CadastralUnit($select=Id,Code,Name)))&amp;$skip=&lt;preskočiť&gt;</t>
  </si>
  <si>
    <t>/Participants?$filter=Type/Code eq 4 and CadastralUnit/Code eq &lt;kód k.ú.&gt;&amp;$select=Id,ValidTo,Name,Numerator,Denominator,Notes&amp;$expand=Type($select=Id,Code,Name),OwnerType($select=Id,Code,Name),OwnershipRecord($select=Order;$expand=Folio($select=Id,No;$expand=CadastralUnit($select=Id,Code,Name)))</t>
  </si>
  <si>
    <t>/Participants?$filter=Type/Code eq 4 and CadastralUnit/Code eq &lt;kód k.ú.&gt;&amp;$select=Id,ValidTo,Name,Numerator,Denominator,Notes&amp;$expand=Type($select=Id,Code,Name),OwnerType($select=Id,Code,Name),OwnershipRecord($select=Order;$expand=Folio($select=Id,No;$expand=CadastralUnit($select=Id,Code,Name)))&amp;$skip=&lt;preskočiť&gt;</t>
  </si>
  <si>
    <t>/Participants?$filter=Type/Code eq 4 and Municipality/Code eq &lt;kód obce&gt;&amp;$select=Id,ValidTo,Name,Numerator,Denominator,Notes&amp;$expand=Type($select=Id,Code,Name),OwnerType($select=Id,Code,Name),OwnershipRecord($select=Order;$expand=Folio($select=Id,No;$expand=CadastralUnit($select=Id,Code,Name)))</t>
  </si>
  <si>
    <t>/Participants?$filter=Type/Code eq 4 and Municipality/Code eq &lt;kód obce&gt;&amp;$select=Id,ValidTo,Name,Numerator,Denominator,Notes&amp;$expand=Type($select=Id,Code,Name),OwnerType($select=Id,Code,Name),OwnershipRecord($select=Order;$expand=Folio($select=Id,No;$expand=CadastralUnit($select=Id,Code,Name)))&amp;$skip=&lt;preskočiť&gt;</t>
  </si>
  <si>
    <t>/GetSubjects?cadastralUnitCode=&lt;kód k.ú.&gt;&amp;participantType=4</t>
  </si>
  <si>
    <t>/GetSubjects?municipalityCode=&lt;kód obce&gt;&amp;participantType=4</t>
  </si>
  <si>
    <t>/ParcelMaps?$filter=CadastralUnit/Code eq &lt;kód k.ú.&gt;&amp;$select=Id,Name,Type,DeclarationDate,UpdateDate</t>
  </si>
  <si>
    <t>/sk/Vgi/Download/&lt;ID mapy&gt;</t>
  </si>
  <si>
    <t>meno+priezvisko+rodPriezvisko</t>
  </si>
  <si>
    <t>meno+priezvisko+rodPriezvisko+datNarod</t>
  </si>
  <si>
    <t>/Subjects/Kn.Search1()?birthNo=&lt;rodné číslo&gt;&amp;$select=Id,ValidTo,Title,FirstName,Surname,BirthSurname,BirthDate,IdNo&amp;$expand=Address($select=Street,HouseNo,Municipality,Zip,State)</t>
  </si>
  <si>
    <t>/Subjects/Kn.Search3()?firstName=&lt;meno&gt;&amp;surname=&lt;priezvisko&gt;&amp;birthSurname=&lt;priezvisko&gt;&amp;$select=Id,ValidTo,Title,FirstName,Surname,BirthSurname,BirthDate,IdNo&amp;$expand=Address($select=Street,HouseNo,Municipality,Zip,State)</t>
  </si>
  <si>
    <t>&lt;dátum&gt;</t>
  </si>
  <si>
    <t>dátum v tvare yyyy-MM-dd</t>
  </si>
  <si>
    <t>1969-02-13</t>
  </si>
  <si>
    <t>/Subjects/Kn.Search2()?firstName=&lt;meno&gt;&amp;surname=&lt;priezvisko&gt;&amp;birthSurname=&lt;priezvisko&gt;&amp;birthdate=&lt;dátum&gt;&amp;$select=Id,ValidTo,Title,FirstName,Surname,BirthSurname,BirthDate,IdNo&amp;$expand=Address($select=Street,HouseNo,Municipality,Zip,State)</t>
  </si>
  <si>
    <t>https://eskn.skgeodesy.sk/odata/Subjects/Kn.Search1()?birthNo=6952136235&amp;$select=Id,ValidTo,Title,FirstName,Surname,BirthSurname,BirthDate,IdNo&amp;$expand=Address($select=Street,HouseNo,Municipality,Zip,State)</t>
  </si>
  <si>
    <t>https://eskn.skgeodesy.sk/odata/Subjects/Kn.Search2()?firstName=%27Eva%27&amp;surname=%27Cs%C3%B6gleiov%C3%A1%27&amp;birthSurname=%27Horv%C3%A1thov%C3%A1%27&amp;birthdate=1969-02-13&amp;$select=Id,ValidTo,Title,FirstName,Surname,BirthSurname,BirthDate,IdNo&amp;$expand=Address($select=Street,HouseNo,Municipality,Zip,State)</t>
  </si>
  <si>
    <t>https://eskn.skgeodesy.sk/odata/Subjects/Kn.Search3()?firstName=%27Eva%27&amp;surname=%27Cs%C3%B6gleiov%C3%A1%27&amp;birthSurname=%27Horv%C3%A1thov%C3%A1%27&amp;$select=Id,ValidTo,Title,FirstName,Surname,BirthSurname,BirthDate,IdNo&amp;$expand=Address($select=Street,HouseNo,Municipality,Zip,State)</t>
  </si>
  <si>
    <t>*MINV</t>
  </si>
  <si>
    <t>Katastrálna mapa WFS</t>
  </si>
  <si>
    <t>/kn_wfs/MapServer/WFSServer?&lt;parametre služby&gt;</t>
  </si>
  <si>
    <t>https://eskn.skgeodesy.sk/eskn/services/NR/kn_wfs/MapServer/WFSServer?request=GetCapabilities&amp;service=WFS</t>
  </si>
  <si>
    <t>Mapa určeného operátu WFS</t>
  </si>
  <si>
    <t>/uo_wfs/MapServer/WFSServer?&lt;parametre služby&gt;</t>
  </si>
  <si>
    <t>https://eskn.skgeodesy.sk/eskn/services/NR/uo_wfs/MapServer/WFSServer?request=GetCapabilities&amp;service=WFS</t>
  </si>
  <si>
    <t>eskn-supisy-nehnutelnosti</t>
  </si>
  <si>
    <t>eskn-supisy-ucastnikov</t>
  </si>
  <si>
    <t>eskn-subject</t>
  </si>
  <si>
    <t>eskn-wfs</t>
  </si>
  <si>
    <t>eskn-lustracie</t>
  </si>
  <si>
    <t>eskn-identifikator</t>
  </si>
  <si>
    <t>eskn-geodet</t>
  </si>
  <si>
    <t>rodné číslo</t>
  </si>
  <si>
    <t>eskn-basic</t>
  </si>
  <si>
    <t>eskn-mapy</t>
  </si>
  <si>
    <t>eskn-LV</t>
  </si>
  <si>
    <t>eskn-vlastník</t>
  </si>
  <si>
    <t>eskn-nehnutelnost</t>
  </si>
  <si>
    <t>IOM</t>
  </si>
  <si>
    <t>SOAP endpoint web service</t>
  </si>
  <si>
    <t>https://eskn.skgeodesy.sk/EsknBo/IOM.svc</t>
  </si>
  <si>
    <t>http://test-kataster.skgeodesy.sk/EsknBo/IOM.svc</t>
  </si>
  <si>
    <t>/soap</t>
  </si>
  <si>
    <t>https://eskn.skgeodesy.sk/EsknBo/IOM.svc/soap</t>
  </si>
  <si>
    <t>eskn-iom</t>
  </si>
  <si>
    <t>IOM DeliverRequest = Prijatie žiadosti Konzumenta  o výpis LV z LEGACY systému KN Poskytovateľa</t>
  </si>
  <si>
    <t>IOM GetFeeAmount = Poskytnutie čiastky správneho  poplatku a merných jednotiek</t>
  </si>
  <si>
    <t>IOM GetResponse = Poskytnutie výpisu z LV alebo zamietavého stanoviska  opatreného  elektronickou pečaťou Poskytovateľa elektronickou cestou Konzumentovi</t>
  </si>
  <si>
    <t xml:space="preserve">NASES </t>
  </si>
  <si>
    <t>eDemokracia</t>
  </si>
  <si>
    <t>organizácia</t>
  </si>
  <si>
    <t>projekt  Konzumenta</t>
  </si>
  <si>
    <t xml:space="preserve"> IP konzumenta produkčné prostredie  </t>
  </si>
  <si>
    <t>KO-sada</t>
  </si>
  <si>
    <t>mesto Bratislava</t>
  </si>
  <si>
    <t>DEUS</t>
  </si>
  <si>
    <t>PZ MV SR</t>
  </si>
  <si>
    <t>MIFI</t>
  </si>
  <si>
    <t>BVS</t>
  </si>
  <si>
    <t>GIS BVS</t>
  </si>
  <si>
    <t>GISPZ</t>
  </si>
  <si>
    <t>DCOM</t>
  </si>
  <si>
    <t>NA</t>
  </si>
  <si>
    <t>Slovenská pošta</t>
  </si>
  <si>
    <t>Aponet</t>
  </si>
  <si>
    <t>eskn-basic, eskn-LV, eskn-mapy, eskn-nehnutelnost, eskn-vlastnik</t>
  </si>
  <si>
    <t>eskn-basic, eskn-LV, eskn-nehnutelnost, eskn-subject, eskn-supisy-nehnutelnost, eskn-supisy-ucastnikov</t>
  </si>
  <si>
    <t>eskn-basic, eskn-iom, eskn-LV, eskn-nehnutelnost</t>
  </si>
  <si>
    <t>eskn-basic, eskn-mapy, eskn-wfs, eskn-vlastnik, eskn-identifikator, eskn-lustracie, eskn-nehnutelnost, eskn-LV</t>
  </si>
  <si>
    <t>žiadny balík, iba povolenie na prístup cez F5-APM</t>
  </si>
  <si>
    <t>Ko</t>
  </si>
  <si>
    <t>územné ohraničenie pre poskytovanie údajov</t>
  </si>
  <si>
    <t>celé SR</t>
  </si>
  <si>
    <t>Bratislavský a Trnavský</t>
  </si>
  <si>
    <t>Ábelová</t>
  </si>
  <si>
    <t>Abovce</t>
  </si>
  <si>
    <t>Abrahám</t>
  </si>
  <si>
    <t>Abrahámovce</t>
  </si>
  <si>
    <t>Abramová</t>
  </si>
  <si>
    <t>Abranovce</t>
  </si>
  <si>
    <t>Adamovské Kochanovce</t>
  </si>
  <si>
    <t>Adidovce</t>
  </si>
  <si>
    <t>Alekšince</t>
  </si>
  <si>
    <t>Andač</t>
  </si>
  <si>
    <t>Andovce</t>
  </si>
  <si>
    <t>Andrejová</t>
  </si>
  <si>
    <t>Svätý Anton</t>
  </si>
  <si>
    <t>Ardanovce</t>
  </si>
  <si>
    <t>Ardovo</t>
  </si>
  <si>
    <t>Arnutovce</t>
  </si>
  <si>
    <t>Malý Báb</t>
  </si>
  <si>
    <t>Veľký Báb</t>
  </si>
  <si>
    <t>Babie</t>
  </si>
  <si>
    <t>Babín</t>
  </si>
  <si>
    <t>Babin Potok</t>
  </si>
  <si>
    <t>Babiná</t>
  </si>
  <si>
    <t>Babindol</t>
  </si>
  <si>
    <t>Babinec</t>
  </si>
  <si>
    <t>Babkov</t>
  </si>
  <si>
    <t>Bacúch</t>
  </si>
  <si>
    <t>Bacúrov</t>
  </si>
  <si>
    <t>Báč</t>
  </si>
  <si>
    <t>Bačka</t>
  </si>
  <si>
    <t>Bačkov</t>
  </si>
  <si>
    <t>Bačkovík</t>
  </si>
  <si>
    <t>Báčovce</t>
  </si>
  <si>
    <t>Baďan</t>
  </si>
  <si>
    <t>Badín</t>
  </si>
  <si>
    <t>Báhoň</t>
  </si>
  <si>
    <t>Bajany</t>
  </si>
  <si>
    <t>Bajč</t>
  </si>
  <si>
    <t>Bajerov</t>
  </si>
  <si>
    <t>Bajerovce</t>
  </si>
  <si>
    <t>Bajka</t>
  </si>
  <si>
    <t>Bajtava</t>
  </si>
  <si>
    <t>Baka</t>
  </si>
  <si>
    <t>Bakta</t>
  </si>
  <si>
    <t>Baláže</t>
  </si>
  <si>
    <t>Baldovce</t>
  </si>
  <si>
    <t>Balog nad Ipľom</t>
  </si>
  <si>
    <t>Baloň</t>
  </si>
  <si>
    <t>Baňa</t>
  </si>
  <si>
    <t>Banka</t>
  </si>
  <si>
    <t>Banky</t>
  </si>
  <si>
    <t>Bánov</t>
  </si>
  <si>
    <t>Malá Kesa</t>
  </si>
  <si>
    <t>Bánová</t>
  </si>
  <si>
    <t>Bánovce nad Bebravou</t>
  </si>
  <si>
    <t>Bánovce nad Ondavou</t>
  </si>
  <si>
    <t>Banská Belá</t>
  </si>
  <si>
    <t>Banská Bystrica</t>
  </si>
  <si>
    <t>Sásová</t>
  </si>
  <si>
    <t>Radvaň</t>
  </si>
  <si>
    <t>Podlavice</t>
  </si>
  <si>
    <t>Malachov</t>
  </si>
  <si>
    <t>Kremnička</t>
  </si>
  <si>
    <t>Šalková</t>
  </si>
  <si>
    <t>Senica</t>
  </si>
  <si>
    <t>Kynceľová</t>
  </si>
  <si>
    <t>Nemce</t>
  </si>
  <si>
    <t>Kostiviarska</t>
  </si>
  <si>
    <t>Banská Hodruša</t>
  </si>
  <si>
    <t>Banská Štiavnica</t>
  </si>
  <si>
    <t>Banské</t>
  </si>
  <si>
    <t>Banský Studenec</t>
  </si>
  <si>
    <t>Malá Bara</t>
  </si>
  <si>
    <t>Veľká Bara</t>
  </si>
  <si>
    <t>Barca</t>
  </si>
  <si>
    <t>Bardejov</t>
  </si>
  <si>
    <t>Bardejovská Nová Ves</t>
  </si>
  <si>
    <t>Bardoňovo</t>
  </si>
  <si>
    <t>Bartošova Lehôtka</t>
  </si>
  <si>
    <t>Bartošovce</t>
  </si>
  <si>
    <t>Baška</t>
  </si>
  <si>
    <t>Baškovce</t>
  </si>
  <si>
    <t>Bašovce</t>
  </si>
  <si>
    <t>Batizovce</t>
  </si>
  <si>
    <t>Bátka</t>
  </si>
  <si>
    <t>Dulovo</t>
  </si>
  <si>
    <t>Bátorová</t>
  </si>
  <si>
    <t>Bátovce</t>
  </si>
  <si>
    <t>Jalakšová</t>
  </si>
  <si>
    <t>Kmeťovce</t>
  </si>
  <si>
    <t>Beckov</t>
  </si>
  <si>
    <t>Beharovce</t>
  </si>
  <si>
    <t>Behynce</t>
  </si>
  <si>
    <t>Becherov</t>
  </si>
  <si>
    <t>Belá</t>
  </si>
  <si>
    <t>Belá nad Cirochou</t>
  </si>
  <si>
    <t>Beladice</t>
  </si>
  <si>
    <t>Pustý Chotár</t>
  </si>
  <si>
    <t>Belejovce</t>
  </si>
  <si>
    <t>Belín</t>
  </si>
  <si>
    <t>Belina</t>
  </si>
  <si>
    <t>Belince</t>
  </si>
  <si>
    <t>Bellova Ves</t>
  </si>
  <si>
    <t>Beloveža</t>
  </si>
  <si>
    <t>Beluj</t>
  </si>
  <si>
    <t>Beluša</t>
  </si>
  <si>
    <t>Belža</t>
  </si>
  <si>
    <t>Beňadiková</t>
  </si>
  <si>
    <t>Beňadikovce</t>
  </si>
  <si>
    <t>Beňadovo</t>
  </si>
  <si>
    <t>Beňatina</t>
  </si>
  <si>
    <t>Beniakovce</t>
  </si>
  <si>
    <t>Benice</t>
  </si>
  <si>
    <t>Benkovce</t>
  </si>
  <si>
    <t>Beňova Lehota</t>
  </si>
  <si>
    <t>Beňuš</t>
  </si>
  <si>
    <t>Beňušovce</t>
  </si>
  <si>
    <t>Bernolákovo</t>
  </si>
  <si>
    <t>Bertotovce</t>
  </si>
  <si>
    <t>Beša</t>
  </si>
  <si>
    <t>Jesenské</t>
  </si>
  <si>
    <t>Bešeňov</t>
  </si>
  <si>
    <t>Bešeňová</t>
  </si>
  <si>
    <t>Betlanovce</t>
  </si>
  <si>
    <t>Betliar</t>
  </si>
  <si>
    <t>Bežovce</t>
  </si>
  <si>
    <t>Bidovce</t>
  </si>
  <si>
    <t>Biel</t>
  </si>
  <si>
    <t>Bielovce</t>
  </si>
  <si>
    <t>Biely Kostol</t>
  </si>
  <si>
    <t>Bijacovce</t>
  </si>
  <si>
    <t>Bílkove Humence</t>
  </si>
  <si>
    <t>Bíňa</t>
  </si>
  <si>
    <t>Bíňovce</t>
  </si>
  <si>
    <t>Biskupice</t>
  </si>
  <si>
    <t>Biskupová</t>
  </si>
  <si>
    <t>Bitarová</t>
  </si>
  <si>
    <t>Blahová</t>
  </si>
  <si>
    <t>Blatná na Ostrove</t>
  </si>
  <si>
    <t>Blatná Polianka</t>
  </si>
  <si>
    <t>Blatné</t>
  </si>
  <si>
    <t>Blatné Remety</t>
  </si>
  <si>
    <t>Blatné Revištia</t>
  </si>
  <si>
    <t>Blatnica</t>
  </si>
  <si>
    <t>Blažice</t>
  </si>
  <si>
    <t>Blažovce</t>
  </si>
  <si>
    <t>Blesovce</t>
  </si>
  <si>
    <t>Blhovce</t>
  </si>
  <si>
    <t>Bobot</t>
  </si>
  <si>
    <t>Bobotská Lehota</t>
  </si>
  <si>
    <t>Bobrov</t>
  </si>
  <si>
    <t>Bobrovček</t>
  </si>
  <si>
    <t>Bobrovec</t>
  </si>
  <si>
    <t>Bobrovník</t>
  </si>
  <si>
    <t>Bodice</t>
  </si>
  <si>
    <t>Bodiná</t>
  </si>
  <si>
    <t>Bodorová</t>
  </si>
  <si>
    <t>Kevice</t>
  </si>
  <si>
    <t>Bodovce</t>
  </si>
  <si>
    <t>Svätá Mária</t>
  </si>
  <si>
    <t>Bodružal</t>
  </si>
  <si>
    <t>Bodza</t>
  </si>
  <si>
    <t>Bodzianske Lúky</t>
  </si>
  <si>
    <t>Bogliarka</t>
  </si>
  <si>
    <t>Bohatá</t>
  </si>
  <si>
    <t>Bohdanovce</t>
  </si>
  <si>
    <t>Bohdanovce nad Trnavou</t>
  </si>
  <si>
    <t>Boheľov</t>
  </si>
  <si>
    <t>Bohunice</t>
  </si>
  <si>
    <t>Bohúňovo</t>
  </si>
  <si>
    <t>Tiba</t>
  </si>
  <si>
    <t>Bojná</t>
  </si>
  <si>
    <t>Malé Dvorany</t>
  </si>
  <si>
    <t>Bojnice</t>
  </si>
  <si>
    <t>Dubnica</t>
  </si>
  <si>
    <t>Bojničky</t>
  </si>
  <si>
    <t>Boľ</t>
  </si>
  <si>
    <t>Boldog</t>
  </si>
  <si>
    <t>Boleráz</t>
  </si>
  <si>
    <t>Klčovany</t>
  </si>
  <si>
    <t>Bolešov</t>
  </si>
  <si>
    <t>Boliarov</t>
  </si>
  <si>
    <t>Boľkovce</t>
  </si>
  <si>
    <t>Borcová</t>
  </si>
  <si>
    <t>Borčany</t>
  </si>
  <si>
    <t>Borčice</t>
  </si>
  <si>
    <t>Borinka</t>
  </si>
  <si>
    <t>Vačková</t>
  </si>
  <si>
    <t>Bôrka</t>
  </si>
  <si>
    <t>Borov</t>
  </si>
  <si>
    <t>Borová</t>
  </si>
  <si>
    <t>Borovce</t>
  </si>
  <si>
    <t>Borský Svätý Jur</t>
  </si>
  <si>
    <t>Borský Mikuláš</t>
  </si>
  <si>
    <t>Borský Peter</t>
  </si>
  <si>
    <t>Borša</t>
  </si>
  <si>
    <t>Bory</t>
  </si>
  <si>
    <t>Bošáca</t>
  </si>
  <si>
    <t>Haluzice</t>
  </si>
  <si>
    <t>Baštín</t>
  </si>
  <si>
    <t>Malé Bošany</t>
  </si>
  <si>
    <t>Veľké Bošany</t>
  </si>
  <si>
    <t>Boťany</t>
  </si>
  <si>
    <t>Bottovo</t>
  </si>
  <si>
    <t>Božčice</t>
  </si>
  <si>
    <t>Bracovce</t>
  </si>
  <si>
    <t>Brádno</t>
  </si>
  <si>
    <t>Branč</t>
  </si>
  <si>
    <t>Veľká Ves</t>
  </si>
  <si>
    <t>Branovo</t>
  </si>
  <si>
    <t>Staré Mesto</t>
  </si>
  <si>
    <t>Nivy</t>
  </si>
  <si>
    <t>Vinohrady</t>
  </si>
  <si>
    <t>Nové Mesto</t>
  </si>
  <si>
    <t>Petržalka</t>
  </si>
  <si>
    <t>Karlova Ves</t>
  </si>
  <si>
    <t>Devín</t>
  </si>
  <si>
    <t>Trnávka</t>
  </si>
  <si>
    <t>Ružinov</t>
  </si>
  <si>
    <t>Vajnory</t>
  </si>
  <si>
    <t>Rača</t>
  </si>
  <si>
    <t>Lamač</t>
  </si>
  <si>
    <t>Dúbravka</t>
  </si>
  <si>
    <t>Braväcovo</t>
  </si>
  <si>
    <t>Brdárka</t>
  </si>
  <si>
    <t>Brehov</t>
  </si>
  <si>
    <t>Brehy</t>
  </si>
  <si>
    <t>Brekov</t>
  </si>
  <si>
    <t>Brestov</t>
  </si>
  <si>
    <t>Brestov nad Laborcom</t>
  </si>
  <si>
    <t>Malé Brestovany</t>
  </si>
  <si>
    <t>Veľké Brestovany</t>
  </si>
  <si>
    <t>Brestovec</t>
  </si>
  <si>
    <t>Bretejovce</t>
  </si>
  <si>
    <t>Bretka</t>
  </si>
  <si>
    <t>Breza</t>
  </si>
  <si>
    <t>Brezany</t>
  </si>
  <si>
    <t>Brezina</t>
  </si>
  <si>
    <t>Breziny</t>
  </si>
  <si>
    <t>Breznica</t>
  </si>
  <si>
    <t>Breznička</t>
  </si>
  <si>
    <t>Brezno</t>
  </si>
  <si>
    <t>Brezolupy</t>
  </si>
  <si>
    <t>Brezov</t>
  </si>
  <si>
    <t>Brezová pod Bradlom</t>
  </si>
  <si>
    <t>Brezovec</t>
  </si>
  <si>
    <t>Brezovica</t>
  </si>
  <si>
    <t>Brezovička</t>
  </si>
  <si>
    <t>Brezovka</t>
  </si>
  <si>
    <t>Brežany</t>
  </si>
  <si>
    <t>Dolné Brhlovce</t>
  </si>
  <si>
    <t>Horné Brhlovce</t>
  </si>
  <si>
    <t>Briestenné</t>
  </si>
  <si>
    <t>Brieštie</t>
  </si>
  <si>
    <t>Brodno</t>
  </si>
  <si>
    <t>Brodské</t>
  </si>
  <si>
    <t>Brodzany</t>
  </si>
  <si>
    <t>Brunovce</t>
  </si>
  <si>
    <t>Brusnica</t>
  </si>
  <si>
    <t>Brusník</t>
  </si>
  <si>
    <t>Brutovce</t>
  </si>
  <si>
    <t>Bruty</t>
  </si>
  <si>
    <t>Brvnište</t>
  </si>
  <si>
    <t>Brzotín</t>
  </si>
  <si>
    <t>Buclovany</t>
  </si>
  <si>
    <t>Búč</t>
  </si>
  <si>
    <t>Bučany</t>
  </si>
  <si>
    <t>Budatínska Lehota</t>
  </si>
  <si>
    <t>Budča</t>
  </si>
  <si>
    <t>Budikovany</t>
  </si>
  <si>
    <t>Budimír</t>
  </si>
  <si>
    <t>Budiná</t>
  </si>
  <si>
    <t>Budiš</t>
  </si>
  <si>
    <t>Budkovce</t>
  </si>
  <si>
    <t>Budmerice</t>
  </si>
  <si>
    <t>Budulov</t>
  </si>
  <si>
    <t>Buglovce</t>
  </si>
  <si>
    <t>Buková</t>
  </si>
  <si>
    <t>Bukovce</t>
  </si>
  <si>
    <t>Bukovec</t>
  </si>
  <si>
    <t>Bukovina</t>
  </si>
  <si>
    <t>Bulhary</t>
  </si>
  <si>
    <t>Bunetice</t>
  </si>
  <si>
    <t>Bunkovce</t>
  </si>
  <si>
    <t>Bušince</t>
  </si>
  <si>
    <t>Bušovce</t>
  </si>
  <si>
    <t>Buzica</t>
  </si>
  <si>
    <t>Buzitka</t>
  </si>
  <si>
    <t>Bystrá</t>
  </si>
  <si>
    <t>Bystrany</t>
  </si>
  <si>
    <t>Bystré</t>
  </si>
  <si>
    <t>Bystričany</t>
  </si>
  <si>
    <t>Chalmová</t>
  </si>
  <si>
    <t>Vieska</t>
  </si>
  <si>
    <t>Bystrička</t>
  </si>
  <si>
    <t>Byšta</t>
  </si>
  <si>
    <t>Hliník nad Váhom</t>
  </si>
  <si>
    <t>Malá Bytča</t>
  </si>
  <si>
    <t>Mikšová</t>
  </si>
  <si>
    <t>Veľká Bytča</t>
  </si>
  <si>
    <t>Bytčica</t>
  </si>
  <si>
    <t>Bzenica</t>
  </si>
  <si>
    <t>Bzenov</t>
  </si>
  <si>
    <t>Bzince</t>
  </si>
  <si>
    <t>Dolné Bzince</t>
  </si>
  <si>
    <t>Horné Bzince</t>
  </si>
  <si>
    <t>Hrubá Strana</t>
  </si>
  <si>
    <t>Hrušové</t>
  </si>
  <si>
    <t>Bziny</t>
  </si>
  <si>
    <t>Bzovík</t>
  </si>
  <si>
    <t>Bzovská Lehôtka</t>
  </si>
  <si>
    <t>Bžany</t>
  </si>
  <si>
    <t>Cabaj</t>
  </si>
  <si>
    <t>Cabov</t>
  </si>
  <si>
    <t>Cakov</t>
  </si>
  <si>
    <t>Cejkov</t>
  </si>
  <si>
    <t>Cernina</t>
  </si>
  <si>
    <t>Cerová-Lieskové</t>
  </si>
  <si>
    <t>Cerovo</t>
  </si>
  <si>
    <t>Cestice</t>
  </si>
  <si>
    <t>Cífer</t>
  </si>
  <si>
    <t>Cigeľ</t>
  </si>
  <si>
    <t>Cigeľka</t>
  </si>
  <si>
    <t>Cigla</t>
  </si>
  <si>
    <t>Cimenná</t>
  </si>
  <si>
    <t>Cinobaňa</t>
  </si>
  <si>
    <t>Čab</t>
  </si>
  <si>
    <t>Sila</t>
  </si>
  <si>
    <t>Čabalovce</t>
  </si>
  <si>
    <t>Čabiny</t>
  </si>
  <si>
    <t>Čabradský Vrbovok</t>
  </si>
  <si>
    <t>Čačín</t>
  </si>
  <si>
    <t>Čadca</t>
  </si>
  <si>
    <t>Horelica</t>
  </si>
  <si>
    <t>Čachtice</t>
  </si>
  <si>
    <t>Čajkov</t>
  </si>
  <si>
    <t>Čaka</t>
  </si>
  <si>
    <t>Čakajovce</t>
  </si>
  <si>
    <t>Čakanovce</t>
  </si>
  <si>
    <t>Čakany</t>
  </si>
  <si>
    <t>Čaklov</t>
  </si>
  <si>
    <t>Čalovec</t>
  </si>
  <si>
    <t>Veľký Meder</t>
  </si>
  <si>
    <t>Čamovce</t>
  </si>
  <si>
    <t>Čaňa</t>
  </si>
  <si>
    <t>Čankov</t>
  </si>
  <si>
    <t>Čápor</t>
  </si>
  <si>
    <t>Čaradice</t>
  </si>
  <si>
    <t>Čáry</t>
  </si>
  <si>
    <t>Častá</t>
  </si>
  <si>
    <t>Častkov</t>
  </si>
  <si>
    <t>Častkovce</t>
  </si>
  <si>
    <t>Čata</t>
  </si>
  <si>
    <t>Čataj</t>
  </si>
  <si>
    <t>Čavoj</t>
  </si>
  <si>
    <t>Čebovce</t>
  </si>
  <si>
    <t>Čečehov</t>
  </si>
  <si>
    <t>Čečejovce</t>
  </si>
  <si>
    <t>Čechy</t>
  </si>
  <si>
    <t>Čekovce</t>
  </si>
  <si>
    <t>Čeľadice</t>
  </si>
  <si>
    <t>Čeľadince</t>
  </si>
  <si>
    <t>Čeláre</t>
  </si>
  <si>
    <t>Čelkova Lehota</t>
  </si>
  <si>
    <t>Čelovce</t>
  </si>
  <si>
    <t>Čeľovce</t>
  </si>
  <si>
    <t>Čemerné</t>
  </si>
  <si>
    <t>Čereňany</t>
  </si>
  <si>
    <t>Čerenčany</t>
  </si>
  <si>
    <t>Čerhov</t>
  </si>
  <si>
    <t>Čerín</t>
  </si>
  <si>
    <t>Čermany</t>
  </si>
  <si>
    <t>Černík</t>
  </si>
  <si>
    <t>Černina</t>
  </si>
  <si>
    <t>Černochov</t>
  </si>
  <si>
    <t>Čertižné</t>
  </si>
  <si>
    <t>Červená Voda</t>
  </si>
  <si>
    <t>Červeňany</t>
  </si>
  <si>
    <t>Červenica</t>
  </si>
  <si>
    <t>Červenica pri Sabinove</t>
  </si>
  <si>
    <t>Červeník</t>
  </si>
  <si>
    <t>Červený Hrádok</t>
  </si>
  <si>
    <t>Červený Kameň</t>
  </si>
  <si>
    <t>Červený Kláštor</t>
  </si>
  <si>
    <t>České Brezovo</t>
  </si>
  <si>
    <t>Zlatno</t>
  </si>
  <si>
    <t>Čičarovce</t>
  </si>
  <si>
    <t>Čičava</t>
  </si>
  <si>
    <t>Čičmany</t>
  </si>
  <si>
    <t>Číčov</t>
  </si>
  <si>
    <t>Čierna</t>
  </si>
  <si>
    <t>Čierna Lehota</t>
  </si>
  <si>
    <t>Čierna nad Tisou</t>
  </si>
  <si>
    <t>Čierna Voda</t>
  </si>
  <si>
    <t>Čierne</t>
  </si>
  <si>
    <t>Čierne Kľačany</t>
  </si>
  <si>
    <t>Čierne nad Topľou</t>
  </si>
  <si>
    <t>Čierne Pole</t>
  </si>
  <si>
    <t>Čierny Balog</t>
  </si>
  <si>
    <t>Čierny Brod</t>
  </si>
  <si>
    <t>Heď</t>
  </si>
  <si>
    <t>Zúgov</t>
  </si>
  <si>
    <t>Ostrov</t>
  </si>
  <si>
    <t>Čierny Potok</t>
  </si>
  <si>
    <t>Čifáre</t>
  </si>
  <si>
    <t>Čiližská Radvaň</t>
  </si>
  <si>
    <t>Čimhová</t>
  </si>
  <si>
    <t>Čirč</t>
  </si>
  <si>
    <t>Číž</t>
  </si>
  <si>
    <t>Čižatice</t>
  </si>
  <si>
    <t>Čoltovo</t>
  </si>
  <si>
    <t>Čremošné</t>
  </si>
  <si>
    <t>Čukalovce</t>
  </si>
  <si>
    <t>Čuklasovce</t>
  </si>
  <si>
    <t>Čunovo</t>
  </si>
  <si>
    <t>Ďačov</t>
  </si>
  <si>
    <t>Horný Dačov Lom</t>
  </si>
  <si>
    <t>Dolný Dačov Lom</t>
  </si>
  <si>
    <t>Daletice</t>
  </si>
  <si>
    <t>Danišovce</t>
  </si>
  <si>
    <t>Ďanová</t>
  </si>
  <si>
    <t>Ďapalovce</t>
  </si>
  <si>
    <t>Dara</t>
  </si>
  <si>
    <t>Dargov</t>
  </si>
  <si>
    <t>Davidov</t>
  </si>
  <si>
    <t>Debraď</t>
  </si>
  <si>
    <t>Dedačov</t>
  </si>
  <si>
    <t>Dedina Mládeže</t>
  </si>
  <si>
    <t>Dedinka</t>
  </si>
  <si>
    <t>Dedinky</t>
  </si>
  <si>
    <t>Dechtice</t>
  </si>
  <si>
    <t>Dekýš</t>
  </si>
  <si>
    <t>Demandice</t>
  </si>
  <si>
    <t>Demänová</t>
  </si>
  <si>
    <t>Demänovská Dolina</t>
  </si>
  <si>
    <t>Demjata</t>
  </si>
  <si>
    <t>Detrík</t>
  </si>
  <si>
    <t>Detva</t>
  </si>
  <si>
    <t>Detvianska Huta</t>
  </si>
  <si>
    <t>Dolné Devičany</t>
  </si>
  <si>
    <t>Horné Devičany</t>
  </si>
  <si>
    <t>Devičie</t>
  </si>
  <si>
    <t>Devínska Nová Ves</t>
  </si>
  <si>
    <t>Dežerice</t>
  </si>
  <si>
    <t>Vlčkovo</t>
  </si>
  <si>
    <t>Diaková</t>
  </si>
  <si>
    <t>Diakovce</t>
  </si>
  <si>
    <t>Diva</t>
  </si>
  <si>
    <t>Diviacka Nová Ves</t>
  </si>
  <si>
    <t>Vrbany</t>
  </si>
  <si>
    <t>Diviaky</t>
  </si>
  <si>
    <t>Diviaky nad Nitricou</t>
  </si>
  <si>
    <t>Divín</t>
  </si>
  <si>
    <t>Divina</t>
  </si>
  <si>
    <t>Divinka</t>
  </si>
  <si>
    <t>Dlhá</t>
  </si>
  <si>
    <t>Dlhá Lúka</t>
  </si>
  <si>
    <t>Dlhá nad Kysucou</t>
  </si>
  <si>
    <t>Dlhá nad Oravou</t>
  </si>
  <si>
    <t>Dlhá nad Váhom</t>
  </si>
  <si>
    <t>Dlhá Ves</t>
  </si>
  <si>
    <t>Dlhé Klčovo</t>
  </si>
  <si>
    <t>Dlhé nad Cirochou</t>
  </si>
  <si>
    <t>Dlhé Pole</t>
  </si>
  <si>
    <t>Dlhé Stráže</t>
  </si>
  <si>
    <t>Dlhoňa</t>
  </si>
  <si>
    <t>Dlžín</t>
  </si>
  <si>
    <t>Dobrá</t>
  </si>
  <si>
    <t>Dobrá Niva</t>
  </si>
  <si>
    <t>Dobrá Voda</t>
  </si>
  <si>
    <t>Dobroč</t>
  </si>
  <si>
    <t>Kotmanová</t>
  </si>
  <si>
    <t>Dobrohošť</t>
  </si>
  <si>
    <t>Dobroslava</t>
  </si>
  <si>
    <t>Dobšiná</t>
  </si>
  <si>
    <t>Dohňany</t>
  </si>
  <si>
    <t>Dojč</t>
  </si>
  <si>
    <t>Doľany</t>
  </si>
  <si>
    <t>Dolinka</t>
  </si>
  <si>
    <t>Dolná Breznica</t>
  </si>
  <si>
    <t>Dolná Krupá</t>
  </si>
  <si>
    <t>Dolná Lehota</t>
  </si>
  <si>
    <t>Dolná Mariková</t>
  </si>
  <si>
    <t>Dolná Mičiná</t>
  </si>
  <si>
    <t>Dolná Poruba</t>
  </si>
  <si>
    <t>Dolná Seč</t>
  </si>
  <si>
    <t>Dolná Streda</t>
  </si>
  <si>
    <t>Dolná Strehová</t>
  </si>
  <si>
    <t>Dolná Súča</t>
  </si>
  <si>
    <t>Dolná Štubňa</t>
  </si>
  <si>
    <t>Dolná Tižina</t>
  </si>
  <si>
    <t>Dolná Trnávka</t>
  </si>
  <si>
    <t>Dolná Ves</t>
  </si>
  <si>
    <t>Dolná Ždaňa</t>
  </si>
  <si>
    <t>Dolné Držkovce</t>
  </si>
  <si>
    <t>Dolné Dubové</t>
  </si>
  <si>
    <t>Dolné Hámre</t>
  </si>
  <si>
    <t>Dolné Kočkovce</t>
  </si>
  <si>
    <t>Dolné Krškany</t>
  </si>
  <si>
    <t>Dolné Lefantovce</t>
  </si>
  <si>
    <t>Dolné Mladonice</t>
  </si>
  <si>
    <t>Dolné Naštice</t>
  </si>
  <si>
    <t>Dolné Obdokovce</t>
  </si>
  <si>
    <t>Dolné Orešany</t>
  </si>
  <si>
    <t>Dolné Otrokovce</t>
  </si>
  <si>
    <t>Dolné Plachtince</t>
  </si>
  <si>
    <t>Dolné Saliby</t>
  </si>
  <si>
    <t>Dolné Semerovce</t>
  </si>
  <si>
    <t>Dolné Srnie</t>
  </si>
  <si>
    <t>Dolné Strháre</t>
  </si>
  <si>
    <t>Dolné Štitáre</t>
  </si>
  <si>
    <t>Dolné Trhovište</t>
  </si>
  <si>
    <t>Dolné Vestenice</t>
  </si>
  <si>
    <t>Dolné Zahorany</t>
  </si>
  <si>
    <t>Dolné Zelenice</t>
  </si>
  <si>
    <t>Dolný Badín</t>
  </si>
  <si>
    <t>Dolný Bar</t>
  </si>
  <si>
    <t>Mad</t>
  </si>
  <si>
    <t>Dolný Harmanec</t>
  </si>
  <si>
    <t>Dolný Hričov</t>
  </si>
  <si>
    <t>Dolný Chotár</t>
  </si>
  <si>
    <t>Dolný Kalník</t>
  </si>
  <si>
    <t>Dolný Kubín</t>
  </si>
  <si>
    <t>Veľký Bysterec</t>
  </si>
  <si>
    <t>Malý Bysterec</t>
  </si>
  <si>
    <t>Záskalie</t>
  </si>
  <si>
    <t>Kubínska Hoľa</t>
  </si>
  <si>
    <t>Medzihradné</t>
  </si>
  <si>
    <t>Dolný Lieskov</t>
  </si>
  <si>
    <t>Dolný Lopašov</t>
  </si>
  <si>
    <t>Dolný Moštenec</t>
  </si>
  <si>
    <t>Dolný Ohaj</t>
  </si>
  <si>
    <t>Svätý Peter</t>
  </si>
  <si>
    <t>Dolný Pial</t>
  </si>
  <si>
    <t>Dolný Tisovník</t>
  </si>
  <si>
    <t>Dolný Vadičov</t>
  </si>
  <si>
    <t>Domadice</t>
  </si>
  <si>
    <t>Domaníky</t>
  </si>
  <si>
    <t>Domaniža</t>
  </si>
  <si>
    <t>Domaňovce</t>
  </si>
  <si>
    <t>Donovaly</t>
  </si>
  <si>
    <t>Dovalovo</t>
  </si>
  <si>
    <t>Drábsko</t>
  </si>
  <si>
    <t>Drahňov</t>
  </si>
  <si>
    <t>Drahovce</t>
  </si>
  <si>
    <t>Dravce</t>
  </si>
  <si>
    <t>Dražice</t>
  </si>
  <si>
    <t>Dražkovce</t>
  </si>
  <si>
    <t>Dražovce</t>
  </si>
  <si>
    <t>Drážovce</t>
  </si>
  <si>
    <t>Drienčany</t>
  </si>
  <si>
    <t>Papča</t>
  </si>
  <si>
    <t>Drienica</t>
  </si>
  <si>
    <t>Drienov</t>
  </si>
  <si>
    <t>Drienovec</t>
  </si>
  <si>
    <t>Drienovo</t>
  </si>
  <si>
    <t>Drienovská Nová Ves</t>
  </si>
  <si>
    <t>Drietoma</t>
  </si>
  <si>
    <t>Drňa</t>
  </si>
  <si>
    <t>Drnava</t>
  </si>
  <si>
    <t>Kostoľany nad Hornádom</t>
  </si>
  <si>
    <t>Malá Vieska</t>
  </si>
  <si>
    <t>Tepličany</t>
  </si>
  <si>
    <t>Drženice</t>
  </si>
  <si>
    <t>Držkovce</t>
  </si>
  <si>
    <t>Ďubákovo</t>
  </si>
  <si>
    <t>Dubinné</t>
  </si>
  <si>
    <t>Dubnica nad Váhom</t>
  </si>
  <si>
    <t>Dubnička</t>
  </si>
  <si>
    <t>Dubník</t>
  </si>
  <si>
    <t>Mikulášov dvor</t>
  </si>
  <si>
    <t>Dubno</t>
  </si>
  <si>
    <t>Dubodiel</t>
  </si>
  <si>
    <t>Dubová</t>
  </si>
  <si>
    <t>Dolné Dubovany</t>
  </si>
  <si>
    <t>Horné Dubovany</t>
  </si>
  <si>
    <t>Vlčkovany</t>
  </si>
  <si>
    <t>Vidovany</t>
  </si>
  <si>
    <t>Dubové</t>
  </si>
  <si>
    <t>Dubovec</t>
  </si>
  <si>
    <t>Dubovica</t>
  </si>
  <si>
    <t>Dúbrava</t>
  </si>
  <si>
    <t>Dúbravica</t>
  </si>
  <si>
    <t>Dúbravy</t>
  </si>
  <si>
    <t>Ducové</t>
  </si>
  <si>
    <t>Dudince</t>
  </si>
  <si>
    <t>Merovce</t>
  </si>
  <si>
    <t>Dukovce</t>
  </si>
  <si>
    <t>Dulice</t>
  </si>
  <si>
    <t>Dulov</t>
  </si>
  <si>
    <t>Dulova Ves</t>
  </si>
  <si>
    <t>Dulovce</t>
  </si>
  <si>
    <t>Dunajov</t>
  </si>
  <si>
    <t>Dunajská Streda</t>
  </si>
  <si>
    <t>Mliečany</t>
  </si>
  <si>
    <t>Malé Blahovo</t>
  </si>
  <si>
    <t>Duplín</t>
  </si>
  <si>
    <t>Ďurčiná</t>
  </si>
  <si>
    <t>Ďurďoš</t>
  </si>
  <si>
    <t>Ďurďošík</t>
  </si>
  <si>
    <t>Ďurďové</t>
  </si>
  <si>
    <t>Ďurkov</t>
  </si>
  <si>
    <t>Ďurková</t>
  </si>
  <si>
    <t>Ďurkovce</t>
  </si>
  <si>
    <t>Dúžava</t>
  </si>
  <si>
    <t>Dvorany nad Nitrou</t>
  </si>
  <si>
    <t>Dvorec</t>
  </si>
  <si>
    <t>Dvorec nad Turcom</t>
  </si>
  <si>
    <t>Dvorianky</t>
  </si>
  <si>
    <t>Dvorníky</t>
  </si>
  <si>
    <t>Malé Dvorníky</t>
  </si>
  <si>
    <t>Veľké Dvorníky</t>
  </si>
  <si>
    <t>Dvory nad Žitavou</t>
  </si>
  <si>
    <t>Dyčka</t>
  </si>
  <si>
    <t>Egreš</t>
  </si>
  <si>
    <t>Fačkov</t>
  </si>
  <si>
    <t>Falkušovce</t>
  </si>
  <si>
    <t>Farná</t>
  </si>
  <si>
    <t>Fekišovce</t>
  </si>
  <si>
    <t>Figa</t>
  </si>
  <si>
    <t>Fijaš</t>
  </si>
  <si>
    <t>Fiľakovo</t>
  </si>
  <si>
    <t>Fiľakovské Kováče</t>
  </si>
  <si>
    <t>Fintice</t>
  </si>
  <si>
    <t>Folkušová</t>
  </si>
  <si>
    <t>Forbasy</t>
  </si>
  <si>
    <t>Frička</t>
  </si>
  <si>
    <t>Fričkovce</t>
  </si>
  <si>
    <t>Fričovce</t>
  </si>
  <si>
    <t>Fulianka</t>
  </si>
  <si>
    <t>Gabčíkovo</t>
  </si>
  <si>
    <t>Gaboltov</t>
  </si>
  <si>
    <t>Gajary</t>
  </si>
  <si>
    <t>Galanta</t>
  </si>
  <si>
    <t>Hody</t>
  </si>
  <si>
    <t>Nebojsa</t>
  </si>
  <si>
    <t>Galovany</t>
  </si>
  <si>
    <t>Brakoň</t>
  </si>
  <si>
    <t>Gáň</t>
  </si>
  <si>
    <t>Filice</t>
  </si>
  <si>
    <t>Gánovce</t>
  </si>
  <si>
    <t>Gbeľany</t>
  </si>
  <si>
    <t>Gbelce</t>
  </si>
  <si>
    <t>Gbely</t>
  </si>
  <si>
    <t>Geča</t>
  </si>
  <si>
    <t>Gelnica</t>
  </si>
  <si>
    <t>Gemer</t>
  </si>
  <si>
    <t>Gemerček</t>
  </si>
  <si>
    <t>Gemerská Hôrka</t>
  </si>
  <si>
    <t>Gemerská Panica</t>
  </si>
  <si>
    <t>Gemerská Poloma</t>
  </si>
  <si>
    <t>Gemerská Ves</t>
  </si>
  <si>
    <t>Gemerské Dechtáre</t>
  </si>
  <si>
    <t>Gemerské Michalovce</t>
  </si>
  <si>
    <t>Gemerský Milhosť</t>
  </si>
  <si>
    <t>Jelšavská Teplica</t>
  </si>
  <si>
    <t>Gemerský Jablonec</t>
  </si>
  <si>
    <t>Mikolčany</t>
  </si>
  <si>
    <t>Nováčany</t>
  </si>
  <si>
    <t>Geraltov</t>
  </si>
  <si>
    <t>Gerlachov</t>
  </si>
  <si>
    <t>Giglovce</t>
  </si>
  <si>
    <t>Giraltovce</t>
  </si>
  <si>
    <t>Girovce</t>
  </si>
  <si>
    <t>Glabušovce</t>
  </si>
  <si>
    <t>Gočaltovo</t>
  </si>
  <si>
    <t>Gočovo</t>
  </si>
  <si>
    <t>Golianovo</t>
  </si>
  <si>
    <t>Gondovo</t>
  </si>
  <si>
    <t>Gortva</t>
  </si>
  <si>
    <t>Bizovo</t>
  </si>
  <si>
    <t>Čenice</t>
  </si>
  <si>
    <t>Gôtovany</t>
  </si>
  <si>
    <t>Granč-Petrovce</t>
  </si>
  <si>
    <t>Gregorova Vieska</t>
  </si>
  <si>
    <t>Gregorovce</t>
  </si>
  <si>
    <t>Gribov</t>
  </si>
  <si>
    <t>Gyňov</t>
  </si>
  <si>
    <t>Habovka</t>
  </si>
  <si>
    <t>Habura</t>
  </si>
  <si>
    <t>Hačava</t>
  </si>
  <si>
    <t>Hágy</t>
  </si>
  <si>
    <t>Háj</t>
  </si>
  <si>
    <t>Hajná Nová Ves</t>
  </si>
  <si>
    <t>Hajnáčka</t>
  </si>
  <si>
    <t>Hájske</t>
  </si>
  <si>
    <t>Hajtovka</t>
  </si>
  <si>
    <t>Haláčovce</t>
  </si>
  <si>
    <t>Otrhánky</t>
  </si>
  <si>
    <t>Halič</t>
  </si>
  <si>
    <t>Haligovce</t>
  </si>
  <si>
    <t>Hámre</t>
  </si>
  <si>
    <t>Hamuliakovo</t>
  </si>
  <si>
    <t>Handlová</t>
  </si>
  <si>
    <t>Hanigovce</t>
  </si>
  <si>
    <t>Haniska</t>
  </si>
  <si>
    <t>Hanková</t>
  </si>
  <si>
    <t>Hankovce</t>
  </si>
  <si>
    <t>Hanušovce nad Topľou</t>
  </si>
  <si>
    <t>Harakovce</t>
  </si>
  <si>
    <t>Harhaj</t>
  </si>
  <si>
    <t>Harichovce</t>
  </si>
  <si>
    <t>Harmanec</t>
  </si>
  <si>
    <t>Harvelka</t>
  </si>
  <si>
    <t>Hatalov</t>
  </si>
  <si>
    <t>Hatné</t>
  </si>
  <si>
    <t>Havaj</t>
  </si>
  <si>
    <t>Havka</t>
  </si>
  <si>
    <t>Havranec</t>
  </si>
  <si>
    <t>Hažín</t>
  </si>
  <si>
    <t>Hažlín</t>
  </si>
  <si>
    <t>Helcmanovce</t>
  </si>
  <si>
    <t>Heľpa</t>
  </si>
  <si>
    <t>Henckovce</t>
  </si>
  <si>
    <t>Henclová</t>
  </si>
  <si>
    <t>Hencovce</t>
  </si>
  <si>
    <t>Hendrichovce</t>
  </si>
  <si>
    <t>Herľany</t>
  </si>
  <si>
    <t>Žírovce</t>
  </si>
  <si>
    <t>Hermanovce</t>
  </si>
  <si>
    <t>Hermanovce nad Topľou</t>
  </si>
  <si>
    <t>Hertník</t>
  </si>
  <si>
    <t>Hervartov</t>
  </si>
  <si>
    <t>Hiadeľ</t>
  </si>
  <si>
    <t>Hincovce</t>
  </si>
  <si>
    <t>Hladovka</t>
  </si>
  <si>
    <t>Hlboké</t>
  </si>
  <si>
    <t>Hlboké nad Váhom</t>
  </si>
  <si>
    <t>Hliník nad Hronom</t>
  </si>
  <si>
    <t>Hlinné</t>
  </si>
  <si>
    <t>Hlivištia</t>
  </si>
  <si>
    <t>Hlohovec</t>
  </si>
  <si>
    <t>Hloža-Podhorie</t>
  </si>
  <si>
    <t>Hniezdne</t>
  </si>
  <si>
    <t>Hnilčík</t>
  </si>
  <si>
    <t>Hnilec</t>
  </si>
  <si>
    <t>Hnojné</t>
  </si>
  <si>
    <t>Hnúšťa</t>
  </si>
  <si>
    <t>Hodejov</t>
  </si>
  <si>
    <t>Hodejovec</t>
  </si>
  <si>
    <t>Hodkovce</t>
  </si>
  <si>
    <t>Hokovce</t>
  </si>
  <si>
    <t>Holčíkovce</t>
  </si>
  <si>
    <t>Dolné Holiare</t>
  </si>
  <si>
    <t>Horné Holiare</t>
  </si>
  <si>
    <t>Beketfa</t>
  </si>
  <si>
    <t>Čéfa</t>
  </si>
  <si>
    <t>Kostolná Gala</t>
  </si>
  <si>
    <t>Malá Budafa</t>
  </si>
  <si>
    <t>Póšfa</t>
  </si>
  <si>
    <t>Stará Gala</t>
  </si>
  <si>
    <t>Veľká Budafa</t>
  </si>
  <si>
    <t>Čentöfa</t>
  </si>
  <si>
    <t>Holíč</t>
  </si>
  <si>
    <t>Holiša</t>
  </si>
  <si>
    <t>Holumnica</t>
  </si>
  <si>
    <t>Honce</t>
  </si>
  <si>
    <t>Hontianska Vrbica</t>
  </si>
  <si>
    <t>Kostolné Moravce</t>
  </si>
  <si>
    <t>Opatové Moravce</t>
  </si>
  <si>
    <t>Hontianske Nemce</t>
  </si>
  <si>
    <t>Rakovec</t>
  </si>
  <si>
    <t>Hontianske Tesáre</t>
  </si>
  <si>
    <t>Horenice</t>
  </si>
  <si>
    <t>Medné</t>
  </si>
  <si>
    <t>Hôrka</t>
  </si>
  <si>
    <t>Hôrka nad Váhom</t>
  </si>
  <si>
    <t>Hôrky</t>
  </si>
  <si>
    <t>Horňa</t>
  </si>
  <si>
    <t>Horná Breznica</t>
  </si>
  <si>
    <t>Horná Kráľová</t>
  </si>
  <si>
    <t>Horná Krupá</t>
  </si>
  <si>
    <t>Horná Lehota</t>
  </si>
  <si>
    <t>Horná Mariková</t>
  </si>
  <si>
    <t>Horná Mičiná</t>
  </si>
  <si>
    <t>Horná Poruba</t>
  </si>
  <si>
    <t>Benkova Potôň</t>
  </si>
  <si>
    <t>Čečínska Potôň</t>
  </si>
  <si>
    <t>Horná Potôň</t>
  </si>
  <si>
    <t>Potônske Lúky</t>
  </si>
  <si>
    <t>Horná Seč</t>
  </si>
  <si>
    <t>Horná Streda</t>
  </si>
  <si>
    <t>Horná Strehová</t>
  </si>
  <si>
    <t>Horná Súča</t>
  </si>
  <si>
    <t>Horná Štubňa</t>
  </si>
  <si>
    <t>Horná Tižina</t>
  </si>
  <si>
    <t>Horná Trnávka</t>
  </si>
  <si>
    <t>Horná Ves</t>
  </si>
  <si>
    <t>Horná Ždaňa</t>
  </si>
  <si>
    <t>Horňany</t>
  </si>
  <si>
    <t>Horné Držkovce</t>
  </si>
  <si>
    <t>Horné Dubové</t>
  </si>
  <si>
    <t>Horné Hámre</t>
  </si>
  <si>
    <t>Horné Chlebany</t>
  </si>
  <si>
    <t>Turčianske Jaseno</t>
  </si>
  <si>
    <t>Horné Lefantovce</t>
  </si>
  <si>
    <t>Horné Mladonice</t>
  </si>
  <si>
    <t>Horné Naštice</t>
  </si>
  <si>
    <t>Horné Obdokovce</t>
  </si>
  <si>
    <t>Horné Orešany</t>
  </si>
  <si>
    <t>Horné Otrokovce</t>
  </si>
  <si>
    <t>Horné Ozorovce</t>
  </si>
  <si>
    <t>Horné Plachtince</t>
  </si>
  <si>
    <t>Horné Pršany</t>
  </si>
  <si>
    <t>Horné Saliby</t>
  </si>
  <si>
    <t>Horné Semerovce</t>
  </si>
  <si>
    <t>Horné Srnie</t>
  </si>
  <si>
    <t>Horné Strháre</t>
  </si>
  <si>
    <t>Horné Štitáre</t>
  </si>
  <si>
    <t>Horné Trhovište</t>
  </si>
  <si>
    <t>Horné Turovce</t>
  </si>
  <si>
    <t>Horné Vestenice</t>
  </si>
  <si>
    <t>Horné Zahorany</t>
  </si>
  <si>
    <t>Horné Zelenice</t>
  </si>
  <si>
    <t>Horný Badín</t>
  </si>
  <si>
    <t>Bodíky</t>
  </si>
  <si>
    <t>Horný Bar</t>
  </si>
  <si>
    <t>Šuľany</t>
  </si>
  <si>
    <t>Horný Hričov</t>
  </si>
  <si>
    <t>Horný Kalník</t>
  </si>
  <si>
    <t>Horný Lieskov</t>
  </si>
  <si>
    <t>Horný Moštenec</t>
  </si>
  <si>
    <t>Horný Ohaj</t>
  </si>
  <si>
    <t>Horný Pial</t>
  </si>
  <si>
    <t>Horný Tisovník</t>
  </si>
  <si>
    <t>Horný Vadičov</t>
  </si>
  <si>
    <t>Horovce</t>
  </si>
  <si>
    <t>Horša</t>
  </si>
  <si>
    <t>Hoste</t>
  </si>
  <si>
    <t>Hostice</t>
  </si>
  <si>
    <t>Hostie</t>
  </si>
  <si>
    <t>Panský diel</t>
  </si>
  <si>
    <t>Hostišovce</t>
  </si>
  <si>
    <t>Hosťová</t>
  </si>
  <si>
    <t>Hosťovce</t>
  </si>
  <si>
    <t>Hostovice</t>
  </si>
  <si>
    <t>Hoštiná</t>
  </si>
  <si>
    <t>Hozelec</t>
  </si>
  <si>
    <t>Hrabičov</t>
  </si>
  <si>
    <t>Hrabkov</t>
  </si>
  <si>
    <t>Hrabová Roztoka</t>
  </si>
  <si>
    <t>Hrabovčík</t>
  </si>
  <si>
    <t>Hrabové</t>
  </si>
  <si>
    <t>Hrabovec</t>
  </si>
  <si>
    <t>Hrabovec nad Laborcom</t>
  </si>
  <si>
    <t>Hrabovka</t>
  </si>
  <si>
    <t>Hrabské</t>
  </si>
  <si>
    <t>Hrabušice</t>
  </si>
  <si>
    <t>Hradisko</t>
  </si>
  <si>
    <t>Hradište</t>
  </si>
  <si>
    <t>Hradište pod Vrátnom</t>
  </si>
  <si>
    <t>Hrádok</t>
  </si>
  <si>
    <t>Hrachovište</t>
  </si>
  <si>
    <t>Hrachovo</t>
  </si>
  <si>
    <t>Hraň</t>
  </si>
  <si>
    <t>Kechnec</t>
  </si>
  <si>
    <t>Milhosť</t>
  </si>
  <si>
    <t>Hraničné</t>
  </si>
  <si>
    <t>Hranovnica</t>
  </si>
  <si>
    <t>Hrašné</t>
  </si>
  <si>
    <t>Hrašovík</t>
  </si>
  <si>
    <t>Hrboltová</t>
  </si>
  <si>
    <t>Hrčeľ</t>
  </si>
  <si>
    <t>Hrhov</t>
  </si>
  <si>
    <t>Hriadky</t>
  </si>
  <si>
    <t>Hričovské Podhradie</t>
  </si>
  <si>
    <t>Hriňová</t>
  </si>
  <si>
    <t>Hrišovce</t>
  </si>
  <si>
    <t>Hrkovce</t>
  </si>
  <si>
    <t>Hrlica</t>
  </si>
  <si>
    <t>Hrnčiarovce</t>
  </si>
  <si>
    <t>Pondelok</t>
  </si>
  <si>
    <t>Veľká Suchá</t>
  </si>
  <si>
    <t>Hrnčiarske Zalužany</t>
  </si>
  <si>
    <t>Dolný Štál</t>
  </si>
  <si>
    <t>Horný Štál</t>
  </si>
  <si>
    <t>Tône</t>
  </si>
  <si>
    <t>Hrochoť</t>
  </si>
  <si>
    <t>Hromoš</t>
  </si>
  <si>
    <t>Hronec</t>
  </si>
  <si>
    <t>Brusno</t>
  </si>
  <si>
    <t>Čajakovo</t>
  </si>
  <si>
    <t>Domaša</t>
  </si>
  <si>
    <t>Vozokany nad Hronom</t>
  </si>
  <si>
    <t>Hronsek</t>
  </si>
  <si>
    <t>Hronská Breznica</t>
  </si>
  <si>
    <t>Hronská Dúbrava</t>
  </si>
  <si>
    <t>Hronské Kľačany</t>
  </si>
  <si>
    <t>Hronské Kosihy</t>
  </si>
  <si>
    <t>Hronský Beňadik</t>
  </si>
  <si>
    <t>Hrubá Borša</t>
  </si>
  <si>
    <t>Suľany</t>
  </si>
  <si>
    <t>Výčapky</t>
  </si>
  <si>
    <t>Hrubov</t>
  </si>
  <si>
    <t>Hrubý Šúr</t>
  </si>
  <si>
    <t>Hrušov</t>
  </si>
  <si>
    <t>Hrušovany</t>
  </si>
  <si>
    <t>Hrušovo</t>
  </si>
  <si>
    <t>Ostrany</t>
  </si>
  <si>
    <t>Striežovce</t>
  </si>
  <si>
    <t>Hruštín</t>
  </si>
  <si>
    <t>Hubice</t>
  </si>
  <si>
    <t>Hubina</t>
  </si>
  <si>
    <t>Hubošovce</t>
  </si>
  <si>
    <t>Hubová</t>
  </si>
  <si>
    <t>Hubovo</t>
  </si>
  <si>
    <t>Hucín</t>
  </si>
  <si>
    <t>Hudcovce</t>
  </si>
  <si>
    <t>Hul</t>
  </si>
  <si>
    <t>Humenné</t>
  </si>
  <si>
    <t>Humenský Rokytov</t>
  </si>
  <si>
    <t>Huncovce</t>
  </si>
  <si>
    <t>Hunkovce</t>
  </si>
  <si>
    <t>Hurbanova Ves</t>
  </si>
  <si>
    <t>Hurbanovo</t>
  </si>
  <si>
    <t>Husák</t>
  </si>
  <si>
    <t>Husiná</t>
  </si>
  <si>
    <t>Hutka</t>
  </si>
  <si>
    <t>Bočiar</t>
  </si>
  <si>
    <t>Sokoľany</t>
  </si>
  <si>
    <t>Huty</t>
  </si>
  <si>
    <t>Hviezdoslavov</t>
  </si>
  <si>
    <t>Hvozdnica</t>
  </si>
  <si>
    <t>Hybe</t>
  </si>
  <si>
    <t>Hýľov</t>
  </si>
  <si>
    <t>Chanava</t>
  </si>
  <si>
    <t>Chľaba</t>
  </si>
  <si>
    <t>Chlebnice</t>
  </si>
  <si>
    <t>Chlmec</t>
  </si>
  <si>
    <t>Chmeľnica</t>
  </si>
  <si>
    <t>Chmeľov</t>
  </si>
  <si>
    <t>Chmeľová</t>
  </si>
  <si>
    <t>Chmeľovec</t>
  </si>
  <si>
    <t>Chmiňany</t>
  </si>
  <si>
    <t>Chminianska Nová Ves</t>
  </si>
  <si>
    <t>Chminianske Jakubovany</t>
  </si>
  <si>
    <t>Choča</t>
  </si>
  <si>
    <t>Chocholná-Velčice</t>
  </si>
  <si>
    <t>Choňkovce</t>
  </si>
  <si>
    <t>Chorvátsky Grob</t>
  </si>
  <si>
    <t>Chotča</t>
  </si>
  <si>
    <t>Chotín</t>
  </si>
  <si>
    <t>Chrabrany</t>
  </si>
  <si>
    <t>Chrámec</t>
  </si>
  <si>
    <t>Chrasť nad Hornádom</t>
  </si>
  <si>
    <t>Chrastince</t>
  </si>
  <si>
    <t>Chrastné</t>
  </si>
  <si>
    <t>Malé Chrašťany</t>
  </si>
  <si>
    <t>Veľké Chrašťany</t>
  </si>
  <si>
    <t>Chrenovec</t>
  </si>
  <si>
    <t>Chropov</t>
  </si>
  <si>
    <t>Chrťany</t>
  </si>
  <si>
    <t>Chtelnica</t>
  </si>
  <si>
    <t>Chudá Lehota</t>
  </si>
  <si>
    <t>Chvalová</t>
  </si>
  <si>
    <t>Chvojnica</t>
  </si>
  <si>
    <t>Chynorany</t>
  </si>
  <si>
    <t>Chyžné</t>
  </si>
  <si>
    <t>Igram</t>
  </si>
  <si>
    <t>Majerka</t>
  </si>
  <si>
    <t>Stotince</t>
  </si>
  <si>
    <t>Ihráč</t>
  </si>
  <si>
    <t>Ihrište</t>
  </si>
  <si>
    <t>Iľanovo</t>
  </si>
  <si>
    <t>Ilava</t>
  </si>
  <si>
    <t>Iliašovce</t>
  </si>
  <si>
    <t>Ilija</t>
  </si>
  <si>
    <t>Imeľ</t>
  </si>
  <si>
    <t>Iňa</t>
  </si>
  <si>
    <t>Iňačovce</t>
  </si>
  <si>
    <t>Inovce</t>
  </si>
  <si>
    <t>Ipeľské Predmostie</t>
  </si>
  <si>
    <t>Ipeľské Úľany</t>
  </si>
  <si>
    <t>Ipeľský Potok</t>
  </si>
  <si>
    <t>Ipeľský Sokolec</t>
  </si>
  <si>
    <t>Istebné</t>
  </si>
  <si>
    <t>Ivachnová</t>
  </si>
  <si>
    <t>Ivančiná</t>
  </si>
  <si>
    <t>Ivanice</t>
  </si>
  <si>
    <t>Ivanka pri Dunaji</t>
  </si>
  <si>
    <t>ID</t>
  </si>
  <si>
    <t>Ivanka pri Nitre</t>
  </si>
  <si>
    <t>Ivanovce</t>
  </si>
  <si>
    <t>Iža</t>
  </si>
  <si>
    <t>Ižipovce</t>
  </si>
  <si>
    <t>Ižkovce</t>
  </si>
  <si>
    <t>Ižop</t>
  </si>
  <si>
    <t>Jabloň</t>
  </si>
  <si>
    <t>Jablonec</t>
  </si>
  <si>
    <t>Jablonica</t>
  </si>
  <si>
    <t>Jablonka</t>
  </si>
  <si>
    <t>Jablonov</t>
  </si>
  <si>
    <t>Jablonov nad Turňou</t>
  </si>
  <si>
    <t>Dolné Jabloňovce</t>
  </si>
  <si>
    <t>Horné Jabloňovce</t>
  </si>
  <si>
    <t>Jablonové</t>
  </si>
  <si>
    <t>Jacovce</t>
  </si>
  <si>
    <t>Dunajský Klátov</t>
  </si>
  <si>
    <t>Jahodná</t>
  </si>
  <si>
    <t>Jaklovce</t>
  </si>
  <si>
    <t>Jakovany</t>
  </si>
  <si>
    <t>Jakubany</t>
  </si>
  <si>
    <t>Jakubov</t>
  </si>
  <si>
    <t>Jakubova Voľa</t>
  </si>
  <si>
    <t>Jakubovany</t>
  </si>
  <si>
    <t>Jakušovce</t>
  </si>
  <si>
    <t>Jalná</t>
  </si>
  <si>
    <t>Jalová</t>
  </si>
  <si>
    <t>Jalovec</t>
  </si>
  <si>
    <t>Jalšové</t>
  </si>
  <si>
    <t>Jalšovík</t>
  </si>
  <si>
    <t>Jamník</t>
  </si>
  <si>
    <t>Janice</t>
  </si>
  <si>
    <t>Janík</t>
  </si>
  <si>
    <t>Búštelek</t>
  </si>
  <si>
    <t>Dolné Janíky</t>
  </si>
  <si>
    <t>Horné Janíky</t>
  </si>
  <si>
    <t>Jankovce</t>
  </si>
  <si>
    <t>Jánošíková</t>
  </si>
  <si>
    <t>Janov</t>
  </si>
  <si>
    <t>Janova Lehota</t>
  </si>
  <si>
    <t>Janova Ves</t>
  </si>
  <si>
    <t>Jánovce</t>
  </si>
  <si>
    <t>Janovce</t>
  </si>
  <si>
    <t>Machalovce</t>
  </si>
  <si>
    <t>Janovík</t>
  </si>
  <si>
    <t>Jarabá</t>
  </si>
  <si>
    <t>Jarabina</t>
  </si>
  <si>
    <t>Jarná</t>
  </si>
  <si>
    <t>Jarok</t>
  </si>
  <si>
    <t>Jarovce</t>
  </si>
  <si>
    <t>Jarovnice</t>
  </si>
  <si>
    <t>Jasenica</t>
  </si>
  <si>
    <t>Jasenie</t>
  </si>
  <si>
    <t>Jasenov</t>
  </si>
  <si>
    <t>Jasenová</t>
  </si>
  <si>
    <t>Jasenovce</t>
  </si>
  <si>
    <t>Jasenové</t>
  </si>
  <si>
    <t>Jasenovo</t>
  </si>
  <si>
    <t>Jaslovce</t>
  </si>
  <si>
    <t>Jasov</t>
  </si>
  <si>
    <t>Jasová</t>
  </si>
  <si>
    <t>Jastrabá</t>
  </si>
  <si>
    <t>Jastrabie nad Topľou</t>
  </si>
  <si>
    <t>Jastrabie pri Michalovciach</t>
  </si>
  <si>
    <t>Jatov</t>
  </si>
  <si>
    <t>Jazernica</t>
  </si>
  <si>
    <t>Jedlinka</t>
  </si>
  <si>
    <t>Jedľové Kostoľany</t>
  </si>
  <si>
    <t>Jelenec</t>
  </si>
  <si>
    <t>Jelka</t>
  </si>
  <si>
    <t>Nová Jelka</t>
  </si>
  <si>
    <t>Ereč</t>
  </si>
  <si>
    <t>Jelšava</t>
  </si>
  <si>
    <t>Jelšovce</t>
  </si>
  <si>
    <t>Jelšovec</t>
  </si>
  <si>
    <t>Jenkovce</t>
  </si>
  <si>
    <t>Jestice</t>
  </si>
  <si>
    <t>Ješkova Ves</t>
  </si>
  <si>
    <t>Jezersko</t>
  </si>
  <si>
    <t>Jovice</t>
  </si>
  <si>
    <t>Jovsa</t>
  </si>
  <si>
    <t>Jur nad Hronom</t>
  </si>
  <si>
    <t>Svätý Jur</t>
  </si>
  <si>
    <t>Neštich</t>
  </si>
  <si>
    <t>Jurkova Voľa</t>
  </si>
  <si>
    <t>Jurová</t>
  </si>
  <si>
    <t>Jurské</t>
  </si>
  <si>
    <t>Juskova Voľa</t>
  </si>
  <si>
    <t>Kačanov</t>
  </si>
  <si>
    <t>Kajal</t>
  </si>
  <si>
    <t>Kaľamenová</t>
  </si>
  <si>
    <t>Kalameny</t>
  </si>
  <si>
    <t>Kaľava</t>
  </si>
  <si>
    <t>Kalinčiakovo</t>
  </si>
  <si>
    <t>Kalinkovo</t>
  </si>
  <si>
    <t>Kalinov</t>
  </si>
  <si>
    <t>Hrabovo</t>
  </si>
  <si>
    <t>Kalinovo</t>
  </si>
  <si>
    <t>Kalná</t>
  </si>
  <si>
    <t>Kalnica</t>
  </si>
  <si>
    <t>Kalná Roztoka</t>
  </si>
  <si>
    <t>Kalnište</t>
  </si>
  <si>
    <t>Kalonda</t>
  </si>
  <si>
    <t>Kaloša</t>
  </si>
  <si>
    <t>Kalša</t>
  </si>
  <si>
    <t>Kaluža</t>
  </si>
  <si>
    <t>Kamanová</t>
  </si>
  <si>
    <t>Kameňany</t>
  </si>
  <si>
    <t>Kamenec pod Vtáčnikom</t>
  </si>
  <si>
    <t>Kamenica</t>
  </si>
  <si>
    <t>Hažín nad Cirochou</t>
  </si>
  <si>
    <t>Kamenica nad Cirochou</t>
  </si>
  <si>
    <t>Kamenica nad Hronom</t>
  </si>
  <si>
    <t>Kameničany</t>
  </si>
  <si>
    <t>Kameničná</t>
  </si>
  <si>
    <t>Kamenín</t>
  </si>
  <si>
    <t>Kamenná Poruba</t>
  </si>
  <si>
    <t>Kamenné Kosihy</t>
  </si>
  <si>
    <t>Kamenný Most</t>
  </si>
  <si>
    <t>Kamienka</t>
  </si>
  <si>
    <t>Kanianka</t>
  </si>
  <si>
    <t>Kapince</t>
  </si>
  <si>
    <t>Kapišová</t>
  </si>
  <si>
    <t>Kaplna</t>
  </si>
  <si>
    <t>Kapušany</t>
  </si>
  <si>
    <t>Kapušianske Kľačany</t>
  </si>
  <si>
    <t>Kardošova Vieska</t>
  </si>
  <si>
    <t>Karlová</t>
  </si>
  <si>
    <t>Karná</t>
  </si>
  <si>
    <t>Kašov</t>
  </si>
  <si>
    <t>Kátlovce</t>
  </si>
  <si>
    <t>Kátov</t>
  </si>
  <si>
    <t>Katúň</t>
  </si>
  <si>
    <t>Kavečany</t>
  </si>
  <si>
    <t>Veľký Kazimír</t>
  </si>
  <si>
    <t>Kecerovské Kostoľany</t>
  </si>
  <si>
    <t>Kecerovské Pekľany</t>
  </si>
  <si>
    <t>Kecerovský Lipovec</t>
  </si>
  <si>
    <t>Kečkovce</t>
  </si>
  <si>
    <t>Kečovo</t>
  </si>
  <si>
    <t>Kendice</t>
  </si>
  <si>
    <t>Kesovce</t>
  </si>
  <si>
    <t>Dimitrij</t>
  </si>
  <si>
    <t>Kežmarok</t>
  </si>
  <si>
    <t>Kiarov</t>
  </si>
  <si>
    <t>Kľačany</t>
  </si>
  <si>
    <t>Kľače</t>
  </si>
  <si>
    <t>Kľačno</t>
  </si>
  <si>
    <t>Kladzany</t>
  </si>
  <si>
    <t>Kľak</t>
  </si>
  <si>
    <t>Klasov</t>
  </si>
  <si>
    <t>Klastava</t>
  </si>
  <si>
    <t>Kláštor pod Znievom</t>
  </si>
  <si>
    <t>Klátova Nová Ves</t>
  </si>
  <si>
    <t>Klčov</t>
  </si>
  <si>
    <t>Kleňany</t>
  </si>
  <si>
    <t>Klenov</t>
  </si>
  <si>
    <t>Klenová</t>
  </si>
  <si>
    <t>Klenovec</t>
  </si>
  <si>
    <t>Klieština</t>
  </si>
  <si>
    <t>Klin</t>
  </si>
  <si>
    <t>Klížska Nemá</t>
  </si>
  <si>
    <t>Klobušice</t>
  </si>
  <si>
    <t>Klokoč</t>
  </si>
  <si>
    <t>Klokočov</t>
  </si>
  <si>
    <t>Klubina</t>
  </si>
  <si>
    <t>Kľúčové</t>
  </si>
  <si>
    <t>Kľúčovec</t>
  </si>
  <si>
    <t>Kluknava</t>
  </si>
  <si>
    <t>Kľušov</t>
  </si>
  <si>
    <t>Kmeťovo</t>
  </si>
  <si>
    <t>Kňažia</t>
  </si>
  <si>
    <t>Kobeliarovo</t>
  </si>
  <si>
    <t>Kobylnice</t>
  </si>
  <si>
    <t>Kobyly</t>
  </si>
  <si>
    <t>Koceľovce</t>
  </si>
  <si>
    <t>Kociha</t>
  </si>
  <si>
    <t>Kocurany</t>
  </si>
  <si>
    <t>Kocurice</t>
  </si>
  <si>
    <t>Kočín</t>
  </si>
  <si>
    <t>Beckovská Vieska</t>
  </si>
  <si>
    <t>Kočovce</t>
  </si>
  <si>
    <t>Rakoľuby</t>
  </si>
  <si>
    <t>Kochanovce</t>
  </si>
  <si>
    <t>Kochanovce nad Laborcom</t>
  </si>
  <si>
    <t>Kojatice</t>
  </si>
  <si>
    <t>Kojšov</t>
  </si>
  <si>
    <t>Kokava nad Rimavicou</t>
  </si>
  <si>
    <t>Utekáč</t>
  </si>
  <si>
    <t>Kokošovce</t>
  </si>
  <si>
    <t>Kokšov-Bakša</t>
  </si>
  <si>
    <t>Malý Kolačín</t>
  </si>
  <si>
    <t>Veľký Kolačín</t>
  </si>
  <si>
    <t>Kolačkov</t>
  </si>
  <si>
    <t>Kolačno</t>
  </si>
  <si>
    <t>Kolárovice</t>
  </si>
  <si>
    <t>Kolárovo</t>
  </si>
  <si>
    <t>Vážsky klin</t>
  </si>
  <si>
    <t>Koláre</t>
  </si>
  <si>
    <t>Kolbasov</t>
  </si>
  <si>
    <t>Kolbovce</t>
  </si>
  <si>
    <t>Kolibabovce</t>
  </si>
  <si>
    <t>Kolíňany</t>
  </si>
  <si>
    <t>Kolinovce</t>
  </si>
  <si>
    <t>Kolonica</t>
  </si>
  <si>
    <t>Kolta</t>
  </si>
  <si>
    <t>Komárany</t>
  </si>
  <si>
    <t>Komárno</t>
  </si>
  <si>
    <t>Komárov</t>
  </si>
  <si>
    <t>Komárovce</t>
  </si>
  <si>
    <t>Komjatice</t>
  </si>
  <si>
    <t>Komjatná</t>
  </si>
  <si>
    <t>Komoča</t>
  </si>
  <si>
    <t>Koniarovce</t>
  </si>
  <si>
    <t>Konrádovce</t>
  </si>
  <si>
    <t>Konská</t>
  </si>
  <si>
    <t>Konské</t>
  </si>
  <si>
    <t>Koňuš</t>
  </si>
  <si>
    <t>Kopanice</t>
  </si>
  <si>
    <t>Kopčany</t>
  </si>
  <si>
    <t>Zemplínske Kopčany</t>
  </si>
  <si>
    <t>Kopec</t>
  </si>
  <si>
    <t>Kopernica</t>
  </si>
  <si>
    <t>Koplotovce</t>
  </si>
  <si>
    <t>Koprivnica</t>
  </si>
  <si>
    <t>Kordíky</t>
  </si>
  <si>
    <t>Korejovce</t>
  </si>
  <si>
    <t>Korňa</t>
  </si>
  <si>
    <t>Koromľa</t>
  </si>
  <si>
    <t>Korunková</t>
  </si>
  <si>
    <t>Kosihovce</t>
  </si>
  <si>
    <t>Kosihy nad Ipľom</t>
  </si>
  <si>
    <t>Kosorín</t>
  </si>
  <si>
    <t>Kostoľany pod Tribečom</t>
  </si>
  <si>
    <t>Kostolec</t>
  </si>
  <si>
    <t>Kostolište</t>
  </si>
  <si>
    <t>Kostolná pri Dunaji</t>
  </si>
  <si>
    <t>Malý Šúr</t>
  </si>
  <si>
    <t>Kostolná Ves</t>
  </si>
  <si>
    <t>Kostolná-Záriečie</t>
  </si>
  <si>
    <t>Kostolné</t>
  </si>
  <si>
    <t>Amadeho Kračany</t>
  </si>
  <si>
    <t>Kostolné Kračany</t>
  </si>
  <si>
    <t>Kynceľove Kračany</t>
  </si>
  <si>
    <t>Moravské Kračany</t>
  </si>
  <si>
    <t>Pinkove Kračany</t>
  </si>
  <si>
    <t>Kostolný Sek</t>
  </si>
  <si>
    <t>Koš</t>
  </si>
  <si>
    <t>Košariská</t>
  </si>
  <si>
    <t>Košarovce</t>
  </si>
  <si>
    <t>Košeca</t>
  </si>
  <si>
    <t>Košecké Rovné</t>
  </si>
  <si>
    <t>Stredné Mesto</t>
  </si>
  <si>
    <t>Severné Mesto</t>
  </si>
  <si>
    <t>Huštáky</t>
  </si>
  <si>
    <t>Letná</t>
  </si>
  <si>
    <t>Vyšné Opátske</t>
  </si>
  <si>
    <t>Južné Mesto</t>
  </si>
  <si>
    <t>Luník</t>
  </si>
  <si>
    <t>Terasa</t>
  </si>
  <si>
    <t>Čermeľ</t>
  </si>
  <si>
    <t>Furča</t>
  </si>
  <si>
    <t>Košická Nová Ves</t>
  </si>
  <si>
    <t>Pereš</t>
  </si>
  <si>
    <t>Myslava</t>
  </si>
  <si>
    <t>Kamenné</t>
  </si>
  <si>
    <t>Ťahanovce</t>
  </si>
  <si>
    <t>Poľov</t>
  </si>
  <si>
    <t>Šaca</t>
  </si>
  <si>
    <t>Košická Belá</t>
  </si>
  <si>
    <t>Košická Polianka</t>
  </si>
  <si>
    <t>Nižný Olčvár</t>
  </si>
  <si>
    <t>Vyšný Olčvár</t>
  </si>
  <si>
    <t>Košický Klečenov</t>
  </si>
  <si>
    <t>Koškovce</t>
  </si>
  <si>
    <t>Košolná</t>
  </si>
  <si>
    <t>Košťany nad Turcom</t>
  </si>
  <si>
    <t>Košúty</t>
  </si>
  <si>
    <t>Kotešová</t>
  </si>
  <si>
    <t>Kotrčiná Lúčka</t>
  </si>
  <si>
    <t>Kováčová</t>
  </si>
  <si>
    <t>Kováčovce</t>
  </si>
  <si>
    <t>Koválov</t>
  </si>
  <si>
    <t>Koválovec</t>
  </si>
  <si>
    <t>Kovarce</t>
  </si>
  <si>
    <t>Kozárovce</t>
  </si>
  <si>
    <t>Kozelník</t>
  </si>
  <si>
    <t>Kozí Vrbovok</t>
  </si>
  <si>
    <t>Kožany</t>
  </si>
  <si>
    <t>Kožuchov</t>
  </si>
  <si>
    <t>Kožuchovce</t>
  </si>
  <si>
    <t>Kračúnovce</t>
  </si>
  <si>
    <t>Krahule</t>
  </si>
  <si>
    <t>Krajná Bystrá</t>
  </si>
  <si>
    <t>Krajná Poľana</t>
  </si>
  <si>
    <t>Krajná Porúbka</t>
  </si>
  <si>
    <t>Krajné</t>
  </si>
  <si>
    <t>Krajné Čierno</t>
  </si>
  <si>
    <t>Krakovany</t>
  </si>
  <si>
    <t>Stráže</t>
  </si>
  <si>
    <t>Kráľ</t>
  </si>
  <si>
    <t>Králiky</t>
  </si>
  <si>
    <t>Kráľov Brod</t>
  </si>
  <si>
    <t>Kráľová</t>
  </si>
  <si>
    <t>Kráľova Lehota</t>
  </si>
  <si>
    <t>Kráľová nad Váhom</t>
  </si>
  <si>
    <t>Kráľová pri Senci</t>
  </si>
  <si>
    <t>Krmeš</t>
  </si>
  <si>
    <t>Kraľovany</t>
  </si>
  <si>
    <t>Kráľovce</t>
  </si>
  <si>
    <t>Krnišov</t>
  </si>
  <si>
    <t>Etreho Kračany</t>
  </si>
  <si>
    <t>Jastrabie Kračany</t>
  </si>
  <si>
    <t>Kľučiarove Kračany</t>
  </si>
  <si>
    <t>Kráľovičove Kračany</t>
  </si>
  <si>
    <t>Lesné Kračany</t>
  </si>
  <si>
    <t>Kráľovský Chlmec</t>
  </si>
  <si>
    <t>Kraskovo</t>
  </si>
  <si>
    <t>Krásna Hôrka</t>
  </si>
  <si>
    <t>Krásna Lúka</t>
  </si>
  <si>
    <t>Krásna</t>
  </si>
  <si>
    <t>Krásna Ves</t>
  </si>
  <si>
    <t>Krasňany</t>
  </si>
  <si>
    <t>Krásno</t>
  </si>
  <si>
    <t>Krásno nad Kysucou</t>
  </si>
  <si>
    <t>Krásnohorská Dlhá Lúka</t>
  </si>
  <si>
    <t>Krásnohorské Podhradie</t>
  </si>
  <si>
    <t>Krásnovce</t>
  </si>
  <si>
    <t>Krásny Brod</t>
  </si>
  <si>
    <t>Rokytovce</t>
  </si>
  <si>
    <t>Kravany</t>
  </si>
  <si>
    <t>Kravany nad Dunajom</t>
  </si>
  <si>
    <t>Krčava</t>
  </si>
  <si>
    <t>Kremná</t>
  </si>
  <si>
    <t>Kremnica</t>
  </si>
  <si>
    <t>Kremnické Bane</t>
  </si>
  <si>
    <t>Kristy</t>
  </si>
  <si>
    <t>Krišľovce</t>
  </si>
  <si>
    <t>Krišovská Liesková</t>
  </si>
  <si>
    <t>Krivá</t>
  </si>
  <si>
    <t>Korytárky</t>
  </si>
  <si>
    <t>Kriváň</t>
  </si>
  <si>
    <t>Krivany</t>
  </si>
  <si>
    <t>Krivé</t>
  </si>
  <si>
    <t>Krivoklát</t>
  </si>
  <si>
    <t>Krivosúd-Bodovka</t>
  </si>
  <si>
    <t>Kríže</t>
  </si>
  <si>
    <t>Krížová Ves</t>
  </si>
  <si>
    <t>Krížovany</t>
  </si>
  <si>
    <t>Križovany nad Dudváhom</t>
  </si>
  <si>
    <t>Krná</t>
  </si>
  <si>
    <t>Krnča</t>
  </si>
  <si>
    <t>Krokava</t>
  </si>
  <si>
    <t>Krompachy</t>
  </si>
  <si>
    <t>Krpeľany</t>
  </si>
  <si>
    <t>Malé Krškany</t>
  </si>
  <si>
    <t>Veľké Krškany</t>
  </si>
  <si>
    <t>Krtovce</t>
  </si>
  <si>
    <t>Krupina</t>
  </si>
  <si>
    <t>Krušetnica</t>
  </si>
  <si>
    <t>Krušinec</t>
  </si>
  <si>
    <t>Dolné Chlebany</t>
  </si>
  <si>
    <t>Krušovce</t>
  </si>
  <si>
    <t>Kružlov</t>
  </si>
  <si>
    <t>Kružlová</t>
  </si>
  <si>
    <t>Kružná</t>
  </si>
  <si>
    <t>Kružno</t>
  </si>
  <si>
    <t>Kšinná</t>
  </si>
  <si>
    <t>Kubáňovo</t>
  </si>
  <si>
    <t>Kubrá</t>
  </si>
  <si>
    <t>Kubrica</t>
  </si>
  <si>
    <t>Kučín</t>
  </si>
  <si>
    <t>Kučín nad Ondavou</t>
  </si>
  <si>
    <t>Kuchyňa</t>
  </si>
  <si>
    <t>Kuklov</t>
  </si>
  <si>
    <t>Kuková</t>
  </si>
  <si>
    <t>Kukučínov</t>
  </si>
  <si>
    <t>Malý Pesek</t>
  </si>
  <si>
    <t>Kunerad</t>
  </si>
  <si>
    <t>Kunešov</t>
  </si>
  <si>
    <t>Kunov</t>
  </si>
  <si>
    <t>Kunova Teplica</t>
  </si>
  <si>
    <t>Kuraľany</t>
  </si>
  <si>
    <t>Kurima</t>
  </si>
  <si>
    <t>Kurimany</t>
  </si>
  <si>
    <t>Kurimka</t>
  </si>
  <si>
    <t>Kurov</t>
  </si>
  <si>
    <t>Kusín</t>
  </si>
  <si>
    <t>Blažov</t>
  </si>
  <si>
    <t>Čenkesfa</t>
  </si>
  <si>
    <t>Heďbeneéte</t>
  </si>
  <si>
    <t>Lidér Tejed</t>
  </si>
  <si>
    <t>Pódafa</t>
  </si>
  <si>
    <t>Töböréte</t>
  </si>
  <si>
    <t>Kúty</t>
  </si>
  <si>
    <t>Kuzmice</t>
  </si>
  <si>
    <t>Kvačany</t>
  </si>
  <si>
    <t>Kvakovce</t>
  </si>
  <si>
    <t>Kvašov</t>
  </si>
  <si>
    <t>Keť</t>
  </si>
  <si>
    <t>Kvetoslavov</t>
  </si>
  <si>
    <t>Kyjatice</t>
  </si>
  <si>
    <t>Kyjov</t>
  </si>
  <si>
    <t>Kysak</t>
  </si>
  <si>
    <t>Kysta</t>
  </si>
  <si>
    <t>Kysucké Nové Mesto</t>
  </si>
  <si>
    <t>Kysucký Lieskovec</t>
  </si>
  <si>
    <t>Láb</t>
  </si>
  <si>
    <t>Lackov</t>
  </si>
  <si>
    <t>Lacková</t>
  </si>
  <si>
    <t>Lackovce</t>
  </si>
  <si>
    <t>Lačnov</t>
  </si>
  <si>
    <t>Lada</t>
  </si>
  <si>
    <t>Ladce</t>
  </si>
  <si>
    <t>Ladice</t>
  </si>
  <si>
    <t>Ladmovce</t>
  </si>
  <si>
    <t>Ladomer</t>
  </si>
  <si>
    <t>Ladomirov</t>
  </si>
  <si>
    <t>Ladomirová</t>
  </si>
  <si>
    <t>Ladzany</t>
  </si>
  <si>
    <t>Lakšárska Nová Ves</t>
  </si>
  <si>
    <t>Mikulášov</t>
  </si>
  <si>
    <t>Lančár</t>
  </si>
  <si>
    <t>Malý Lapáš</t>
  </si>
  <si>
    <t>Veľký Lapáš</t>
  </si>
  <si>
    <t>Lascov</t>
  </si>
  <si>
    <t>Laskár</t>
  </si>
  <si>
    <t>Lastomír</t>
  </si>
  <si>
    <t>Lastovce</t>
  </si>
  <si>
    <t>Laškovce</t>
  </si>
  <si>
    <t>Látky</t>
  </si>
  <si>
    <t>Lazany</t>
  </si>
  <si>
    <t>Lazisko</t>
  </si>
  <si>
    <t>Dubková</t>
  </si>
  <si>
    <t>Lazy pod Makytou</t>
  </si>
  <si>
    <t>Lažany</t>
  </si>
  <si>
    <t>Lednica</t>
  </si>
  <si>
    <t>Lednické Rovne</t>
  </si>
  <si>
    <t>Legnava</t>
  </si>
  <si>
    <t>Malý Lég</t>
  </si>
  <si>
    <t>Masníkovo</t>
  </si>
  <si>
    <t>Sása</t>
  </si>
  <si>
    <t>Veľký Lég</t>
  </si>
  <si>
    <t>Lehota</t>
  </si>
  <si>
    <t>Rimavská Lehota</t>
  </si>
  <si>
    <t>Rimavica</t>
  </si>
  <si>
    <t>Lehota pod Vtáčnikom</t>
  </si>
  <si>
    <t>Lehôtka</t>
  </si>
  <si>
    <t>Lehôtka pod Brehmi</t>
  </si>
  <si>
    <t>Lechnica</t>
  </si>
  <si>
    <t>Lekárovce</t>
  </si>
  <si>
    <t>Leľa</t>
  </si>
  <si>
    <t>Kapoňa</t>
  </si>
  <si>
    <t>Leles</t>
  </si>
  <si>
    <t>Chabžany</t>
  </si>
  <si>
    <t>Lemešany</t>
  </si>
  <si>
    <t>Lenartov</t>
  </si>
  <si>
    <t>Lenartovce</t>
  </si>
  <si>
    <t>Lendak</t>
  </si>
  <si>
    <t>Lenka</t>
  </si>
  <si>
    <t>Lentvora</t>
  </si>
  <si>
    <t>Leopoldov</t>
  </si>
  <si>
    <t>Lesenice</t>
  </si>
  <si>
    <t>Lesíček</t>
  </si>
  <si>
    <t>Lesné</t>
  </si>
  <si>
    <t>Lesnica</t>
  </si>
  <si>
    <t>Lešť I</t>
  </si>
  <si>
    <t>Lažteky</t>
  </si>
  <si>
    <t>Podjavorie I</t>
  </si>
  <si>
    <t>Vidov Vrch</t>
  </si>
  <si>
    <t>Leštiny</t>
  </si>
  <si>
    <t>Letanovce</t>
  </si>
  <si>
    <t>Letničie</t>
  </si>
  <si>
    <t>Levice</t>
  </si>
  <si>
    <t>Levkuška</t>
  </si>
  <si>
    <t>Levoča</t>
  </si>
  <si>
    <t>Ležiachov</t>
  </si>
  <si>
    <t>Libichava</t>
  </si>
  <si>
    <t>Licince</t>
  </si>
  <si>
    <t>Ličartovce</t>
  </si>
  <si>
    <t>Liesek</t>
  </si>
  <si>
    <t>Lieskovany</t>
  </si>
  <si>
    <t>Lieskovec</t>
  </si>
  <si>
    <t>Liešno</t>
  </si>
  <si>
    <t>Dobročná</t>
  </si>
  <si>
    <t>Liešťany</t>
  </si>
  <si>
    <t>Lomnica</t>
  </si>
  <si>
    <t>Lietava</t>
  </si>
  <si>
    <t>Lietavská Lúčka</t>
  </si>
  <si>
    <t>Porúbka</t>
  </si>
  <si>
    <t>Lietavská Svinná</t>
  </si>
  <si>
    <t>Likavka</t>
  </si>
  <si>
    <t>Limbach</t>
  </si>
  <si>
    <t>Lipany</t>
  </si>
  <si>
    <t>Lipník</t>
  </si>
  <si>
    <t>Mlynský Sek</t>
  </si>
  <si>
    <t>Ondrochov</t>
  </si>
  <si>
    <t>Lipová</t>
  </si>
  <si>
    <t>Lipovany</t>
  </si>
  <si>
    <t>Lipovce</t>
  </si>
  <si>
    <t>Lipové</t>
  </si>
  <si>
    <t>Lipovec</t>
  </si>
  <si>
    <t>Lipovník</t>
  </si>
  <si>
    <t>Liptovská Anna</t>
  </si>
  <si>
    <t>Liptovská Kokava</t>
  </si>
  <si>
    <t>Liptovská Lúžna</t>
  </si>
  <si>
    <t>Liptovská Osada</t>
  </si>
  <si>
    <t>Liptovská Porúbka</t>
  </si>
  <si>
    <t>Liptovská Sielnica</t>
  </si>
  <si>
    <t>Parížovce</t>
  </si>
  <si>
    <t>Liptovská Mara</t>
  </si>
  <si>
    <t>Liptovská Štiavnica</t>
  </si>
  <si>
    <t>Liptovská Teplá</t>
  </si>
  <si>
    <t>Madočany</t>
  </si>
  <si>
    <t>Liptovská Teplička</t>
  </si>
  <si>
    <t>Liptovské Beharovce</t>
  </si>
  <si>
    <t>Liptovské Kľačany</t>
  </si>
  <si>
    <t>Liptovské Matiašovce</t>
  </si>
  <si>
    <t>Liptovské Revúce</t>
  </si>
  <si>
    <t>Liptovský Hrádok</t>
  </si>
  <si>
    <t>Liptovský Ján</t>
  </si>
  <si>
    <t>Liptovský Michal</t>
  </si>
  <si>
    <t>Liptovský Mikuláš</t>
  </si>
  <si>
    <t>Palúdzka</t>
  </si>
  <si>
    <t>Liptovská Ondrašová</t>
  </si>
  <si>
    <t>Liptovský Ondrej</t>
  </si>
  <si>
    <t>Liptovský Peter</t>
  </si>
  <si>
    <t>Liptovský Trnovec</t>
  </si>
  <si>
    <t>Lisková</t>
  </si>
  <si>
    <t>Lišov</t>
  </si>
  <si>
    <t>Litava</t>
  </si>
  <si>
    <t>Litmanová</t>
  </si>
  <si>
    <t>Livinské Opatovce</t>
  </si>
  <si>
    <t>Livov</t>
  </si>
  <si>
    <t>Livovská Huta</t>
  </si>
  <si>
    <t>Lodno</t>
  </si>
  <si>
    <t>Lok</t>
  </si>
  <si>
    <t>Lokca</t>
  </si>
  <si>
    <t>Lom nad Rimavicou</t>
  </si>
  <si>
    <t>Lomná</t>
  </si>
  <si>
    <t>Lomné</t>
  </si>
  <si>
    <t>Lomnička</t>
  </si>
  <si>
    <t>Lontov</t>
  </si>
  <si>
    <t>Lopašov</t>
  </si>
  <si>
    <t>Lopúchov</t>
  </si>
  <si>
    <t>Lopušné Pažite</t>
  </si>
  <si>
    <t>Lorinčík</t>
  </si>
  <si>
    <t>Lošonec</t>
  </si>
  <si>
    <t>Lovce</t>
  </si>
  <si>
    <t>Lovča</t>
  </si>
  <si>
    <t>Lovčica</t>
  </si>
  <si>
    <t>Dolné Lovčice</t>
  </si>
  <si>
    <t>Horné Lovčice</t>
  </si>
  <si>
    <t>Lovinobaňa</t>
  </si>
  <si>
    <t>Lozorno</t>
  </si>
  <si>
    <t>Ložín</t>
  </si>
  <si>
    <t>Ľubá</t>
  </si>
  <si>
    <t>Kráľovská Ľubeľa</t>
  </si>
  <si>
    <t>Zemianska Ľubeľa</t>
  </si>
  <si>
    <t>Lubeník</t>
  </si>
  <si>
    <t>Ľubica</t>
  </si>
  <si>
    <t>Ľubietová</t>
  </si>
  <si>
    <t>Lubina</t>
  </si>
  <si>
    <t>Ľubiša</t>
  </si>
  <si>
    <t>Ľubochňa</t>
  </si>
  <si>
    <t>Ľuborča</t>
  </si>
  <si>
    <t>Ľuboreč</t>
  </si>
  <si>
    <t>Ľuboriečka</t>
  </si>
  <si>
    <t>Ľubotice</t>
  </si>
  <si>
    <t>Ľubotín</t>
  </si>
  <si>
    <t>Ľubovec</t>
  </si>
  <si>
    <t>Ruské Pekľany</t>
  </si>
  <si>
    <t>Malá Lúč</t>
  </si>
  <si>
    <t>Veľká Lúč</t>
  </si>
  <si>
    <t>Lučatín</t>
  </si>
  <si>
    <t>Lučenec</t>
  </si>
  <si>
    <t>Opatová</t>
  </si>
  <si>
    <t>Mikušovce</t>
  </si>
  <si>
    <t>Lúčina</t>
  </si>
  <si>
    <t>Lučivná</t>
  </si>
  <si>
    <t>Lúčka</t>
  </si>
  <si>
    <t>Lúčky</t>
  </si>
  <si>
    <t>Martinová</t>
  </si>
  <si>
    <t>Vajka nad Žitavou</t>
  </si>
  <si>
    <t>Ludanice</t>
  </si>
  <si>
    <t>Ludrová</t>
  </si>
  <si>
    <t>Luhyňa</t>
  </si>
  <si>
    <t>Lúka</t>
  </si>
  <si>
    <t>Lukáčovce</t>
  </si>
  <si>
    <t>Lukačovce</t>
  </si>
  <si>
    <t>Lukavica</t>
  </si>
  <si>
    <t>Lukov</t>
  </si>
  <si>
    <t>Venécia</t>
  </si>
  <si>
    <t>Lukové</t>
  </si>
  <si>
    <t>Lukovištia</t>
  </si>
  <si>
    <t>Lúky</t>
  </si>
  <si>
    <t>Lula</t>
  </si>
  <si>
    <t>Lupoč</t>
  </si>
  <si>
    <t>Lutila</t>
  </si>
  <si>
    <t>Ľutina</t>
  </si>
  <si>
    <t>Lutiše</t>
  </si>
  <si>
    <t>Ľutov</t>
  </si>
  <si>
    <t>Lužany</t>
  </si>
  <si>
    <t>Lužany pri Topli</t>
  </si>
  <si>
    <t>Lužianky</t>
  </si>
  <si>
    <t>Lysá nad Dunajcom</t>
  </si>
  <si>
    <t>Lysá pod Makytou</t>
  </si>
  <si>
    <t>Lysica</t>
  </si>
  <si>
    <t>Macov</t>
  </si>
  <si>
    <t>Mačov</t>
  </si>
  <si>
    <t>Madačka</t>
  </si>
  <si>
    <t>Madunice</t>
  </si>
  <si>
    <t>Kopráš</t>
  </si>
  <si>
    <t>Mníšany</t>
  </si>
  <si>
    <t>Machulince</t>
  </si>
  <si>
    <t>Majcichov</t>
  </si>
  <si>
    <t>Majere</t>
  </si>
  <si>
    <t>Majerovce</t>
  </si>
  <si>
    <t>Makov</t>
  </si>
  <si>
    <t>Makovce</t>
  </si>
  <si>
    <t>Malá Čalomija</t>
  </si>
  <si>
    <t>Malá Čausa</t>
  </si>
  <si>
    <t>Malá Čierna</t>
  </si>
  <si>
    <t>Malá Domaša</t>
  </si>
  <si>
    <t>Malá Franková</t>
  </si>
  <si>
    <t>Malá Hradná</t>
  </si>
  <si>
    <t>Malá Ida</t>
  </si>
  <si>
    <t>Malá Lehota</t>
  </si>
  <si>
    <t>Malá Lodina</t>
  </si>
  <si>
    <t>Malá Mača</t>
  </si>
  <si>
    <t>Malá nad Hronom</t>
  </si>
  <si>
    <t>Malá Poľana</t>
  </si>
  <si>
    <t>Malacky</t>
  </si>
  <si>
    <t>Málaš</t>
  </si>
  <si>
    <t>Malatiná</t>
  </si>
  <si>
    <t>Malatíny</t>
  </si>
  <si>
    <t>Malcov</t>
  </si>
  <si>
    <t>Hradištská Moľva</t>
  </si>
  <si>
    <t>Malčice</t>
  </si>
  <si>
    <t>Malé Bedzany</t>
  </si>
  <si>
    <t>Malé Bielice</t>
  </si>
  <si>
    <t>Malé Borové</t>
  </si>
  <si>
    <t>Malé Hoste</t>
  </si>
  <si>
    <t>Malé Chlievany</t>
  </si>
  <si>
    <t>Malé Chyndice</t>
  </si>
  <si>
    <t>Malé Kosihy</t>
  </si>
  <si>
    <t>Malé Košecké Podhradie</t>
  </si>
  <si>
    <t>Malé Kozmálovce</t>
  </si>
  <si>
    <t>Malé Kršteňany</t>
  </si>
  <si>
    <t>Malé Lednice</t>
  </si>
  <si>
    <t>Malé Leváre</t>
  </si>
  <si>
    <t>Malé Ludince</t>
  </si>
  <si>
    <t>Malé Orvište</t>
  </si>
  <si>
    <t>Malé Ozorovce</t>
  </si>
  <si>
    <t>Malé Raškovce</t>
  </si>
  <si>
    <t>Malé Ripňany</t>
  </si>
  <si>
    <t>Malé Stankovce</t>
  </si>
  <si>
    <t>Malé Straciny</t>
  </si>
  <si>
    <t>Malé Trakany</t>
  </si>
  <si>
    <t>Malé Uherce</t>
  </si>
  <si>
    <t>Malé Vozokany</t>
  </si>
  <si>
    <t>Malé Zálužie</t>
  </si>
  <si>
    <t>Malé Zlievce</t>
  </si>
  <si>
    <t>Málinec</t>
  </si>
  <si>
    <t>Malinová</t>
  </si>
  <si>
    <t>Malinovo</t>
  </si>
  <si>
    <t>Patov</t>
  </si>
  <si>
    <t>Malužiná</t>
  </si>
  <si>
    <t>Malý Čepčín</t>
  </si>
  <si>
    <t>Malý Horeš</t>
  </si>
  <si>
    <t>Malý Kamenec</t>
  </si>
  <si>
    <t>Malý Kiar</t>
  </si>
  <si>
    <t>Malý Krtíš</t>
  </si>
  <si>
    <t>Malý Lipník</t>
  </si>
  <si>
    <t>Malý Slavkov</t>
  </si>
  <si>
    <t>Malý Slivník</t>
  </si>
  <si>
    <t>Malý Šariš</t>
  </si>
  <si>
    <t>Malženice</t>
  </si>
  <si>
    <t>Malá Maňa</t>
  </si>
  <si>
    <t>Veľká Maňa</t>
  </si>
  <si>
    <t>Mankovce</t>
  </si>
  <si>
    <t>Krátke Kesy</t>
  </si>
  <si>
    <t>Marcelová</t>
  </si>
  <si>
    <t>Margecany</t>
  </si>
  <si>
    <t>Rolova Huta</t>
  </si>
  <si>
    <t>Marhaň</t>
  </si>
  <si>
    <t>Marianka</t>
  </si>
  <si>
    <t>Markovce</t>
  </si>
  <si>
    <t>Markuška</t>
  </si>
  <si>
    <t>Markušovce</t>
  </si>
  <si>
    <t>Maršová</t>
  </si>
  <si>
    <t>Martin</t>
  </si>
  <si>
    <t>Tomčany</t>
  </si>
  <si>
    <t>Martin nad Žitavou</t>
  </si>
  <si>
    <t>Martinček</t>
  </si>
  <si>
    <t>Martovce</t>
  </si>
  <si>
    <t>Mašková</t>
  </si>
  <si>
    <t>Matejovce</t>
  </si>
  <si>
    <t>Matejovce nad Hornádom</t>
  </si>
  <si>
    <t>Matiaška</t>
  </si>
  <si>
    <t>Matiašovce</t>
  </si>
  <si>
    <t>Matovce</t>
  </si>
  <si>
    <t>Kapušianske Vojkovce</t>
  </si>
  <si>
    <t>Maťovce</t>
  </si>
  <si>
    <t>Matúškovo</t>
  </si>
  <si>
    <t>Matysová</t>
  </si>
  <si>
    <t>Medovarce</t>
  </si>
  <si>
    <t>Medvecké</t>
  </si>
  <si>
    <t>Medveďov</t>
  </si>
  <si>
    <t>Medvedie</t>
  </si>
  <si>
    <t>Medzany</t>
  </si>
  <si>
    <t>Medzev</t>
  </si>
  <si>
    <t>Vyšný Medzev</t>
  </si>
  <si>
    <t>Medzianky</t>
  </si>
  <si>
    <t>Medzibrod</t>
  </si>
  <si>
    <t>Medzibrodie nad Oravou</t>
  </si>
  <si>
    <t>Medzilaborce</t>
  </si>
  <si>
    <t>Vydraň</t>
  </si>
  <si>
    <t>Melčice</t>
  </si>
  <si>
    <t>Melek</t>
  </si>
  <si>
    <t>Meliata</t>
  </si>
  <si>
    <t>Mengusovce</t>
  </si>
  <si>
    <t>Štôla</t>
  </si>
  <si>
    <t>Merašice</t>
  </si>
  <si>
    <t>Merník</t>
  </si>
  <si>
    <t>Mestečko</t>
  </si>
  <si>
    <t>Mestisko</t>
  </si>
  <si>
    <t>Mičakovce</t>
  </si>
  <si>
    <t>Mierovo</t>
  </si>
  <si>
    <t>Miezgovce</t>
  </si>
  <si>
    <t>Michajlov</t>
  </si>
  <si>
    <t>Michal na Ostrove</t>
  </si>
  <si>
    <t>Michal nad Žitavou</t>
  </si>
  <si>
    <t>Michaľany</t>
  </si>
  <si>
    <t>Michalková</t>
  </si>
  <si>
    <t>Michalok</t>
  </si>
  <si>
    <t>Michalová</t>
  </si>
  <si>
    <t>Michalovce</t>
  </si>
  <si>
    <t>Stráňany</t>
  </si>
  <si>
    <t>Vrbovec</t>
  </si>
  <si>
    <t>Močarany</t>
  </si>
  <si>
    <t>Topoľany</t>
  </si>
  <si>
    <t>Miklušovce</t>
  </si>
  <si>
    <t>Miková</t>
  </si>
  <si>
    <t>Mikulášová</t>
  </si>
  <si>
    <t>Mikušovce pri Pruskom</t>
  </si>
  <si>
    <t>Veľký Kýr</t>
  </si>
  <si>
    <t>Milhostov</t>
  </si>
  <si>
    <t>Milochov</t>
  </si>
  <si>
    <t>Miloslavov</t>
  </si>
  <si>
    <t>Milpoš</t>
  </si>
  <si>
    <t>Miňovce</t>
  </si>
  <si>
    <t>Mirkovce</t>
  </si>
  <si>
    <t>Miroľa</t>
  </si>
  <si>
    <t>Mládzovo</t>
  </si>
  <si>
    <t>Bučuháza</t>
  </si>
  <si>
    <t>Kráľovianky</t>
  </si>
  <si>
    <t>Mliečno</t>
  </si>
  <si>
    <t>Mlynárovce</t>
  </si>
  <si>
    <t>Mlynčeky</t>
  </si>
  <si>
    <t>Mlynica</t>
  </si>
  <si>
    <t>Mlynky</t>
  </si>
  <si>
    <t>Mníchova Lehota</t>
  </si>
  <si>
    <t>Mníšek nad Hnilcom</t>
  </si>
  <si>
    <t>Mníšek nad Popradom</t>
  </si>
  <si>
    <t>Pilhov</t>
  </si>
  <si>
    <t>Moča</t>
  </si>
  <si>
    <t>Močiar</t>
  </si>
  <si>
    <t>Močidľany</t>
  </si>
  <si>
    <t>Modra</t>
  </si>
  <si>
    <t>Modra nad Cirochou</t>
  </si>
  <si>
    <t>Modranka</t>
  </si>
  <si>
    <t>Modrany</t>
  </si>
  <si>
    <t>Modrová</t>
  </si>
  <si>
    <t>Modrovka</t>
  </si>
  <si>
    <t>Modrý Kameň</t>
  </si>
  <si>
    <t>Mochovce</t>
  </si>
  <si>
    <t>Mojín</t>
  </si>
  <si>
    <t>Mojmírovce</t>
  </si>
  <si>
    <t>Mojš</t>
  </si>
  <si>
    <t>Mojšova Lúčka</t>
  </si>
  <si>
    <t>Mojtín</t>
  </si>
  <si>
    <t>Mojzesovo</t>
  </si>
  <si>
    <t>Mokrá Lúka</t>
  </si>
  <si>
    <t>Mokraď</t>
  </si>
  <si>
    <t>Mokradská Hoľa</t>
  </si>
  <si>
    <t>Mokrance</t>
  </si>
  <si>
    <t>Mokroluh</t>
  </si>
  <si>
    <t>Mokrý Háj</t>
  </si>
  <si>
    <t>Môlča</t>
  </si>
  <si>
    <t>Moldava nad Bodvou</t>
  </si>
  <si>
    <t>Moravany</t>
  </si>
  <si>
    <t>Moravany nad Váhom</t>
  </si>
  <si>
    <t>Moravské Lieskové</t>
  </si>
  <si>
    <t>Moravský Svätý Ján</t>
  </si>
  <si>
    <t>Morovno</t>
  </si>
  <si>
    <t>Studené</t>
  </si>
  <si>
    <t>Most pri Bratislave</t>
  </si>
  <si>
    <t>Mostište</t>
  </si>
  <si>
    <t>Mostová</t>
  </si>
  <si>
    <t>Šoriakoš</t>
  </si>
  <si>
    <t>Moškovec</t>
  </si>
  <si>
    <t>Mošovce</t>
  </si>
  <si>
    <t>Moštenica</t>
  </si>
  <si>
    <t>Mošurov</t>
  </si>
  <si>
    <t>Dolné Motešice</t>
  </si>
  <si>
    <t>Horné Motešice</t>
  </si>
  <si>
    <t>Motyčky</t>
  </si>
  <si>
    <t>Mrázovce</t>
  </si>
  <si>
    <t>Mučín</t>
  </si>
  <si>
    <t>Mudroňovo</t>
  </si>
  <si>
    <t>Mudrovce</t>
  </si>
  <si>
    <t>Muľa</t>
  </si>
  <si>
    <t>Muľka</t>
  </si>
  <si>
    <t>Muráň</t>
  </si>
  <si>
    <t>Muránska Dlhá Lúka</t>
  </si>
  <si>
    <t>Muránska Huta</t>
  </si>
  <si>
    <t>Muránska Lehota</t>
  </si>
  <si>
    <t>Muránska Zdychava</t>
  </si>
  <si>
    <t>Mútne</t>
  </si>
  <si>
    <t>Mužla</t>
  </si>
  <si>
    <t>Myjava</t>
  </si>
  <si>
    <t>Grinava</t>
  </si>
  <si>
    <t>Myslina</t>
  </si>
  <si>
    <t>Mýtna</t>
  </si>
  <si>
    <t>Mýtna Nová Ves</t>
  </si>
  <si>
    <t>Mýtne Ludany</t>
  </si>
  <si>
    <t>Mýto pod Ďumbierom</t>
  </si>
  <si>
    <t>Nacina Ves</t>
  </si>
  <si>
    <t>Livina</t>
  </si>
  <si>
    <t>Nadlice</t>
  </si>
  <si>
    <t>Ňagov</t>
  </si>
  <si>
    <t>Naháč</t>
  </si>
  <si>
    <t>Nálepkovo</t>
  </si>
  <si>
    <t>Námestovo</t>
  </si>
  <si>
    <t>Slanica</t>
  </si>
  <si>
    <t>Námestovské Pilsko</t>
  </si>
  <si>
    <t>Nandraž</t>
  </si>
  <si>
    <t>Návojovce</t>
  </si>
  <si>
    <t>Necpaly</t>
  </si>
  <si>
    <t>Nedanovce</t>
  </si>
  <si>
    <t>Nedašovce</t>
  </si>
  <si>
    <t>Neded</t>
  </si>
  <si>
    <t>Nededza</t>
  </si>
  <si>
    <t>Nedelište</t>
  </si>
  <si>
    <t>Nedožery</t>
  </si>
  <si>
    <t>Nechválova Polianka</t>
  </si>
  <si>
    <t>Nemcovce</t>
  </si>
  <si>
    <t>Nemčice</t>
  </si>
  <si>
    <t>Nemčiňany</t>
  </si>
  <si>
    <t>Rohožnica</t>
  </si>
  <si>
    <t>Nemecká</t>
  </si>
  <si>
    <t>Nemečky</t>
  </si>
  <si>
    <t>Nemešany</t>
  </si>
  <si>
    <t>Nemšová</t>
  </si>
  <si>
    <t>Nenince</t>
  </si>
  <si>
    <t>Bošianska Neporadza</t>
  </si>
  <si>
    <t>Rožňová Neporadza</t>
  </si>
  <si>
    <t>Neporadza</t>
  </si>
  <si>
    <t>Nesluša</t>
  </si>
  <si>
    <t>Nesvady</t>
  </si>
  <si>
    <t>Neverice</t>
  </si>
  <si>
    <t>Nevidzany</t>
  </si>
  <si>
    <t>Nevoľné</t>
  </si>
  <si>
    <t>Nimnica</t>
  </si>
  <si>
    <t>Nitra</t>
  </si>
  <si>
    <t>Horné Krškany</t>
  </si>
  <si>
    <t>Párovské Háje</t>
  </si>
  <si>
    <t>Kynek</t>
  </si>
  <si>
    <t>Mlynárce</t>
  </si>
  <si>
    <t>Zobor</t>
  </si>
  <si>
    <t>Chrenová</t>
  </si>
  <si>
    <t>Mikov dvor</t>
  </si>
  <si>
    <t>Nitra nad Ipľom</t>
  </si>
  <si>
    <t>Čechynce</t>
  </si>
  <si>
    <t>Malý Cetín</t>
  </si>
  <si>
    <t>Nitrianska Blatnica</t>
  </si>
  <si>
    <t>Nitrianska Streda</t>
  </si>
  <si>
    <t>Nitrianske Hrnčiarovce</t>
  </si>
  <si>
    <t>Nitrianske Pravno</t>
  </si>
  <si>
    <t>Solka</t>
  </si>
  <si>
    <t>Vyšehradné</t>
  </si>
  <si>
    <t>Nitrianske Rudno</t>
  </si>
  <si>
    <t>Nitrianske Sučany</t>
  </si>
  <si>
    <t>Nitriansky Hrádok</t>
  </si>
  <si>
    <t>Dvorníky nad Nitricou</t>
  </si>
  <si>
    <t>Račice</t>
  </si>
  <si>
    <t>Nižná</t>
  </si>
  <si>
    <t>Nižná Boca</t>
  </si>
  <si>
    <t>Nižná Hutka</t>
  </si>
  <si>
    <t>Nižná Jablonka</t>
  </si>
  <si>
    <t>Nižná Jedľová</t>
  </si>
  <si>
    <t>Nižná Kamenica</t>
  </si>
  <si>
    <t>Nižná Myšľa</t>
  </si>
  <si>
    <t>Nižná Olšava</t>
  </si>
  <si>
    <t>Nižná Pisaná</t>
  </si>
  <si>
    <t>Nižná Pokoradz</t>
  </si>
  <si>
    <t>Nižná Polianka</t>
  </si>
  <si>
    <t>Nižná Rybnica</t>
  </si>
  <si>
    <t>Nižná Sitnica</t>
  </si>
  <si>
    <t>Nižná Slaná</t>
  </si>
  <si>
    <t>Nižná Šebastová</t>
  </si>
  <si>
    <t>Nižná Šuňava</t>
  </si>
  <si>
    <t>Nižná Voľa</t>
  </si>
  <si>
    <t>Nižné Ladičkovce</t>
  </si>
  <si>
    <t>Nižné Nemecké</t>
  </si>
  <si>
    <t>Nižné Raslavice</t>
  </si>
  <si>
    <t>Nižné Repaše</t>
  </si>
  <si>
    <t>Nižné Ružbachy</t>
  </si>
  <si>
    <t>Nižné Valice</t>
  </si>
  <si>
    <t>Nižný Čaj</t>
  </si>
  <si>
    <t>Nižný Hrabovec</t>
  </si>
  <si>
    <t>Nižný Hrušov</t>
  </si>
  <si>
    <t>Nižný Klátov</t>
  </si>
  <si>
    <t>Nižný Komárnik</t>
  </si>
  <si>
    <t>Nižný Kručov</t>
  </si>
  <si>
    <t>Nižný Lánec</t>
  </si>
  <si>
    <t>Nižný Mirošov</t>
  </si>
  <si>
    <t>Nižný Orlík</t>
  </si>
  <si>
    <t>Nižný Slavkov</t>
  </si>
  <si>
    <t>Nižný Tvarožec</t>
  </si>
  <si>
    <t>Nižný Žipov</t>
  </si>
  <si>
    <t>Nolčovo</t>
  </si>
  <si>
    <t>Norovce</t>
  </si>
  <si>
    <t>Nosice</t>
  </si>
  <si>
    <t>Nová Baňa</t>
  </si>
  <si>
    <t>Nová Bašta</t>
  </si>
  <si>
    <t>Chorváty</t>
  </si>
  <si>
    <t>Turnianska Nová Ves</t>
  </si>
  <si>
    <t>Nová Bošáca</t>
  </si>
  <si>
    <t>Nová Bystrica</t>
  </si>
  <si>
    <t>Tekovská Nová Ves</t>
  </si>
  <si>
    <t>Dedinka pri Dunaji</t>
  </si>
  <si>
    <t>Nová Ves pri Dunaji</t>
  </si>
  <si>
    <t>Nová Dubnica</t>
  </si>
  <si>
    <t>Nová Kelča</t>
  </si>
  <si>
    <t>Nová Lehota</t>
  </si>
  <si>
    <t>Nová Lesná</t>
  </si>
  <si>
    <t>Nová Lipnica</t>
  </si>
  <si>
    <t>Nová Ľubovňa</t>
  </si>
  <si>
    <t>Nová Polhora</t>
  </si>
  <si>
    <t>Nová Polianka</t>
  </si>
  <si>
    <t>Nová Sedlica</t>
  </si>
  <si>
    <t>Nová Stráž</t>
  </si>
  <si>
    <t>Nová Ves</t>
  </si>
  <si>
    <t>Nová Ves nad Váhom</t>
  </si>
  <si>
    <t>Nová Ves nad Žitavou</t>
  </si>
  <si>
    <t>Nová Vieska</t>
  </si>
  <si>
    <t>Nováky</t>
  </si>
  <si>
    <t>Nové Hony</t>
  </si>
  <si>
    <t>Nové Košariská</t>
  </si>
  <si>
    <t>Nové Mesto nad Váhom</t>
  </si>
  <si>
    <t>Nové Osady</t>
  </si>
  <si>
    <t>Nové Sady</t>
  </si>
  <si>
    <t>Nové Zámky</t>
  </si>
  <si>
    <t>Novosad</t>
  </si>
  <si>
    <t>Novoť</t>
  </si>
  <si>
    <t>Malý Ruskov</t>
  </si>
  <si>
    <t>Veľký Ruskov</t>
  </si>
  <si>
    <t>Nový Salaš</t>
  </si>
  <si>
    <t>Marušová</t>
  </si>
  <si>
    <t>Nový Tekov</t>
  </si>
  <si>
    <t>Eliášovce</t>
  </si>
  <si>
    <t>Malý Máger</t>
  </si>
  <si>
    <t>Tonkovce</t>
  </si>
  <si>
    <t>Vojtechovce</t>
  </si>
  <si>
    <t>Nýrovce</t>
  </si>
  <si>
    <t>Obeckov</t>
  </si>
  <si>
    <t>Obid</t>
  </si>
  <si>
    <t>Obišovce</t>
  </si>
  <si>
    <t>Kucany</t>
  </si>
  <si>
    <t>Oborín</t>
  </si>
  <si>
    <t>Obručné</t>
  </si>
  <si>
    <t>Obsolovce</t>
  </si>
  <si>
    <t>Obyce</t>
  </si>
  <si>
    <t>Očkov</t>
  </si>
  <si>
    <t>Očová</t>
  </si>
  <si>
    <t>Odorín</t>
  </si>
  <si>
    <t>Ohrady</t>
  </si>
  <si>
    <t>Ohradzany</t>
  </si>
  <si>
    <t>Sopkovce</t>
  </si>
  <si>
    <t>Ochodnica</t>
  </si>
  <si>
    <t>Ochtiná</t>
  </si>
  <si>
    <t>Okoč</t>
  </si>
  <si>
    <t>Okoličná na Ostrove</t>
  </si>
  <si>
    <t>Okoličné</t>
  </si>
  <si>
    <t>Okrúhle</t>
  </si>
  <si>
    <t>Šapinec</t>
  </si>
  <si>
    <t>Okružná</t>
  </si>
  <si>
    <t>Olcnava</t>
  </si>
  <si>
    <t>Oľdza</t>
  </si>
  <si>
    <t>Olejníkov</t>
  </si>
  <si>
    <t>Olešná</t>
  </si>
  <si>
    <t>Burkov vrch</t>
  </si>
  <si>
    <t>Krivá Oľka</t>
  </si>
  <si>
    <t>Nižná Oľka</t>
  </si>
  <si>
    <t>Olováry</t>
  </si>
  <si>
    <t>Oľšavce</t>
  </si>
  <si>
    <t>Oľšavica</t>
  </si>
  <si>
    <t>Oľšavka</t>
  </si>
  <si>
    <t>Oľšinkov</t>
  </si>
  <si>
    <t>Oľšov</t>
  </si>
  <si>
    <t>Olšovany</t>
  </si>
  <si>
    <t>Omastiná</t>
  </si>
  <si>
    <t>Omšenie</t>
  </si>
  <si>
    <t>Ondavka</t>
  </si>
  <si>
    <t>Ondavské Matiašovce</t>
  </si>
  <si>
    <t>Ondrašová</t>
  </si>
  <si>
    <t>Ondrašovce</t>
  </si>
  <si>
    <t>Ondrejovce</t>
  </si>
  <si>
    <t>Opátka</t>
  </si>
  <si>
    <t>Opatovce</t>
  </si>
  <si>
    <t>Opatovce nad Nitrou</t>
  </si>
  <si>
    <t>Opatovská Nová Ves</t>
  </si>
  <si>
    <t>Opatovský Sokolec</t>
  </si>
  <si>
    <t>Opava</t>
  </si>
  <si>
    <t>Opiná</t>
  </si>
  <si>
    <t>Opoj</t>
  </si>
  <si>
    <t>Oponice</t>
  </si>
  <si>
    <t>Oravce</t>
  </si>
  <si>
    <t>Orávka</t>
  </si>
  <si>
    <t>Oravská Jasenica</t>
  </si>
  <si>
    <t>Oravská Lesná</t>
  </si>
  <si>
    <t>Oravská Polhora</t>
  </si>
  <si>
    <t>Poruba-Geceľ</t>
  </si>
  <si>
    <t>Zábrež</t>
  </si>
  <si>
    <t>Oravské Veselé</t>
  </si>
  <si>
    <t>Oravský Biely Potok</t>
  </si>
  <si>
    <t>Oravský Podzámok</t>
  </si>
  <si>
    <t>Ordzovany</t>
  </si>
  <si>
    <t>Orechová</t>
  </si>
  <si>
    <t>Dolná Potôň</t>
  </si>
  <si>
    <t>Orechová Potôň</t>
  </si>
  <si>
    <t>Blatná lúka</t>
  </si>
  <si>
    <t>Oreské</t>
  </si>
  <si>
    <t>Orešany</t>
  </si>
  <si>
    <t>Orkucany</t>
  </si>
  <si>
    <t>Orlov</t>
  </si>
  <si>
    <t>Orlové</t>
  </si>
  <si>
    <t>Orovnica</t>
  </si>
  <si>
    <t>Ortuťová</t>
  </si>
  <si>
    <t>Osádka</t>
  </si>
  <si>
    <t>Osadné</t>
  </si>
  <si>
    <t>Osikov</t>
  </si>
  <si>
    <t>Osľany</t>
  </si>
  <si>
    <t>Osrblie</t>
  </si>
  <si>
    <t>Ostrá Lúka</t>
  </si>
  <si>
    <t>Malé Ostratice</t>
  </si>
  <si>
    <t>Veľké Ostratice</t>
  </si>
  <si>
    <t>Ostrovany</t>
  </si>
  <si>
    <t>Ostrožnica</t>
  </si>
  <si>
    <t>Ostrý Grúň</t>
  </si>
  <si>
    <t>Osturňa</t>
  </si>
  <si>
    <t>Osuské</t>
  </si>
  <si>
    <t>Oščadnica</t>
  </si>
  <si>
    <t>Oškerda</t>
  </si>
  <si>
    <t>Otročok</t>
  </si>
  <si>
    <t>Ovčiarsko</t>
  </si>
  <si>
    <t>Ovčie</t>
  </si>
  <si>
    <t>Ozdín</t>
  </si>
  <si>
    <t>Ožďany</t>
  </si>
  <si>
    <t>Pác</t>
  </si>
  <si>
    <t>Pača</t>
  </si>
  <si>
    <t>Padáň</t>
  </si>
  <si>
    <t>Padarovce</t>
  </si>
  <si>
    <t>Paderovce</t>
  </si>
  <si>
    <t>Pakostov</t>
  </si>
  <si>
    <t>Palárikovo</t>
  </si>
  <si>
    <t>Palín</t>
  </si>
  <si>
    <t>Sap</t>
  </si>
  <si>
    <t>Palota</t>
  </si>
  <si>
    <t>Paňa</t>
  </si>
  <si>
    <t>Panické Dravce</t>
  </si>
  <si>
    <t>Paňovce</t>
  </si>
  <si>
    <t>Papín</t>
  </si>
  <si>
    <t>Papradno</t>
  </si>
  <si>
    <t>Parchovany</t>
  </si>
  <si>
    <t>Parihuzovce</t>
  </si>
  <si>
    <t>Párnica</t>
  </si>
  <si>
    <t>Partizánska Ľupča</t>
  </si>
  <si>
    <t>Partizánske</t>
  </si>
  <si>
    <t>Pastovce</t>
  </si>
  <si>
    <t>Pastuchov</t>
  </si>
  <si>
    <t>Pataš</t>
  </si>
  <si>
    <t>Pašková</t>
  </si>
  <si>
    <t>Paština Závada</t>
  </si>
  <si>
    <t>Pata</t>
  </si>
  <si>
    <t>Patince</t>
  </si>
  <si>
    <t>Pavčina Lehota</t>
  </si>
  <si>
    <t>Pavľany</t>
  </si>
  <si>
    <t>Pavlice</t>
  </si>
  <si>
    <t>Pavlová</t>
  </si>
  <si>
    <t>Pavlova Ves</t>
  </si>
  <si>
    <t>Babky</t>
  </si>
  <si>
    <t>Pavlovce</t>
  </si>
  <si>
    <t>Pavlovce nad Uhom</t>
  </si>
  <si>
    <t>Pažiť</t>
  </si>
  <si>
    <t>Pčoliné</t>
  </si>
  <si>
    <t>Pečeňady</t>
  </si>
  <si>
    <t>Pečeňany</t>
  </si>
  <si>
    <t>Pečenice</t>
  </si>
  <si>
    <t>Pečovská Nová Ves</t>
  </si>
  <si>
    <t>Peder</t>
  </si>
  <si>
    <t>Peklina</t>
  </si>
  <si>
    <t>Chym</t>
  </si>
  <si>
    <t>Perín</t>
  </si>
  <si>
    <t>Pernek</t>
  </si>
  <si>
    <t>Petkovce</t>
  </si>
  <si>
    <t>Peťovka</t>
  </si>
  <si>
    <t>Petrikovce</t>
  </si>
  <si>
    <t>Petrová</t>
  </si>
  <si>
    <t>Petrova Lehota</t>
  </si>
  <si>
    <t>Petrova Ves</t>
  </si>
  <si>
    <t>Močarmany</t>
  </si>
  <si>
    <t>Petrovany</t>
  </si>
  <si>
    <t>Petrovce</t>
  </si>
  <si>
    <t>Petrovce nad Laborcom</t>
  </si>
  <si>
    <t>Petrovice</t>
  </si>
  <si>
    <t>Setechov</t>
  </si>
  <si>
    <t>Petrovo</t>
  </si>
  <si>
    <t>Pezinok</t>
  </si>
  <si>
    <t>Piešťany</t>
  </si>
  <si>
    <t>Pichne</t>
  </si>
  <si>
    <t>Píla</t>
  </si>
  <si>
    <t>Pinciná</t>
  </si>
  <si>
    <t>Pinkovce</t>
  </si>
  <si>
    <t>Piskorovce</t>
  </si>
  <si>
    <t>Pitelová</t>
  </si>
  <si>
    <t>Plášťovce</t>
  </si>
  <si>
    <t>Plavé Vozokany</t>
  </si>
  <si>
    <t>Plavecké Podhradie</t>
  </si>
  <si>
    <t>Plavecký Mikuláš</t>
  </si>
  <si>
    <t>Plavecký Peter</t>
  </si>
  <si>
    <t>Plavecký Štvrtok</t>
  </si>
  <si>
    <t>Feld</t>
  </si>
  <si>
    <t>Plaveč</t>
  </si>
  <si>
    <t>Plavnica</t>
  </si>
  <si>
    <t>Plechotice</t>
  </si>
  <si>
    <t>Pleš</t>
  </si>
  <si>
    <t>Svätuše</t>
  </si>
  <si>
    <t>Plešivec</t>
  </si>
  <si>
    <t>Plevník-Drienové</t>
  </si>
  <si>
    <t>Pliešovce</t>
  </si>
  <si>
    <t>Ploské</t>
  </si>
  <si>
    <t>Ploštín</t>
  </si>
  <si>
    <t>Pobedim</t>
  </si>
  <si>
    <t>Počarová</t>
  </si>
  <si>
    <t>Počúvadlo</t>
  </si>
  <si>
    <t>Podbiel</t>
  </si>
  <si>
    <t>Podbranč</t>
  </si>
  <si>
    <t>Podbrezová</t>
  </si>
  <si>
    <t>Belek</t>
  </si>
  <si>
    <t>Svätuša</t>
  </si>
  <si>
    <t>Bádice</t>
  </si>
  <si>
    <t>Mechenice</t>
  </si>
  <si>
    <t>Sokolníky</t>
  </si>
  <si>
    <t>Podhorany</t>
  </si>
  <si>
    <t>Teplá</t>
  </si>
  <si>
    <t>Žakýl</t>
  </si>
  <si>
    <t>Podhorie</t>
  </si>
  <si>
    <t>Podhoroď</t>
  </si>
  <si>
    <t>Podhradie</t>
  </si>
  <si>
    <t>Podhradie nad Váhom</t>
  </si>
  <si>
    <t>Podhradík</t>
  </si>
  <si>
    <t>Podkonice</t>
  </si>
  <si>
    <t>Podkriváň</t>
  </si>
  <si>
    <t>Podkylava</t>
  </si>
  <si>
    <t>Podlužany</t>
  </si>
  <si>
    <t>Podmanín</t>
  </si>
  <si>
    <t>Podolie</t>
  </si>
  <si>
    <t>Podolínec</t>
  </si>
  <si>
    <t>Podrečany</t>
  </si>
  <si>
    <t>Podskalie</t>
  </si>
  <si>
    <t>Podtureň</t>
  </si>
  <si>
    <t>Podunajské Biskupice</t>
  </si>
  <si>
    <t>Podvažie</t>
  </si>
  <si>
    <t>Podvysoká</t>
  </si>
  <si>
    <t>Podzámčok</t>
  </si>
  <si>
    <t>Pohorelá</t>
  </si>
  <si>
    <t>Pohranice</t>
  </si>
  <si>
    <t>Pohronská Polhora</t>
  </si>
  <si>
    <t>Pohronský Bukovec</t>
  </si>
  <si>
    <t>Pohronský Ruskov</t>
  </si>
  <si>
    <t>Pochabany</t>
  </si>
  <si>
    <t>Pokryváč</t>
  </si>
  <si>
    <t>Korytné</t>
  </si>
  <si>
    <t>Poľanovce</t>
  </si>
  <si>
    <t>Poľany</t>
  </si>
  <si>
    <t>Polerieka</t>
  </si>
  <si>
    <t>Poliakovce</t>
  </si>
  <si>
    <t>Polianka</t>
  </si>
  <si>
    <t>Polichno</t>
  </si>
  <si>
    <t>Polina</t>
  </si>
  <si>
    <t>Poľný Kesov</t>
  </si>
  <si>
    <t>Polom</t>
  </si>
  <si>
    <t>Poloma</t>
  </si>
  <si>
    <t>Polomka</t>
  </si>
  <si>
    <t>Poltár</t>
  </si>
  <si>
    <t>Slaná Lehota</t>
  </si>
  <si>
    <t>Zelené</t>
  </si>
  <si>
    <t>Poluvsie</t>
  </si>
  <si>
    <t>Poluvsie nad Rajčankou</t>
  </si>
  <si>
    <t>Pongrácovce</t>
  </si>
  <si>
    <t>Poniky</t>
  </si>
  <si>
    <t>Poprad</t>
  </si>
  <si>
    <t>Spišská Sobota</t>
  </si>
  <si>
    <t>Stráže pod Tatrami</t>
  </si>
  <si>
    <t>Veľká</t>
  </si>
  <si>
    <t>Poproč</t>
  </si>
  <si>
    <t>Popudiny</t>
  </si>
  <si>
    <t>Poráč</t>
  </si>
  <si>
    <t>Poriadie</t>
  </si>
  <si>
    <t>Porostov</t>
  </si>
  <si>
    <t>Poruba</t>
  </si>
  <si>
    <t>Poruba pod Vihorlatom</t>
  </si>
  <si>
    <t>Posádka</t>
  </si>
  <si>
    <t>Poša</t>
  </si>
  <si>
    <t>Potôčky</t>
  </si>
  <si>
    <t>Potok</t>
  </si>
  <si>
    <t>Potoky</t>
  </si>
  <si>
    <t>Pôtor</t>
  </si>
  <si>
    <t>Žihľava</t>
  </si>
  <si>
    <t>Potvorice</t>
  </si>
  <si>
    <t>Považany</t>
  </si>
  <si>
    <t>Považská Bystrica</t>
  </si>
  <si>
    <t>Považská Teplá</t>
  </si>
  <si>
    <t>Považské Podhradie</t>
  </si>
  <si>
    <t>Považský Chlmec</t>
  </si>
  <si>
    <t>Povina</t>
  </si>
  <si>
    <t>Povrazník</t>
  </si>
  <si>
    <t>Pozba</t>
  </si>
  <si>
    <t>Pozdišovce</t>
  </si>
  <si>
    <t>Praha</t>
  </si>
  <si>
    <t>Prakovce</t>
  </si>
  <si>
    <t>Prašice</t>
  </si>
  <si>
    <t>Prašník</t>
  </si>
  <si>
    <t>Pravenec</t>
  </si>
  <si>
    <t>Pravica</t>
  </si>
  <si>
    <t>Pravotice</t>
  </si>
  <si>
    <t>Praznov</t>
  </si>
  <si>
    <t>Práznovce</t>
  </si>
  <si>
    <t>Prečín</t>
  </si>
  <si>
    <t>Predajná</t>
  </si>
  <si>
    <t>Predmier</t>
  </si>
  <si>
    <t>Prejta</t>
  </si>
  <si>
    <t>Prenčov</t>
  </si>
  <si>
    <t>Preseľany</t>
  </si>
  <si>
    <t>Preseľany nad Ipľom</t>
  </si>
  <si>
    <t>Prestavlky</t>
  </si>
  <si>
    <t>Prešov</t>
  </si>
  <si>
    <t>Dolné Príbelce</t>
  </si>
  <si>
    <t>Horné Príbelce</t>
  </si>
  <si>
    <t>Pribeník</t>
  </si>
  <si>
    <t>Pribeta</t>
  </si>
  <si>
    <t>Pribiš</t>
  </si>
  <si>
    <t>Príboj</t>
  </si>
  <si>
    <t>Príbovce</t>
  </si>
  <si>
    <t>Pribylina</t>
  </si>
  <si>
    <t>Priechod</t>
  </si>
  <si>
    <t>Priekopa</t>
  </si>
  <si>
    <t>Priepasné</t>
  </si>
  <si>
    <t>Prietrž</t>
  </si>
  <si>
    <t>Prietržka</t>
  </si>
  <si>
    <t>Prievaly</t>
  </si>
  <si>
    <t>Prievidza</t>
  </si>
  <si>
    <t>Malá Lehôtka</t>
  </si>
  <si>
    <t>Hradec</t>
  </si>
  <si>
    <t>Prihradzany</t>
  </si>
  <si>
    <t>Príkra</t>
  </si>
  <si>
    <t>Príslop</t>
  </si>
  <si>
    <t>Prituľany</t>
  </si>
  <si>
    <t>Proč</t>
  </si>
  <si>
    <t>Prochot</t>
  </si>
  <si>
    <t>Prosačov</t>
  </si>
  <si>
    <t>Prosiek</t>
  </si>
  <si>
    <t>Prosné</t>
  </si>
  <si>
    <t>Prša</t>
  </si>
  <si>
    <t>Pruské</t>
  </si>
  <si>
    <t>Prusy</t>
  </si>
  <si>
    <t>Pružina</t>
  </si>
  <si>
    <t>Psiare</t>
  </si>
  <si>
    <t>Pstriná</t>
  </si>
  <si>
    <t>Pšurnovice</t>
  </si>
  <si>
    <t>Ptičie</t>
  </si>
  <si>
    <t>Ptrukša</t>
  </si>
  <si>
    <t>Pucov</t>
  </si>
  <si>
    <t>Púchov</t>
  </si>
  <si>
    <t>Horné Kočkovce</t>
  </si>
  <si>
    <t>Vieska-Bezdedov</t>
  </si>
  <si>
    <t>Pukanec</t>
  </si>
  <si>
    <t>Pusté Čemerné</t>
  </si>
  <si>
    <t>Pusté Pole</t>
  </si>
  <si>
    <t>Pusté Sady</t>
  </si>
  <si>
    <t>Pusté Úľany</t>
  </si>
  <si>
    <t>Pušovce</t>
  </si>
  <si>
    <t>Rabča</t>
  </si>
  <si>
    <t>Rabčice</t>
  </si>
  <si>
    <t>Rad</t>
  </si>
  <si>
    <t>Radatice</t>
  </si>
  <si>
    <t>Radava</t>
  </si>
  <si>
    <t>Radimov</t>
  </si>
  <si>
    <t>Radnovce</t>
  </si>
  <si>
    <t>Radobica</t>
  </si>
  <si>
    <t>Radoľa</t>
  </si>
  <si>
    <t>Radoma</t>
  </si>
  <si>
    <t>Radôstka</t>
  </si>
  <si>
    <t>Radošina</t>
  </si>
  <si>
    <t>Radošovce</t>
  </si>
  <si>
    <t>Radvaň nad Dunajom</t>
  </si>
  <si>
    <t>Virt</t>
  </si>
  <si>
    <t>Radvaň nad Laborcom</t>
  </si>
  <si>
    <t>Radvanovce</t>
  </si>
  <si>
    <t>Radzovce</t>
  </si>
  <si>
    <t>Rafajovce</t>
  </si>
  <si>
    <t>Rajčany</t>
  </si>
  <si>
    <t>Rajec</t>
  </si>
  <si>
    <t>Rajecká Lesná</t>
  </si>
  <si>
    <t>Rajecké Teplice</t>
  </si>
  <si>
    <t>Rákoš</t>
  </si>
  <si>
    <t>Raková</t>
  </si>
  <si>
    <t>Rakovčík</t>
  </si>
  <si>
    <t>Rakovec nad Ondavou</t>
  </si>
  <si>
    <t>Rakovice</t>
  </si>
  <si>
    <t>Rakovnica</t>
  </si>
  <si>
    <t>Rakovo</t>
  </si>
  <si>
    <t>Rakša</t>
  </si>
  <si>
    <t>Rakúsy</t>
  </si>
  <si>
    <t>Rankovce</t>
  </si>
  <si>
    <t>Rapovce</t>
  </si>
  <si>
    <t>Rastislavice</t>
  </si>
  <si>
    <t>Rašice</t>
  </si>
  <si>
    <t>Ratka</t>
  </si>
  <si>
    <t>Ratková</t>
  </si>
  <si>
    <t>Repištia</t>
  </si>
  <si>
    <t>Ratkovce</t>
  </si>
  <si>
    <t>Ratkovo</t>
  </si>
  <si>
    <t>Ratkovská Lehota</t>
  </si>
  <si>
    <t>Ratkovská Suchá</t>
  </si>
  <si>
    <t>Filier</t>
  </si>
  <si>
    <t>Ratkovské Bystré</t>
  </si>
  <si>
    <t>Ratnovce</t>
  </si>
  <si>
    <t>Ratvaj</t>
  </si>
  <si>
    <t>Ráztočno</t>
  </si>
  <si>
    <t>Ráztoka</t>
  </si>
  <si>
    <t>Ráztoky</t>
  </si>
  <si>
    <t>Ražňany</t>
  </si>
  <si>
    <t>Nový Svet</t>
  </si>
  <si>
    <t>Reca</t>
  </si>
  <si>
    <t>Regetovka</t>
  </si>
  <si>
    <t>Rejdová</t>
  </si>
  <si>
    <t>Reľov</t>
  </si>
  <si>
    <t>Remeniny</t>
  </si>
  <si>
    <t>Remetské Hámre</t>
  </si>
  <si>
    <t>Renčišov</t>
  </si>
  <si>
    <t>Repejov</t>
  </si>
  <si>
    <t>Repište</t>
  </si>
  <si>
    <t>Rešica</t>
  </si>
  <si>
    <t>Rešov</t>
  </si>
  <si>
    <t>Revištské Podzámčie</t>
  </si>
  <si>
    <t>Revúca</t>
  </si>
  <si>
    <t>Revúcka Lehota</t>
  </si>
  <si>
    <t>Revúčka</t>
  </si>
  <si>
    <t>Riečka</t>
  </si>
  <si>
    <t>Riečnica</t>
  </si>
  <si>
    <t>Richnava</t>
  </si>
  <si>
    <t>Richvald</t>
  </si>
  <si>
    <t>Rimavská Baňa</t>
  </si>
  <si>
    <t>Rimavská Píla</t>
  </si>
  <si>
    <t>Rimavská Seč</t>
  </si>
  <si>
    <t>Rimavská Sobota</t>
  </si>
  <si>
    <t>Tomášová</t>
  </si>
  <si>
    <t>Rimavské Brezovo</t>
  </si>
  <si>
    <t>Rimavské Janovce</t>
  </si>
  <si>
    <t>Rimavské Zalužany</t>
  </si>
  <si>
    <t>Rišňovce</t>
  </si>
  <si>
    <t>Rohovce</t>
  </si>
  <si>
    <t>Rohov</t>
  </si>
  <si>
    <t>Rybky</t>
  </si>
  <si>
    <t>Rohožník</t>
  </si>
  <si>
    <t>Rochovce</t>
  </si>
  <si>
    <t>Rokycany</t>
  </si>
  <si>
    <t>Rokytov</t>
  </si>
  <si>
    <t>Rosina</t>
  </si>
  <si>
    <t>Roškovce</t>
  </si>
  <si>
    <t>Roštár</t>
  </si>
  <si>
    <t>Rovensko</t>
  </si>
  <si>
    <t>Rovinka</t>
  </si>
  <si>
    <t>Rovňany</t>
  </si>
  <si>
    <t>Ratkovská Zdychava</t>
  </si>
  <si>
    <t>Rovné</t>
  </si>
  <si>
    <t>Rozbehy</t>
  </si>
  <si>
    <t>Rozhanovce</t>
  </si>
  <si>
    <t>Rozložná</t>
  </si>
  <si>
    <t>Roztoky</t>
  </si>
  <si>
    <t>Rozvadze</t>
  </si>
  <si>
    <t>Rožkovany</t>
  </si>
  <si>
    <t>Rožňava</t>
  </si>
  <si>
    <t>Nadabula</t>
  </si>
  <si>
    <t>Čučma</t>
  </si>
  <si>
    <t>Rožňavské Bystré</t>
  </si>
  <si>
    <t>Rúbaň</t>
  </si>
  <si>
    <t>Rudina</t>
  </si>
  <si>
    <t>Rudinka</t>
  </si>
  <si>
    <t>Rudinská</t>
  </si>
  <si>
    <t>Rudlov</t>
  </si>
  <si>
    <t>Rudná</t>
  </si>
  <si>
    <t>Rudňany</t>
  </si>
  <si>
    <t>Rudnianska Lehota</t>
  </si>
  <si>
    <t>Rudník</t>
  </si>
  <si>
    <t>Rudno</t>
  </si>
  <si>
    <t>Rudno nad Hronom</t>
  </si>
  <si>
    <t>Rumanová</t>
  </si>
  <si>
    <t>Rumince</t>
  </si>
  <si>
    <t>Runina</t>
  </si>
  <si>
    <t>Budince</t>
  </si>
  <si>
    <t>Ruská</t>
  </si>
  <si>
    <t>Ruská Bystrá</t>
  </si>
  <si>
    <t>Ruská Kajňa</t>
  </si>
  <si>
    <t>Ruská Nová Ves</t>
  </si>
  <si>
    <t>Ruská Poruba</t>
  </si>
  <si>
    <t>Ruská Voľa</t>
  </si>
  <si>
    <t>Ruská Voľa nad Popradom</t>
  </si>
  <si>
    <t>Ruská Volová</t>
  </si>
  <si>
    <t>Ruské</t>
  </si>
  <si>
    <t>Ruskov</t>
  </si>
  <si>
    <t>Ruskovce</t>
  </si>
  <si>
    <t>Ruský Hrabovec</t>
  </si>
  <si>
    <t>Vyšný Kazimír</t>
  </si>
  <si>
    <t>Kručov</t>
  </si>
  <si>
    <t>Ruský Potok</t>
  </si>
  <si>
    <t>Rusovce</t>
  </si>
  <si>
    <t>Ružiná</t>
  </si>
  <si>
    <t>Ružindol</t>
  </si>
  <si>
    <t>Ružomberok</t>
  </si>
  <si>
    <t>Rybany</t>
  </si>
  <si>
    <t>Rybník</t>
  </si>
  <si>
    <t>Rybník nad Turcom</t>
  </si>
  <si>
    <t>Dolné Rykynčice</t>
  </si>
  <si>
    <t>Horné Rykynčice</t>
  </si>
  <si>
    <t>Sabinov</t>
  </si>
  <si>
    <t>Zálesie</t>
  </si>
  <si>
    <t>Sačurov</t>
  </si>
  <si>
    <t>Sádočné</t>
  </si>
  <si>
    <t>Byster</t>
  </si>
  <si>
    <t>Zdoba</t>
  </si>
  <si>
    <t>Salka</t>
  </si>
  <si>
    <t>Sampor</t>
  </si>
  <si>
    <t>Malinovec</t>
  </si>
  <si>
    <t>Santovka</t>
  </si>
  <si>
    <t>Sasinkovo</t>
  </si>
  <si>
    <t>Sazdice</t>
  </si>
  <si>
    <t>Bečov</t>
  </si>
  <si>
    <t>Sebedín</t>
  </si>
  <si>
    <t>Sebedražie</t>
  </si>
  <si>
    <t>Sebechleby</t>
  </si>
  <si>
    <t>Seč</t>
  </si>
  <si>
    <t>Sečianky</t>
  </si>
  <si>
    <t>Sečovce</t>
  </si>
  <si>
    <t>Sečovská Polianka</t>
  </si>
  <si>
    <t>Sedliacka Dubová</t>
  </si>
  <si>
    <t>Sedlice</t>
  </si>
  <si>
    <t>Suchá Dolina</t>
  </si>
  <si>
    <t>Sedličná</t>
  </si>
  <si>
    <t>Sedliská</t>
  </si>
  <si>
    <t>Sedmerovec</t>
  </si>
  <si>
    <t>Sejkov</t>
  </si>
  <si>
    <t>Sekule</t>
  </si>
  <si>
    <t>Seľany</t>
  </si>
  <si>
    <t>Selce</t>
  </si>
  <si>
    <t>Selec</t>
  </si>
  <si>
    <t>Selice</t>
  </si>
  <si>
    <t>Šók</t>
  </si>
  <si>
    <t>Semerovo</t>
  </si>
  <si>
    <t>Seňa</t>
  </si>
  <si>
    <t>Senec</t>
  </si>
  <si>
    <t>Seniakovce</t>
  </si>
  <si>
    <t>Senné</t>
  </si>
  <si>
    <t>Senohrad</t>
  </si>
  <si>
    <t>Dolný Čepeň</t>
  </si>
  <si>
    <t>Sereď</t>
  </si>
  <si>
    <t>Stredný Čepeň</t>
  </si>
  <si>
    <t>Horný Čepeň</t>
  </si>
  <si>
    <t>Sielnica</t>
  </si>
  <si>
    <t>Sihelné</t>
  </si>
  <si>
    <t>Sihla</t>
  </si>
  <si>
    <t>Trhyňa</t>
  </si>
  <si>
    <t>Veľký Pesek</t>
  </si>
  <si>
    <t>Sikenička</t>
  </si>
  <si>
    <t>Siladice</t>
  </si>
  <si>
    <t>Silica</t>
  </si>
  <si>
    <t>Silická Brezová</t>
  </si>
  <si>
    <t>Silická Jablonica</t>
  </si>
  <si>
    <t>Sirk</t>
  </si>
  <si>
    <t>Sirník</t>
  </si>
  <si>
    <t>Sitnianska Lehôtka</t>
  </si>
  <si>
    <t>Skačany</t>
  </si>
  <si>
    <t>Skala</t>
  </si>
  <si>
    <t>Skalica</t>
  </si>
  <si>
    <t>Skalité</t>
  </si>
  <si>
    <t>Skalská Nová Ves</t>
  </si>
  <si>
    <t>Skároš</t>
  </si>
  <si>
    <t>Skerešovo</t>
  </si>
  <si>
    <t>Sklabiňa</t>
  </si>
  <si>
    <t>Sklabiná</t>
  </si>
  <si>
    <t>Sklabinský Podzámok</t>
  </si>
  <si>
    <t>Sklené</t>
  </si>
  <si>
    <t>Sklené Teplice</t>
  </si>
  <si>
    <t>Skrabské</t>
  </si>
  <si>
    <t>Skýcov</t>
  </si>
  <si>
    <t>Močenok</t>
  </si>
  <si>
    <t>Sládkovičovo</t>
  </si>
  <si>
    <t>Slančík</t>
  </si>
  <si>
    <t>Slanec</t>
  </si>
  <si>
    <t>Slanská Huta</t>
  </si>
  <si>
    <t>Slanské Nové Mesto</t>
  </si>
  <si>
    <t>Slaská</t>
  </si>
  <si>
    <t>Slatina</t>
  </si>
  <si>
    <t>Slatina nad Bebravou</t>
  </si>
  <si>
    <t>Slatinka</t>
  </si>
  <si>
    <t>Slatinka nad Bebravou</t>
  </si>
  <si>
    <t>Slatinské Lazy</t>
  </si>
  <si>
    <t>Slatvina</t>
  </si>
  <si>
    <t>Slavec</t>
  </si>
  <si>
    <t>Vidová</t>
  </si>
  <si>
    <t>Slavkovce</t>
  </si>
  <si>
    <t>Slavnica</t>
  </si>
  <si>
    <t>Slavoška</t>
  </si>
  <si>
    <t>Slavošovce</t>
  </si>
  <si>
    <t>Dolné Sľažany</t>
  </si>
  <si>
    <t>Horné Sľažany</t>
  </si>
  <si>
    <t>Slepčany</t>
  </si>
  <si>
    <t>Hájniky</t>
  </si>
  <si>
    <t>Rybáre</t>
  </si>
  <si>
    <t>Liptovské Sliače</t>
  </si>
  <si>
    <t>Sliepkovce</t>
  </si>
  <si>
    <t>Slivník</t>
  </si>
  <si>
    <t>Slizké</t>
  </si>
  <si>
    <t>Slopná</t>
  </si>
  <si>
    <t>Slovany</t>
  </si>
  <si>
    <t>Slovenská Kajňa</t>
  </si>
  <si>
    <t>Slovenská Ľupča</t>
  </si>
  <si>
    <t>Slovenská Nová Ves</t>
  </si>
  <si>
    <t>Slovenská Ves</t>
  </si>
  <si>
    <t>Gruzovce</t>
  </si>
  <si>
    <t>Slovenská Volová</t>
  </si>
  <si>
    <t>Slovenské Ďarmoty</t>
  </si>
  <si>
    <t>Slovenské Kľačany</t>
  </si>
  <si>
    <t>Slovenské Krivé</t>
  </si>
  <si>
    <t>Slovenské Nové Mesto</t>
  </si>
  <si>
    <t>Slovenské Pravno</t>
  </si>
  <si>
    <t>Slovenský Grob</t>
  </si>
  <si>
    <t>Nižné Slovinky</t>
  </si>
  <si>
    <t>Vyšné Slovinky</t>
  </si>
  <si>
    <t>Smilno</t>
  </si>
  <si>
    <t>Smižany</t>
  </si>
  <si>
    <t>Smolenice</t>
  </si>
  <si>
    <t>Smolenická Nová Ves</t>
  </si>
  <si>
    <t>Smolinské</t>
  </si>
  <si>
    <t>Smolnícka Huta</t>
  </si>
  <si>
    <t>Smolník nad Cirochou</t>
  </si>
  <si>
    <t>Smolník</t>
  </si>
  <si>
    <t>Smrdáky</t>
  </si>
  <si>
    <t>Smrečany</t>
  </si>
  <si>
    <t>Snakov</t>
  </si>
  <si>
    <t>Snežnica</t>
  </si>
  <si>
    <t>Snina</t>
  </si>
  <si>
    <t>Soblahov</t>
  </si>
  <si>
    <t>Soboš</t>
  </si>
  <si>
    <t>Sobotište</t>
  </si>
  <si>
    <t>Sobrance</t>
  </si>
  <si>
    <t>Socovce</t>
  </si>
  <si>
    <t>Sokoľ</t>
  </si>
  <si>
    <t>Sokolce-Lak</t>
  </si>
  <si>
    <t>Sokolče</t>
  </si>
  <si>
    <t>Sokolovce</t>
  </si>
  <si>
    <t>Soľ</t>
  </si>
  <si>
    <t>Solčany</t>
  </si>
  <si>
    <t>Solčianky</t>
  </si>
  <si>
    <t>Solivar</t>
  </si>
  <si>
    <t>Soľnička</t>
  </si>
  <si>
    <t>Soľník</t>
  </si>
  <si>
    <t>Sološnica</t>
  </si>
  <si>
    <t>Nová Vieska pri Bodrogu</t>
  </si>
  <si>
    <t>Somotor</t>
  </si>
  <si>
    <t>Véč</t>
  </si>
  <si>
    <t>Spišská Belá</t>
  </si>
  <si>
    <t>Spišská Nová Ves</t>
  </si>
  <si>
    <t>Spišská Stará Ves</t>
  </si>
  <si>
    <t>Spišská Teplica</t>
  </si>
  <si>
    <t>Spišské Bystré</t>
  </si>
  <si>
    <t>Spišské Hanušovce</t>
  </si>
  <si>
    <t>Spišské Podhradie</t>
  </si>
  <si>
    <t>Spišské Tomášovce</t>
  </si>
  <si>
    <t>Spišské Vlachy</t>
  </si>
  <si>
    <t>Spišský Hrhov</t>
  </si>
  <si>
    <t>Spišský Hrušov</t>
  </si>
  <si>
    <t>Spišský Štiavnik</t>
  </si>
  <si>
    <t>Spišský Štvrtok</t>
  </si>
  <si>
    <t>Srňacie</t>
  </si>
  <si>
    <t>Stakčínska Roztoka</t>
  </si>
  <si>
    <t>Stakčín</t>
  </si>
  <si>
    <t>Stankovany</t>
  </si>
  <si>
    <t>Stankovce</t>
  </si>
  <si>
    <t>Stará Bašta</t>
  </si>
  <si>
    <t>Stará Bystrica</t>
  </si>
  <si>
    <t>Stará Halič</t>
  </si>
  <si>
    <t>Stará Huta</t>
  </si>
  <si>
    <t>Stará Kremnička</t>
  </si>
  <si>
    <t>Stará Lehota</t>
  </si>
  <si>
    <t>Stará Lesná</t>
  </si>
  <si>
    <t>Stará Ľubovňa</t>
  </si>
  <si>
    <t>Stará Myjava</t>
  </si>
  <si>
    <t>Stará Turá</t>
  </si>
  <si>
    <t>Stará Voda</t>
  </si>
  <si>
    <t>Staré</t>
  </si>
  <si>
    <t>Staré Hory</t>
  </si>
  <si>
    <t>Turecká</t>
  </si>
  <si>
    <t>Starina nad Cirochou</t>
  </si>
  <si>
    <t>Starina</t>
  </si>
  <si>
    <t>Starňa</t>
  </si>
  <si>
    <t>Starý Hrádok</t>
  </si>
  <si>
    <t>Starý Smokovec</t>
  </si>
  <si>
    <t>Starý Tekov</t>
  </si>
  <si>
    <t>Staškov</t>
  </si>
  <si>
    <t>Staškovce</t>
  </si>
  <si>
    <t>Stebnícka Huta</t>
  </si>
  <si>
    <t>Stebník</t>
  </si>
  <si>
    <t>Stožok</t>
  </si>
  <si>
    <t>Stráňavy</t>
  </si>
  <si>
    <t>Stráne pod Tatrami</t>
  </si>
  <si>
    <t>Stránska</t>
  </si>
  <si>
    <t>Stránske</t>
  </si>
  <si>
    <t>Stratená</t>
  </si>
  <si>
    <t>Stráža</t>
  </si>
  <si>
    <t>Strážky</t>
  </si>
  <si>
    <t>Strážne</t>
  </si>
  <si>
    <t>Strážov</t>
  </si>
  <si>
    <t>Strážske</t>
  </si>
  <si>
    <t>Strečno</t>
  </si>
  <si>
    <t>Klin nad Bodrogom</t>
  </si>
  <si>
    <t>Streda nad Bodrogom</t>
  </si>
  <si>
    <t>Stredné Plachtince</t>
  </si>
  <si>
    <t>Strekov</t>
  </si>
  <si>
    <t>Strelnice</t>
  </si>
  <si>
    <t>Strelníky</t>
  </si>
  <si>
    <t>Stretava</t>
  </si>
  <si>
    <t>Stretavka</t>
  </si>
  <si>
    <t>Streženice</t>
  </si>
  <si>
    <t>Strihovce</t>
  </si>
  <si>
    <t>Stročín</t>
  </si>
  <si>
    <t>Stropkov</t>
  </si>
  <si>
    <t>Bokša</t>
  </si>
  <si>
    <t>Studená</t>
  </si>
  <si>
    <t>Studenec</t>
  </si>
  <si>
    <t>Studienka</t>
  </si>
  <si>
    <t>Stuľany</t>
  </si>
  <si>
    <t>Mást I</t>
  </si>
  <si>
    <t>Stupava</t>
  </si>
  <si>
    <t>Mást II</t>
  </si>
  <si>
    <t>Mást III</t>
  </si>
  <si>
    <t>Stupné</t>
  </si>
  <si>
    <t>Sučany</t>
  </si>
  <si>
    <t>Sudince</t>
  </si>
  <si>
    <t>Súdovce</t>
  </si>
  <si>
    <t>Suchá Hora</t>
  </si>
  <si>
    <t>Suchá nad Parnou</t>
  </si>
  <si>
    <t>Sucháň</t>
  </si>
  <si>
    <t>Suché</t>
  </si>
  <si>
    <t>Suché Brezovo</t>
  </si>
  <si>
    <t>Suchohrad</t>
  </si>
  <si>
    <t>Sukov</t>
  </si>
  <si>
    <t>Malý Sulín</t>
  </si>
  <si>
    <t>Veľký Sulín</t>
  </si>
  <si>
    <t>Súľov-Hradná</t>
  </si>
  <si>
    <t>Súlovce</t>
  </si>
  <si>
    <t>Sušany</t>
  </si>
  <si>
    <t>Sútor</t>
  </si>
  <si>
    <t>Svätoplukovo</t>
  </si>
  <si>
    <t>Svätuš</t>
  </si>
  <si>
    <t>Svätý Kríž</t>
  </si>
  <si>
    <t>Svederník</t>
  </si>
  <si>
    <t>Sverepec</t>
  </si>
  <si>
    <t>Sveržov</t>
  </si>
  <si>
    <t>Svetlice</t>
  </si>
  <si>
    <t>Svidnička</t>
  </si>
  <si>
    <t>Svidník</t>
  </si>
  <si>
    <t>Svinia</t>
  </si>
  <si>
    <t>Svinica</t>
  </si>
  <si>
    <t>Svinice</t>
  </si>
  <si>
    <t>Svinná</t>
  </si>
  <si>
    <t>Svit</t>
  </si>
  <si>
    <t>Maďarský Svodín</t>
  </si>
  <si>
    <t>Svodov</t>
  </si>
  <si>
    <t>Svrbice</t>
  </si>
  <si>
    <t>Svrčinovec</t>
  </si>
  <si>
    <t>Tornaľa</t>
  </si>
  <si>
    <t>Železné</t>
  </si>
  <si>
    <t>Šahy</t>
  </si>
  <si>
    <t>Šajdíkove Humence</t>
  </si>
  <si>
    <t>Šaľa</t>
  </si>
  <si>
    <t>Šalgočka</t>
  </si>
  <si>
    <t>Šalgovce</t>
  </si>
  <si>
    <t>Šalgovík</t>
  </si>
  <si>
    <t>Šalov</t>
  </si>
  <si>
    <t>Šambron</t>
  </si>
  <si>
    <t>Čilistov</t>
  </si>
  <si>
    <t>Šamorín</t>
  </si>
  <si>
    <t>Šamudovce</t>
  </si>
  <si>
    <t>Šandal</t>
  </si>
  <si>
    <t>Šarbov</t>
  </si>
  <si>
    <t>Lipníky</t>
  </si>
  <si>
    <t>Šarišská Poruba</t>
  </si>
  <si>
    <t>Šarišská Trstená</t>
  </si>
  <si>
    <t>Šarišské Bohdanovce</t>
  </si>
  <si>
    <t>Šarišské Čierne</t>
  </si>
  <si>
    <t>Šarišské Dravce</t>
  </si>
  <si>
    <t>Šarišské Jastrabie</t>
  </si>
  <si>
    <t>Šarišské Lužianky</t>
  </si>
  <si>
    <t>Šarišské Michaľany</t>
  </si>
  <si>
    <t>Šarišské Sokolovce</t>
  </si>
  <si>
    <t>Šarišský Štiavnik</t>
  </si>
  <si>
    <t>Šarkan</t>
  </si>
  <si>
    <t>Malé Šarovce</t>
  </si>
  <si>
    <t>Veľké Šarovce</t>
  </si>
  <si>
    <t>Veselá</t>
  </si>
  <si>
    <t>Šašová</t>
  </si>
  <si>
    <t>Šášovské Podhradie</t>
  </si>
  <si>
    <t>Stráže nad Myjavou</t>
  </si>
  <si>
    <t>Šaštín</t>
  </si>
  <si>
    <t>Šávoľ</t>
  </si>
  <si>
    <t>Šebastovce</t>
  </si>
  <si>
    <t>Šebešťanová</t>
  </si>
  <si>
    <t>Šelpice</t>
  </si>
  <si>
    <t>Šemetkovce</t>
  </si>
  <si>
    <t>Šemša</t>
  </si>
  <si>
    <t>Malé Šenkvice</t>
  </si>
  <si>
    <t>Veľké Šenkvice</t>
  </si>
  <si>
    <t>Šiatorská Bukovinka</t>
  </si>
  <si>
    <t>Šiba</t>
  </si>
  <si>
    <t>Šíd</t>
  </si>
  <si>
    <t>Šimonovce</t>
  </si>
  <si>
    <t>Šindliar</t>
  </si>
  <si>
    <t>Šintava</t>
  </si>
  <si>
    <t>Horné Šipice</t>
  </si>
  <si>
    <t>Dolné Šipice</t>
  </si>
  <si>
    <t>Šípkov</t>
  </si>
  <si>
    <t>Šípkové</t>
  </si>
  <si>
    <t>Širákov</t>
  </si>
  <si>
    <t>Širkovce</t>
  </si>
  <si>
    <t>Široké</t>
  </si>
  <si>
    <t>Šišov</t>
  </si>
  <si>
    <t>Šivetice</t>
  </si>
  <si>
    <t>Šmigovec</t>
  </si>
  <si>
    <t>Šoltýska</t>
  </si>
  <si>
    <t>Šoporňa</t>
  </si>
  <si>
    <t>Špačince</t>
  </si>
  <si>
    <t>Špania Dolina</t>
  </si>
  <si>
    <t>Španie Pole</t>
  </si>
  <si>
    <t>Šrobárová</t>
  </si>
  <si>
    <t>Štefanov</t>
  </si>
  <si>
    <t>Dolný Štefanov</t>
  </si>
  <si>
    <t>Horný Štefanov</t>
  </si>
  <si>
    <t>Štefanová</t>
  </si>
  <si>
    <t>Štefanovce</t>
  </si>
  <si>
    <t>Štefanovičová</t>
  </si>
  <si>
    <t>Štefurov</t>
  </si>
  <si>
    <t>Šterusy</t>
  </si>
  <si>
    <t>Štiavnické Bane</t>
  </si>
  <si>
    <t>Štiavnička</t>
  </si>
  <si>
    <t>Štiavnik</t>
  </si>
  <si>
    <t>Štítnik</t>
  </si>
  <si>
    <t>Štós</t>
  </si>
  <si>
    <t>Štrba</t>
  </si>
  <si>
    <t>Štrbské Pleso</t>
  </si>
  <si>
    <t>Štrkovec</t>
  </si>
  <si>
    <t>Nána</t>
  </si>
  <si>
    <t>Štúrovo</t>
  </si>
  <si>
    <t>Štvrtok</t>
  </si>
  <si>
    <t>Štvrtok na Ostrove</t>
  </si>
  <si>
    <t>Šuja</t>
  </si>
  <si>
    <t>Šuľa</t>
  </si>
  <si>
    <t>Šulekovo</t>
  </si>
  <si>
    <t>Šumiac</t>
  </si>
  <si>
    <t>Šurany</t>
  </si>
  <si>
    <t>Šurianky</t>
  </si>
  <si>
    <t>Šurice</t>
  </si>
  <si>
    <t>Valtov Šúr</t>
  </si>
  <si>
    <t>Veľké Šúrovce I</t>
  </si>
  <si>
    <t>Zemianske Šúrovce</t>
  </si>
  <si>
    <t>Veľké Šúrovce II</t>
  </si>
  <si>
    <t>Horné Šútovce</t>
  </si>
  <si>
    <t>Dolné Šútovce</t>
  </si>
  <si>
    <t>Šútovo</t>
  </si>
  <si>
    <t>Švábovce</t>
  </si>
  <si>
    <t>Švedlár</t>
  </si>
  <si>
    <t>Telgárt</t>
  </si>
  <si>
    <t>Švošov</t>
  </si>
  <si>
    <t>Tachty</t>
  </si>
  <si>
    <t>Tajná</t>
  </si>
  <si>
    <t>Tajov</t>
  </si>
  <si>
    <t>Ťapešovo</t>
  </si>
  <si>
    <t>Tarnov</t>
  </si>
  <si>
    <t>Tašuľa</t>
  </si>
  <si>
    <t>Tatranská Lomnica</t>
  </si>
  <si>
    <t>Tehla</t>
  </si>
  <si>
    <t>Tekolďany</t>
  </si>
  <si>
    <t>Tekovská Breznica</t>
  </si>
  <si>
    <t>Hulvinky</t>
  </si>
  <si>
    <t>Tekovské Lužany</t>
  </si>
  <si>
    <t>Tekovské Lužianky</t>
  </si>
  <si>
    <t>Tekovské Nemce</t>
  </si>
  <si>
    <t>Hontianske Trsťany</t>
  </si>
  <si>
    <t>Dolný Tekovský Hrádok</t>
  </si>
  <si>
    <t>Horný Tekovský Hrádok</t>
  </si>
  <si>
    <t>Telince</t>
  </si>
  <si>
    <t>Temeš</t>
  </si>
  <si>
    <t>Teplička</t>
  </si>
  <si>
    <t>Šafárka</t>
  </si>
  <si>
    <t>Teplička nad Váhom</t>
  </si>
  <si>
    <t>Tepličky</t>
  </si>
  <si>
    <t>Teplý Vrch</t>
  </si>
  <si>
    <t>Dolné Terany</t>
  </si>
  <si>
    <t>Horné Terany</t>
  </si>
  <si>
    <t>Terchová</t>
  </si>
  <si>
    <t>Teriakovce</t>
  </si>
  <si>
    <t>Terňa</t>
  </si>
  <si>
    <t>Tesáre</t>
  </si>
  <si>
    <t>Mlyňany</t>
  </si>
  <si>
    <t>Tesáre nad Žitavou</t>
  </si>
  <si>
    <t>Tešedíkovo</t>
  </si>
  <si>
    <t>Tešmák</t>
  </si>
  <si>
    <t>Tibava</t>
  </si>
  <si>
    <t>Tichý Potok</t>
  </si>
  <si>
    <t>Timoradza</t>
  </si>
  <si>
    <t>Tisinec</t>
  </si>
  <si>
    <t>Tisovec</t>
  </si>
  <si>
    <t>Tlmače</t>
  </si>
  <si>
    <t>Točnica</t>
  </si>
  <si>
    <t>Tokajík</t>
  </si>
  <si>
    <t>Tomášikovo</t>
  </si>
  <si>
    <t>Malý Madaras</t>
  </si>
  <si>
    <t>Tomášov</t>
  </si>
  <si>
    <t>Tomášovce</t>
  </si>
  <si>
    <t>Tôň</t>
  </si>
  <si>
    <t>Topoľa</t>
  </si>
  <si>
    <t>Topoľčany</t>
  </si>
  <si>
    <t>Topoľčianky</t>
  </si>
  <si>
    <t>Topoľnica</t>
  </si>
  <si>
    <t>Dolné Topoľníky</t>
  </si>
  <si>
    <t>Horné Topoľníky</t>
  </si>
  <si>
    <t>Ňárad</t>
  </si>
  <si>
    <t>Topoľovka</t>
  </si>
  <si>
    <t>Toporec</t>
  </si>
  <si>
    <t>Torysa</t>
  </si>
  <si>
    <t>Torysky</t>
  </si>
  <si>
    <t>Tovarné</t>
  </si>
  <si>
    <t>Tovarnianska Polianka</t>
  </si>
  <si>
    <t>Tovarníky</t>
  </si>
  <si>
    <t>Trakovice</t>
  </si>
  <si>
    <t>Trávnica</t>
  </si>
  <si>
    <t>Trávnik</t>
  </si>
  <si>
    <t>Trebatice</t>
  </si>
  <si>
    <t>Trebejov</t>
  </si>
  <si>
    <t>Trebeľovce</t>
  </si>
  <si>
    <t>Trebichava</t>
  </si>
  <si>
    <t>Trebišov</t>
  </si>
  <si>
    <t>Trebostovo</t>
  </si>
  <si>
    <t>Trebušovce</t>
  </si>
  <si>
    <t>Trenč</t>
  </si>
  <si>
    <t>Trenčianska Teplá</t>
  </si>
  <si>
    <t>Trenčianska Turná</t>
  </si>
  <si>
    <t>Trenčianske Bohuslavice</t>
  </si>
  <si>
    <t>Trenčianske Jastrabie</t>
  </si>
  <si>
    <t>Trenčianske Mitice</t>
  </si>
  <si>
    <t>Trenčianske Teplice</t>
  </si>
  <si>
    <t>Trenčín</t>
  </si>
  <si>
    <t>Trenčianske Biskupice</t>
  </si>
  <si>
    <t>Horné Mýto</t>
  </si>
  <si>
    <t>Trhová Hradská</t>
  </si>
  <si>
    <t>Trhovište</t>
  </si>
  <si>
    <t>Malá Tŕňa</t>
  </si>
  <si>
    <t>Veľká Tŕňa</t>
  </si>
  <si>
    <t>Trnava</t>
  </si>
  <si>
    <t>Trnavá Hora</t>
  </si>
  <si>
    <t>Trnava pri Laborci</t>
  </si>
  <si>
    <t>Budička</t>
  </si>
  <si>
    <t>Kašova Lehôtka</t>
  </si>
  <si>
    <t>Tŕnie</t>
  </si>
  <si>
    <t>Trnkov</t>
  </si>
  <si>
    <t>Trnové</t>
  </si>
  <si>
    <t>Trnovec</t>
  </si>
  <si>
    <t>Horný Jatov</t>
  </si>
  <si>
    <t>Trnovec nad Váhom</t>
  </si>
  <si>
    <t>Trnovo</t>
  </si>
  <si>
    <t>Tročany</t>
  </si>
  <si>
    <t>Trpín</t>
  </si>
  <si>
    <t>Trsťany</t>
  </si>
  <si>
    <t>Trstená</t>
  </si>
  <si>
    <t>Trstená na Ostrove</t>
  </si>
  <si>
    <t>Trstené</t>
  </si>
  <si>
    <t>Trstené pri Hornáde</t>
  </si>
  <si>
    <t>Trstice</t>
  </si>
  <si>
    <t>Tŕstie</t>
  </si>
  <si>
    <t>Trstín</t>
  </si>
  <si>
    <t>Trubín</t>
  </si>
  <si>
    <t>Tuhár</t>
  </si>
  <si>
    <t>Tuhrina</t>
  </si>
  <si>
    <t>Tuchyňa</t>
  </si>
  <si>
    <t>Tulčík</t>
  </si>
  <si>
    <t>Chorvatice</t>
  </si>
  <si>
    <t>Tupá</t>
  </si>
  <si>
    <t>Turá</t>
  </si>
  <si>
    <t>Turá Lúka</t>
  </si>
  <si>
    <t>Turany</t>
  </si>
  <si>
    <t>Turany nad Ondavou</t>
  </si>
  <si>
    <t>Vyšný Hrabovec</t>
  </si>
  <si>
    <t>Turcovce</t>
  </si>
  <si>
    <t>Dolný Turček</t>
  </si>
  <si>
    <t>Horný Turček</t>
  </si>
  <si>
    <t>Turčianky</t>
  </si>
  <si>
    <t>Turčianska Štiavnička</t>
  </si>
  <si>
    <t>Turčianske Kľačany</t>
  </si>
  <si>
    <t>Turčianske Teplice</t>
  </si>
  <si>
    <t>Turčiansky Ďur</t>
  </si>
  <si>
    <t>Turčiansky Michal</t>
  </si>
  <si>
    <t>Turčiansky Peter</t>
  </si>
  <si>
    <t>Turčok</t>
  </si>
  <si>
    <t>Tureň</t>
  </si>
  <si>
    <t>Zonc</t>
  </si>
  <si>
    <t>Turíčky</t>
  </si>
  <si>
    <t>Turie</t>
  </si>
  <si>
    <t>Turík</t>
  </si>
  <si>
    <t>Turňa nad Bodvou</t>
  </si>
  <si>
    <t>Turová</t>
  </si>
  <si>
    <t>Turkov</t>
  </si>
  <si>
    <t>Turzovka</t>
  </si>
  <si>
    <t>Tušice</t>
  </si>
  <si>
    <t>Tušická Nová Ves</t>
  </si>
  <si>
    <t>Tužina</t>
  </si>
  <si>
    <t>Tvarožná</t>
  </si>
  <si>
    <t>Tvrdomestice</t>
  </si>
  <si>
    <t>Tvrdošín</t>
  </si>
  <si>
    <t>Tvrdošovce</t>
  </si>
  <si>
    <t>Ubľa</t>
  </si>
  <si>
    <t>Úbrež</t>
  </si>
  <si>
    <t>Udavské</t>
  </si>
  <si>
    <t>Uderiná</t>
  </si>
  <si>
    <t>Udiča</t>
  </si>
  <si>
    <t>Údol</t>
  </si>
  <si>
    <t>Uhliská</t>
  </si>
  <si>
    <t>Úhorná</t>
  </si>
  <si>
    <t>Uhorská Ves</t>
  </si>
  <si>
    <t>Vislavce</t>
  </si>
  <si>
    <t>Uhorské</t>
  </si>
  <si>
    <t>Látkovce</t>
  </si>
  <si>
    <t>Uhrovec</t>
  </si>
  <si>
    <t>Uhrovské Podhradie</t>
  </si>
  <si>
    <t>Újazd</t>
  </si>
  <si>
    <t>Uľanka</t>
  </si>
  <si>
    <t>Úľany nad Žitavou</t>
  </si>
  <si>
    <t>Ulič</t>
  </si>
  <si>
    <t>Uličské Krivé</t>
  </si>
  <si>
    <t>Uloža</t>
  </si>
  <si>
    <t>Uňatín</t>
  </si>
  <si>
    <t>Unín</t>
  </si>
  <si>
    <t>Urmince</t>
  </si>
  <si>
    <t>Ústie nad Priehradou</t>
  </si>
  <si>
    <t>Oravské Hámre</t>
  </si>
  <si>
    <t>Osada</t>
  </si>
  <si>
    <t>Uzovce</t>
  </si>
  <si>
    <t>Rakytník</t>
  </si>
  <si>
    <t>Uzovská Panica</t>
  </si>
  <si>
    <t>Uzovské Pekľany</t>
  </si>
  <si>
    <t>Uzovský Šalgov</t>
  </si>
  <si>
    <t>Vaďovce</t>
  </si>
  <si>
    <t>Vagrinec</t>
  </si>
  <si>
    <t>Váhovce</t>
  </si>
  <si>
    <t>Vajkovce</t>
  </si>
  <si>
    <t>Valaliky</t>
  </si>
  <si>
    <t>Valaská</t>
  </si>
  <si>
    <t>Valaská Belá</t>
  </si>
  <si>
    <t>Valaská Dubová</t>
  </si>
  <si>
    <t>Valča</t>
  </si>
  <si>
    <t>Valentová</t>
  </si>
  <si>
    <t>Valentovce</t>
  </si>
  <si>
    <t>Valkovce</t>
  </si>
  <si>
    <t>Vaľkovňa</t>
  </si>
  <si>
    <t>Vaľkovo</t>
  </si>
  <si>
    <t>Vaniškovce</t>
  </si>
  <si>
    <t>Vaňovka</t>
  </si>
  <si>
    <t>Vápeník</t>
  </si>
  <si>
    <t>Varadka</t>
  </si>
  <si>
    <t>Varechovce</t>
  </si>
  <si>
    <t>Varhaňovce</t>
  </si>
  <si>
    <t>Nezbudská Lúčka</t>
  </si>
  <si>
    <t>Varín</t>
  </si>
  <si>
    <t>Varov Šúr</t>
  </si>
  <si>
    <t>Vasiľov</t>
  </si>
  <si>
    <t>Vavrečka</t>
  </si>
  <si>
    <t>Vavrinec</t>
  </si>
  <si>
    <t>Vavrišovo</t>
  </si>
  <si>
    <t>Važec</t>
  </si>
  <si>
    <t>Včelince</t>
  </si>
  <si>
    <t>Večelkov</t>
  </si>
  <si>
    <t>Vechec</t>
  </si>
  <si>
    <t>Veľaty</t>
  </si>
  <si>
    <t>Velčice</t>
  </si>
  <si>
    <t>Revišné</t>
  </si>
  <si>
    <t>Veličná</t>
  </si>
  <si>
    <t>Veľká nad Ipľom</t>
  </si>
  <si>
    <t>Veľká Čalomija</t>
  </si>
  <si>
    <t>Veľká Čausa</t>
  </si>
  <si>
    <t>Veľká Čierna</t>
  </si>
  <si>
    <t>Veľká Dolina</t>
  </si>
  <si>
    <t>Veľká Franková</t>
  </si>
  <si>
    <t>Veľká Hradná</t>
  </si>
  <si>
    <t>Veľká Ida</t>
  </si>
  <si>
    <t>Veľká Lehota</t>
  </si>
  <si>
    <t>Veľká Lehôtka</t>
  </si>
  <si>
    <t>Veľká Lesná</t>
  </si>
  <si>
    <t>Veľká Lodina</t>
  </si>
  <si>
    <t>Veľká Lomnica</t>
  </si>
  <si>
    <t>Veľká Lúka</t>
  </si>
  <si>
    <t>Veľká Mača</t>
  </si>
  <si>
    <t>Čukárska Paka</t>
  </si>
  <si>
    <t>Malá Paka</t>
  </si>
  <si>
    <t>Veľká Paka</t>
  </si>
  <si>
    <t>Veľká Poľana</t>
  </si>
  <si>
    <t>Veľká Ves nad Ipľom</t>
  </si>
  <si>
    <t>Veľké Bedzany</t>
  </si>
  <si>
    <t>Veľké Bielice</t>
  </si>
  <si>
    <t>Veľké Bierovce</t>
  </si>
  <si>
    <t>Veľké Blahovo</t>
  </si>
  <si>
    <t>Veľké Borové</t>
  </si>
  <si>
    <t>Veľké Dravce</t>
  </si>
  <si>
    <t>Veľké Dvorany</t>
  </si>
  <si>
    <t>Veľké Hoste</t>
  </si>
  <si>
    <t>Veľké Chlievany</t>
  </si>
  <si>
    <t>Veľké Chyndice</t>
  </si>
  <si>
    <t>Veľké Janíkovce</t>
  </si>
  <si>
    <t>Veľké Kapušany</t>
  </si>
  <si>
    <t>Veľké Kosihy</t>
  </si>
  <si>
    <t>Veľké Kostoľany</t>
  </si>
  <si>
    <t>Zákostoľany</t>
  </si>
  <si>
    <t>Veľké Košecké Podhradie</t>
  </si>
  <si>
    <t>Veľké Kozmálovce</t>
  </si>
  <si>
    <t>Veľké Kršteňany</t>
  </si>
  <si>
    <t>Veľké Leváre</t>
  </si>
  <si>
    <t>Veľké Lovce</t>
  </si>
  <si>
    <t>Veľké Ludince</t>
  </si>
  <si>
    <t>Veľké Orvište</t>
  </si>
  <si>
    <t>Veľké Ozorovce</t>
  </si>
  <si>
    <t>Veľké Pole</t>
  </si>
  <si>
    <t>Veľké Raškovce</t>
  </si>
  <si>
    <t>Veľké Revištia</t>
  </si>
  <si>
    <t>Veľké Ripňany</t>
  </si>
  <si>
    <t>Veľké Rovné</t>
  </si>
  <si>
    <t>Veľké Slemence</t>
  </si>
  <si>
    <t>Veľké Stankovce</t>
  </si>
  <si>
    <t>Veľké Straciny</t>
  </si>
  <si>
    <t>Malé Teriakovce</t>
  </si>
  <si>
    <t>Nižný Skálnik</t>
  </si>
  <si>
    <t>Veľké Teriakovce</t>
  </si>
  <si>
    <t>Vrbovce nad Rimavou</t>
  </si>
  <si>
    <t>Veľké Trakany</t>
  </si>
  <si>
    <t>Dolné Turovce</t>
  </si>
  <si>
    <t>Stredné Turovce</t>
  </si>
  <si>
    <t>Veľké Uherce</t>
  </si>
  <si>
    <t>Veľké Úľany</t>
  </si>
  <si>
    <t>Veľké Vozokany</t>
  </si>
  <si>
    <t>Zalužice</t>
  </si>
  <si>
    <t>Veľké Zálužie</t>
  </si>
  <si>
    <t>Veľké Zlievce</t>
  </si>
  <si>
    <t>Veľkrop</t>
  </si>
  <si>
    <t>Malý Biel</t>
  </si>
  <si>
    <t>Veľký Biel</t>
  </si>
  <si>
    <t>Vyšný Blh</t>
  </si>
  <si>
    <t>Nižný Blh</t>
  </si>
  <si>
    <t>Veľký Cetín</t>
  </si>
  <si>
    <t>Veľký Čepčín</t>
  </si>
  <si>
    <t>Dolný Ďur</t>
  </si>
  <si>
    <t>Horný Ďur</t>
  </si>
  <si>
    <t>Veľký Folkmar</t>
  </si>
  <si>
    <t>Veľký Grob</t>
  </si>
  <si>
    <t>Veľký Horeš</t>
  </si>
  <si>
    <t>Veľký Kamenec</t>
  </si>
  <si>
    <t>Klíž</t>
  </si>
  <si>
    <t>Klížske Hradište</t>
  </si>
  <si>
    <t>Veľký Krtíš</t>
  </si>
  <si>
    <t>Veľký Lipník</t>
  </si>
  <si>
    <t>Veľký Lom</t>
  </si>
  <si>
    <t>Veľký Slavkov</t>
  </si>
  <si>
    <t>Veľký Slivník</t>
  </si>
  <si>
    <t>Veľký Šariš</t>
  </si>
  <si>
    <t>Veľopolie</t>
  </si>
  <si>
    <t>Velušovce</t>
  </si>
  <si>
    <t>Vernár</t>
  </si>
  <si>
    <t>Ťapkové</t>
  </si>
  <si>
    <t>Veselé</t>
  </si>
  <si>
    <t>Veterná Poruba</t>
  </si>
  <si>
    <t>Vidiná</t>
  </si>
  <si>
    <t>Vieska nad Blhom</t>
  </si>
  <si>
    <t>Vieska nad Žitavou</t>
  </si>
  <si>
    <t>Vígľaš</t>
  </si>
  <si>
    <t>Vígľašská Huta-Kalinka</t>
  </si>
  <si>
    <t>Vikartovce</t>
  </si>
  <si>
    <t>Vinica</t>
  </si>
  <si>
    <t>Viničky</t>
  </si>
  <si>
    <t>Viničné</t>
  </si>
  <si>
    <t>Vinné</t>
  </si>
  <si>
    <t>Dolný Vinodol</t>
  </si>
  <si>
    <t>Horný Vinodol</t>
  </si>
  <si>
    <t>Vinohrady nad Váhom</t>
  </si>
  <si>
    <t>Veľké Tŕnie</t>
  </si>
  <si>
    <t>Malé Tŕnie</t>
  </si>
  <si>
    <t>Vislanka</t>
  </si>
  <si>
    <t>Vislava</t>
  </si>
  <si>
    <t>Visolaje</t>
  </si>
  <si>
    <t>Višňov</t>
  </si>
  <si>
    <t>Višňové</t>
  </si>
  <si>
    <t>Vištuk</t>
  </si>
  <si>
    <t>Oravice</t>
  </si>
  <si>
    <t>Vitanová</t>
  </si>
  <si>
    <t>Víťaz</t>
  </si>
  <si>
    <t>Víťazovce</t>
  </si>
  <si>
    <t>Vítkovce</t>
  </si>
  <si>
    <t>Vlača</t>
  </si>
  <si>
    <t>Driečna</t>
  </si>
  <si>
    <t>Vladiča</t>
  </si>
  <si>
    <t>Suchá</t>
  </si>
  <si>
    <t>Vlachovo</t>
  </si>
  <si>
    <t>Vlachy</t>
  </si>
  <si>
    <t>Vlašky</t>
  </si>
  <si>
    <t>Vlčany</t>
  </si>
  <si>
    <t>Vlčkovce</t>
  </si>
  <si>
    <t>Vlkanová</t>
  </si>
  <si>
    <t>Vlkas</t>
  </si>
  <si>
    <t>Vlková</t>
  </si>
  <si>
    <t>Vlkovce</t>
  </si>
  <si>
    <t>Vlky</t>
  </si>
  <si>
    <t>Vlkyňa</t>
  </si>
  <si>
    <t>Voderady</t>
  </si>
  <si>
    <t>Vojany</t>
  </si>
  <si>
    <t>Vojčice</t>
  </si>
  <si>
    <t>Vojka</t>
  </si>
  <si>
    <t>Kyselica</t>
  </si>
  <si>
    <t>Vojka nad Dunajom</t>
  </si>
  <si>
    <t>Vojkovce</t>
  </si>
  <si>
    <t>Vojňany</t>
  </si>
  <si>
    <t>Vojnatina</t>
  </si>
  <si>
    <t>Bátorove Kosihy</t>
  </si>
  <si>
    <t>Vojtovce</t>
  </si>
  <si>
    <t>Voľa</t>
  </si>
  <si>
    <t>Volica</t>
  </si>
  <si>
    <t>Volkovce</t>
  </si>
  <si>
    <t>Závada</t>
  </si>
  <si>
    <t>Voznica</t>
  </si>
  <si>
    <t>Vozokany</t>
  </si>
  <si>
    <t>Vráble</t>
  </si>
  <si>
    <t>Vrádište</t>
  </si>
  <si>
    <t>Nekyje na Ostrove</t>
  </si>
  <si>
    <t>Vrakúň</t>
  </si>
  <si>
    <t>Vrakuňa</t>
  </si>
  <si>
    <t>Vranie</t>
  </si>
  <si>
    <t>Vranov nad Topľou</t>
  </si>
  <si>
    <t>Vrbnica</t>
  </si>
  <si>
    <t>Vrbov</t>
  </si>
  <si>
    <t>Vrbová nad Váhom</t>
  </si>
  <si>
    <t>Vrbovce</t>
  </si>
  <si>
    <t>Vrbové</t>
  </si>
  <si>
    <t>Vrbovka</t>
  </si>
  <si>
    <t>Vrchteplá</t>
  </si>
  <si>
    <t>Vrícko</t>
  </si>
  <si>
    <t>Vršatské Podhradie</t>
  </si>
  <si>
    <t>Vrútky</t>
  </si>
  <si>
    <t>Vtáčkovce</t>
  </si>
  <si>
    <t>Výborná</t>
  </si>
  <si>
    <t>Ľudovítová</t>
  </si>
  <si>
    <t>Výčapy-Opatovce</t>
  </si>
  <si>
    <t>Vydrany</t>
  </si>
  <si>
    <t>Vydrná</t>
  </si>
  <si>
    <t>Vydrník</t>
  </si>
  <si>
    <t>Vyhne</t>
  </si>
  <si>
    <t>Východná</t>
  </si>
  <si>
    <t>Výrava</t>
  </si>
  <si>
    <t>Vysočany</t>
  </si>
  <si>
    <t>Vysoká</t>
  </si>
  <si>
    <t>Vysoká nad Kysucou</t>
  </si>
  <si>
    <t>Vysoká nad Uhom</t>
  </si>
  <si>
    <t>Vysoká pri Morave</t>
  </si>
  <si>
    <t>Vyškovce</t>
  </si>
  <si>
    <t>Vyškovce nad Ipľom</t>
  </si>
  <si>
    <t>Vyšná Boca</t>
  </si>
  <si>
    <t>Vyšná Hutka</t>
  </si>
  <si>
    <t>Vyšná Jablonka</t>
  </si>
  <si>
    <t>Vyšná Jedľová</t>
  </si>
  <si>
    <t>Vyšná Kamenica</t>
  </si>
  <si>
    <t>Vyšná Myšľa</t>
  </si>
  <si>
    <t>Vyšná Olšava</t>
  </si>
  <si>
    <t>Vyšná Pisaná</t>
  </si>
  <si>
    <t>Vyšná Pokoradz</t>
  </si>
  <si>
    <t>Vyšná Polianka</t>
  </si>
  <si>
    <t>Vyšná Rybnica</t>
  </si>
  <si>
    <t>Vyšná Sitnica</t>
  </si>
  <si>
    <t>Vyšná Slaná</t>
  </si>
  <si>
    <t>Vyšná Šebastová</t>
  </si>
  <si>
    <t>Vyšná Šuňava</t>
  </si>
  <si>
    <t>Vyšná Voľa</t>
  </si>
  <si>
    <t>Vyšné Ladičkovce</t>
  </si>
  <si>
    <t>Vyšné nad Hronom</t>
  </si>
  <si>
    <t>Vyšné Nemecké</t>
  </si>
  <si>
    <t>Vyšné Raslavice</t>
  </si>
  <si>
    <t>Vyšné Remety</t>
  </si>
  <si>
    <t>Vyšné Repaše</t>
  </si>
  <si>
    <t>Vyšné Ružbachy</t>
  </si>
  <si>
    <t>Vyšné Valice</t>
  </si>
  <si>
    <t>Vyšný Čaj</t>
  </si>
  <si>
    <t>Maškovce</t>
  </si>
  <si>
    <t>Vyšný Hrušov</t>
  </si>
  <si>
    <t>Vyšný Klátov</t>
  </si>
  <si>
    <t>Vyšný Komárnik</t>
  </si>
  <si>
    <t>Vyšný Kručov</t>
  </si>
  <si>
    <t>Vyšný Kubín</t>
  </si>
  <si>
    <t>Vyšný Lánec</t>
  </si>
  <si>
    <t>Vyšný Mirošov</t>
  </si>
  <si>
    <t>Vyšný Orlík</t>
  </si>
  <si>
    <t>Vyšný Skálnik</t>
  </si>
  <si>
    <t>Vyšný Slavkov</t>
  </si>
  <si>
    <t>Vyšný Tvarožec</t>
  </si>
  <si>
    <t>Vyšný Žipov</t>
  </si>
  <si>
    <t>Zábiedovo</t>
  </si>
  <si>
    <t>Záblatie</t>
  </si>
  <si>
    <t>Záborie</t>
  </si>
  <si>
    <t>Záborské</t>
  </si>
  <si>
    <t>Včeláre</t>
  </si>
  <si>
    <t>Zádiel</t>
  </si>
  <si>
    <t>Zádor</t>
  </si>
  <si>
    <t>Zádubnie</t>
  </si>
  <si>
    <t>Záhor</t>
  </si>
  <si>
    <t>Záhorce</t>
  </si>
  <si>
    <t>Záhorie</t>
  </si>
  <si>
    <t>Záhorská Bystrica</t>
  </si>
  <si>
    <t>Bystrická hora</t>
  </si>
  <si>
    <t>Hrubé lúky</t>
  </si>
  <si>
    <t>Záhorská Ves</t>
  </si>
  <si>
    <t>Záhradné</t>
  </si>
  <si>
    <t>Zacharovce</t>
  </si>
  <si>
    <t>Zaježová</t>
  </si>
  <si>
    <t>Zákamenné</t>
  </si>
  <si>
    <t>Zákopčie</t>
  </si>
  <si>
    <t>Zalaba</t>
  </si>
  <si>
    <t>Zamarovce</t>
  </si>
  <si>
    <t>Zámutov</t>
  </si>
  <si>
    <t>Záriečie</t>
  </si>
  <si>
    <t>Zástranie</t>
  </si>
  <si>
    <t>Zatín</t>
  </si>
  <si>
    <t>Záturčie</t>
  </si>
  <si>
    <t>Trenčianska Závada</t>
  </si>
  <si>
    <t>Závada pod Čiernym vrchom</t>
  </si>
  <si>
    <t>Závadka</t>
  </si>
  <si>
    <t>Závadka nad Hronom</t>
  </si>
  <si>
    <t>Zavar</t>
  </si>
  <si>
    <t>Orechové</t>
  </si>
  <si>
    <t>Istebník</t>
  </si>
  <si>
    <t>Závažná Poruba</t>
  </si>
  <si>
    <t>Závod</t>
  </si>
  <si>
    <t>Zázrivá</t>
  </si>
  <si>
    <t>Zbehňov</t>
  </si>
  <si>
    <t>Zbehy</t>
  </si>
  <si>
    <t>Zboj</t>
  </si>
  <si>
    <t>Zbojné</t>
  </si>
  <si>
    <t>Zbora</t>
  </si>
  <si>
    <t>Zborov</t>
  </si>
  <si>
    <t>Zborov nad Bystricou</t>
  </si>
  <si>
    <t>Dolné Zbrojníky</t>
  </si>
  <si>
    <t>Horné Zbrojníky</t>
  </si>
  <si>
    <t>Zbudská Belá</t>
  </si>
  <si>
    <t>Zbudské Dlhé</t>
  </si>
  <si>
    <t>Zbudský Rokytov</t>
  </si>
  <si>
    <t>Zbudza</t>
  </si>
  <si>
    <t>Zbyňov</t>
  </si>
  <si>
    <t>Zeleneč</t>
  </si>
  <si>
    <t>Zemianska Dedina</t>
  </si>
  <si>
    <t>Zemianska Olča</t>
  </si>
  <si>
    <t>Zemianska Závada</t>
  </si>
  <si>
    <t>Zemianske Kostoľany</t>
  </si>
  <si>
    <t>Zemianske Lieskové</t>
  </si>
  <si>
    <t>Zemianske Podhradie</t>
  </si>
  <si>
    <t>Zemianske Sady</t>
  </si>
  <si>
    <t>Zemiansky Kvašov</t>
  </si>
  <si>
    <t>Zemiansky Vrbovok</t>
  </si>
  <si>
    <t>Zemné</t>
  </si>
  <si>
    <t>Zemplín</t>
  </si>
  <si>
    <t>Stanča</t>
  </si>
  <si>
    <t>Úpor</t>
  </si>
  <si>
    <t>Zemplínsky Klečenov</t>
  </si>
  <si>
    <t>Zemplínska Široká</t>
  </si>
  <si>
    <t>Zemplínska Teplica</t>
  </si>
  <si>
    <t>Zemplínske Hámre</t>
  </si>
  <si>
    <t>Zemplínske Hradište</t>
  </si>
  <si>
    <t>Zemplínske Jastrabie</t>
  </si>
  <si>
    <t>Zemplínsky Branč</t>
  </si>
  <si>
    <t>Zlatá Baňa</t>
  </si>
  <si>
    <t>Zlatá Idka</t>
  </si>
  <si>
    <t>Zlaté</t>
  </si>
  <si>
    <t>Čenkovce</t>
  </si>
  <si>
    <t>Maslovce</t>
  </si>
  <si>
    <t>Rastice</t>
  </si>
  <si>
    <t>Prílepy</t>
  </si>
  <si>
    <t>Zlaté Moravce</t>
  </si>
  <si>
    <t>Zlatná na Ostrove</t>
  </si>
  <si>
    <t>Zlatník</t>
  </si>
  <si>
    <t>Zlatníky</t>
  </si>
  <si>
    <t>Hanzlíková</t>
  </si>
  <si>
    <t>Zlatovce</t>
  </si>
  <si>
    <t>Zliechov</t>
  </si>
  <si>
    <t>Zohor</t>
  </si>
  <si>
    <t>Zolná</t>
  </si>
  <si>
    <t>Zombor</t>
  </si>
  <si>
    <t>Zubák</t>
  </si>
  <si>
    <t>Zuberec</t>
  </si>
  <si>
    <t>Zubné</t>
  </si>
  <si>
    <t>Zubrohlava</t>
  </si>
  <si>
    <t>Zvala</t>
  </si>
  <si>
    <t>Zvolen</t>
  </si>
  <si>
    <t>Môťová</t>
  </si>
  <si>
    <t>Zvolenská Slatina</t>
  </si>
  <si>
    <t>Zvončín</t>
  </si>
  <si>
    <t>Žabokreky</t>
  </si>
  <si>
    <t>Žabokreky nad Nitrou</t>
  </si>
  <si>
    <t>Žakarovce</t>
  </si>
  <si>
    <t>Žakovce</t>
  </si>
  <si>
    <t>Žalobín</t>
  </si>
  <si>
    <t>Žarnov</t>
  </si>
  <si>
    <t>Žarnovica</t>
  </si>
  <si>
    <t>Žarnovická Huta</t>
  </si>
  <si>
    <t>Žaškov</t>
  </si>
  <si>
    <t>Žatkovce</t>
  </si>
  <si>
    <t>Žbince</t>
  </si>
  <si>
    <t>Ždaňa</t>
  </si>
  <si>
    <t>Tatranská Javorina</t>
  </si>
  <si>
    <t>Ždiar</t>
  </si>
  <si>
    <t>Žehňa</t>
  </si>
  <si>
    <t>Žehra</t>
  </si>
  <si>
    <t>Železná Breznica</t>
  </si>
  <si>
    <t>Železník</t>
  </si>
  <si>
    <t>Mikula</t>
  </si>
  <si>
    <t>Želiezovce</t>
  </si>
  <si>
    <t>Želmanovce</t>
  </si>
  <si>
    <t>Želovce</t>
  </si>
  <si>
    <t>Dolné Žemberovce</t>
  </si>
  <si>
    <t>Horné Žemberovce</t>
  </si>
  <si>
    <t>Žemliare</t>
  </si>
  <si>
    <t>Žiar</t>
  </si>
  <si>
    <t>Žiar nad Hronom</t>
  </si>
  <si>
    <t>Horné Opatovce</t>
  </si>
  <si>
    <t>Žibritov</t>
  </si>
  <si>
    <t>Žihárec</t>
  </si>
  <si>
    <t>Žikava</t>
  </si>
  <si>
    <t>Žilina</t>
  </si>
  <si>
    <t>Budatín</t>
  </si>
  <si>
    <t>Závodie</t>
  </si>
  <si>
    <t>Žilinská Lehota</t>
  </si>
  <si>
    <t>Žíp</t>
  </si>
  <si>
    <t>Žipov</t>
  </si>
  <si>
    <t>Žirany</t>
  </si>
  <si>
    <t>Kňažice</t>
  </si>
  <si>
    <t>Hoňovce</t>
  </si>
  <si>
    <t>Žitavce</t>
  </si>
  <si>
    <t>Radiša</t>
  </si>
  <si>
    <t>Žitná</t>
  </si>
  <si>
    <t>Žlkovce</t>
  </si>
  <si>
    <t>Župčany</t>
  </si>
  <si>
    <t>Župkov</t>
  </si>
  <si>
    <t>Horný chotár</t>
  </si>
  <si>
    <t>Čakýň</t>
  </si>
  <si>
    <t>Prostredný Vadičov</t>
  </si>
  <si>
    <t>Košické Hámre</t>
  </si>
  <si>
    <t>Malý Folkmar</t>
  </si>
  <si>
    <t>Valkov</t>
  </si>
  <si>
    <t>Pavlovo</t>
  </si>
  <si>
    <t>Malý Kazimír</t>
  </si>
  <si>
    <t>Ružín</t>
  </si>
  <si>
    <t>Brody</t>
  </si>
  <si>
    <t>Jazero</t>
  </si>
  <si>
    <t>Železiarne</t>
  </si>
  <si>
    <t>Valaškovce-Sever</t>
  </si>
  <si>
    <t>Malý Kýr</t>
  </si>
  <si>
    <t>Nemecký Svodín</t>
  </si>
  <si>
    <t>Nové Ťahanovce</t>
  </si>
  <si>
    <t>Grunt</t>
  </si>
  <si>
    <t>Skladná</t>
  </si>
  <si>
    <t>Nižná Úvrať</t>
  </si>
  <si>
    <t>Veľká tabuľa</t>
  </si>
  <si>
    <t>Svätý Štefan</t>
  </si>
  <si>
    <t>Nové</t>
  </si>
  <si>
    <t>Nový Horeš</t>
  </si>
  <si>
    <t>Stredná hora</t>
  </si>
  <si>
    <t>Záložná</t>
  </si>
  <si>
    <t>Rúbanice</t>
  </si>
  <si>
    <t>Primoravské lúky</t>
  </si>
  <si>
    <t>Záhajné</t>
  </si>
  <si>
    <t>Sedlište</t>
  </si>
  <si>
    <t>Sestrč</t>
  </si>
  <si>
    <t>Tichá dolina</t>
  </si>
  <si>
    <t>Poteho osada</t>
  </si>
  <si>
    <t>Ľubické Kúpele</t>
  </si>
  <si>
    <t>Ruskinovce</t>
  </si>
  <si>
    <t>Hniezdno</t>
  </si>
  <si>
    <t>Dvorce</t>
  </si>
  <si>
    <t>Lešť II</t>
  </si>
  <si>
    <t>Podjavorie II</t>
  </si>
  <si>
    <t>Nivky</t>
  </si>
  <si>
    <t>Obora</t>
  </si>
  <si>
    <t>Šranek</t>
  </si>
  <si>
    <t>Bažantnica</t>
  </si>
  <si>
    <t>Červený Kríž</t>
  </si>
  <si>
    <t>Riadok</t>
  </si>
  <si>
    <t>Turecký vrch</t>
  </si>
  <si>
    <t>Valaškovce-Stred</t>
  </si>
  <si>
    <t>Valaškovce-Juh</t>
  </si>
  <si>
    <t>CADASTRAL_UNIT_CODE</t>
  </si>
  <si>
    <t>CADASTRAL_UNIT_NAME</t>
  </si>
  <si>
    <t>MUNICIPALITY_ID</t>
  </si>
  <si>
    <t>Medvedzie</t>
  </si>
  <si>
    <t>MUNICIPALITY_CODE</t>
  </si>
  <si>
    <t>MUNICIPALITY_NAME</t>
  </si>
  <si>
    <t>DISTRICT_ID</t>
  </si>
  <si>
    <t>CADASTRAL_ADM_UNIT_ID</t>
  </si>
  <si>
    <t>Báb</t>
  </si>
  <si>
    <t>Bara</t>
  </si>
  <si>
    <t>Belá-Dulice</t>
  </si>
  <si>
    <t>Bošany</t>
  </si>
  <si>
    <t>Bratislava-Čunovo</t>
  </si>
  <si>
    <t>Bratislava-Devín</t>
  </si>
  <si>
    <t>Bratislava-Devínska Nová Ves</t>
  </si>
  <si>
    <t>Bratislava-Dúbravka</t>
  </si>
  <si>
    <t>Bratislava-Jarovce</t>
  </si>
  <si>
    <t>Bratislava-Karlova Ves</t>
  </si>
  <si>
    <t>Bratislava-Lamač</t>
  </si>
  <si>
    <t>Bratislava-Nové Mesto</t>
  </si>
  <si>
    <t>Bratislava-Petržalka</t>
  </si>
  <si>
    <t>Bratislava-Podunajské Biskupice</t>
  </si>
  <si>
    <t>Bratislava-Rača</t>
  </si>
  <si>
    <t>Bratislava-Rusovce</t>
  </si>
  <si>
    <t>Bratislava-Ružinov</t>
  </si>
  <si>
    <t>Bratislava-Staré Mesto</t>
  </si>
  <si>
    <t>Bratislava-Vajnory</t>
  </si>
  <si>
    <t>Bratislava-Vrakuňa</t>
  </si>
  <si>
    <t>Brestovany</t>
  </si>
  <si>
    <t>Brhlovce</t>
  </si>
  <si>
    <t>Bytča</t>
  </si>
  <si>
    <t>Bzince pod Javorinou</t>
  </si>
  <si>
    <t>Cabaj-Čápor</t>
  </si>
  <si>
    <t>Cerová</t>
  </si>
  <si>
    <t>Dačov Lom</t>
  </si>
  <si>
    <t>Devičany</t>
  </si>
  <si>
    <t>Družstevná pri Hornáde</t>
  </si>
  <si>
    <t>Dubovany</t>
  </si>
  <si>
    <t>Dubovce</t>
  </si>
  <si>
    <t>Dunajská Lužná</t>
  </si>
  <si>
    <t>Dvorníky-Včeláre</t>
  </si>
  <si>
    <t>Gemerské Teplice</t>
  </si>
  <si>
    <t>Gemerský Sad</t>
  </si>
  <si>
    <t>Hodruša-Hámre</t>
  </si>
  <si>
    <t>Holiare</t>
  </si>
  <si>
    <t>Holice</t>
  </si>
  <si>
    <t>Hontianske Moravce</t>
  </si>
  <si>
    <t>Hrnčiarovce nad Parnou</t>
  </si>
  <si>
    <t>Hrnčiarska Ves</t>
  </si>
  <si>
    <t>Hronovce</t>
  </si>
  <si>
    <t>Hruboňovo</t>
  </si>
  <si>
    <t>Chrenovec-Brusno</t>
  </si>
  <si>
    <t>Ihľany</t>
  </si>
  <si>
    <t>Jabloňovce</t>
  </si>
  <si>
    <t>Janíky</t>
  </si>
  <si>
    <t>Jaslovské Bohunice</t>
  </si>
  <si>
    <t>Kalná nad Hronom</t>
  </si>
  <si>
    <t>Kálnica</t>
  </si>
  <si>
    <t>Kazimír</t>
  </si>
  <si>
    <t>Kecerovce</t>
  </si>
  <si>
    <t>Kočín-Lančár</t>
  </si>
  <si>
    <t>Košecké Podhradie</t>
  </si>
  <si>
    <t>Košice-Barca</t>
  </si>
  <si>
    <t>Košice-Dargovských hrdinov</t>
  </si>
  <si>
    <t>Košice-Džungľa</t>
  </si>
  <si>
    <t>Košice-Juh</t>
  </si>
  <si>
    <t>Košice-Kavečany</t>
  </si>
  <si>
    <t>Košice-Košická Nová Ves</t>
  </si>
  <si>
    <t>Košice-Krásna</t>
  </si>
  <si>
    <t>Košice-Lorinčík</t>
  </si>
  <si>
    <t>Košice-Luník IX</t>
  </si>
  <si>
    <t>Košice-Myslava</t>
  </si>
  <si>
    <t>Košice-Nad jazerom</t>
  </si>
  <si>
    <t>Košice-Pereš</t>
  </si>
  <si>
    <t>Košice-Poľov</t>
  </si>
  <si>
    <t>Košice-Sever</t>
  </si>
  <si>
    <t>Košice-Sídlisko KVP</t>
  </si>
  <si>
    <t>Košice-Sídlisko Ťahanovce</t>
  </si>
  <si>
    <t>Košice-Staré Mesto</t>
  </si>
  <si>
    <t>Košice-Šaca</t>
  </si>
  <si>
    <t>Košice-Šebastovce</t>
  </si>
  <si>
    <t>Košice-Ťahanovce</t>
  </si>
  <si>
    <t>Košice-Vyšné Opátske</t>
  </si>
  <si>
    <t>Košice-Západ</t>
  </si>
  <si>
    <t>Košické Oľšany</t>
  </si>
  <si>
    <t>Kráľovce-Krnišov</t>
  </si>
  <si>
    <t>Krškany</t>
  </si>
  <si>
    <t>Kútniky</t>
  </si>
  <si>
    <t>Ladomerská Vieska</t>
  </si>
  <si>
    <t>Lehnice</t>
  </si>
  <si>
    <t>Lehota nad Rimavicou</t>
  </si>
  <si>
    <t>Lešť (vojenský obvod)</t>
  </si>
  <si>
    <t>Leváre</t>
  </si>
  <si>
    <t>Lietavská Svinná-Babkov</t>
  </si>
  <si>
    <t>Lovčica-Trubín</t>
  </si>
  <si>
    <t>Ľubeľa</t>
  </si>
  <si>
    <t>Lúč na Ostrove</t>
  </si>
  <si>
    <t>Lúčnica nad Žitavou</t>
  </si>
  <si>
    <t>Magnezitovce</t>
  </si>
  <si>
    <t>Maňa</t>
  </si>
  <si>
    <t>Maršová-Rašov</t>
  </si>
  <si>
    <t>Maťovské Vojkovce</t>
  </si>
  <si>
    <t>Melčice-Lieskové</t>
  </si>
  <si>
    <t>Motešice</t>
  </si>
  <si>
    <t>Nedožery-Brezany</t>
  </si>
  <si>
    <t>Nitrica</t>
  </si>
  <si>
    <t>Nová Dedina</t>
  </si>
  <si>
    <t>Nová Dedinka</t>
  </si>
  <si>
    <t>Nový Ruskov</t>
  </si>
  <si>
    <t>Nový Život</t>
  </si>
  <si>
    <t>Oľka</t>
  </si>
  <si>
    <t>Oravská Poruba</t>
  </si>
  <si>
    <t>Oslany</t>
  </si>
  <si>
    <t>Ostratice</t>
  </si>
  <si>
    <t>Perín-Chym</t>
  </si>
  <si>
    <t>Podhájska</t>
  </si>
  <si>
    <t>Popudinské Močidľany</t>
  </si>
  <si>
    <t>Povoda</t>
  </si>
  <si>
    <t>Príbelce</t>
  </si>
  <si>
    <t>Raslavice</t>
  </si>
  <si>
    <t>Rokytov pri Humennom</t>
  </si>
  <si>
    <t>Rykynčice</t>
  </si>
  <si>
    <t>Sady nad Torysou</t>
  </si>
  <si>
    <t>Sebedín-Bečov</t>
  </si>
  <si>
    <t>Sikenica</t>
  </si>
  <si>
    <t>Skalka nad Váhom</t>
  </si>
  <si>
    <t>Sľažany</t>
  </si>
  <si>
    <t>Sliač</t>
  </si>
  <si>
    <t>Slovinky</t>
  </si>
  <si>
    <t>Sokolce</t>
  </si>
  <si>
    <t>Sulín</t>
  </si>
  <si>
    <t>Svodín</t>
  </si>
  <si>
    <t>Šarovce</t>
  </si>
  <si>
    <t>Šaštín-Stráže</t>
  </si>
  <si>
    <t>Šenkvice</t>
  </si>
  <si>
    <t>Štefanov nad Oravou</t>
  </si>
  <si>
    <t>Štitáre</t>
  </si>
  <si>
    <t>Šuňava</t>
  </si>
  <si>
    <t>Šúrovce</t>
  </si>
  <si>
    <t>Šútovce</t>
  </si>
  <si>
    <t>Tekovský Hrádok</t>
  </si>
  <si>
    <t>Terany</t>
  </si>
  <si>
    <t>Tesárske Mlyňany</t>
  </si>
  <si>
    <t>Topoľníky</t>
  </si>
  <si>
    <t>Trenčianske Stankovce</t>
  </si>
  <si>
    <t>Turček</t>
  </si>
  <si>
    <t>Valaškovce (vojenský obvod)</t>
  </si>
  <si>
    <t>Valice</t>
  </si>
  <si>
    <t>Veľké Držkovce</t>
  </si>
  <si>
    <t>Veľké Turovce</t>
  </si>
  <si>
    <t>Veľký Blh</t>
  </si>
  <si>
    <t>Veľký Ďur</t>
  </si>
  <si>
    <t>Veľký Klíž</t>
  </si>
  <si>
    <t>Vinodol</t>
  </si>
  <si>
    <t>Vinosady</t>
  </si>
  <si>
    <t>Vysoké Tatry</t>
  </si>
  <si>
    <t>Záhorie (vojenský obvod)</t>
  </si>
  <si>
    <t>Zbrojníky</t>
  </si>
  <si>
    <t>Zemplínska Nová Ves</t>
  </si>
  <si>
    <t>Zlaté Klasy</t>
  </si>
  <si>
    <t>Žemberovce</t>
  </si>
  <si>
    <t>Žitavany</t>
  </si>
  <si>
    <t>Žitná-Radiša</t>
  </si>
  <si>
    <t>DISTRICT_CODE</t>
  </si>
  <si>
    <t>DISTRICT_NAME</t>
  </si>
  <si>
    <t>REGION_ID</t>
  </si>
  <si>
    <t>Bratislava I</t>
  </si>
  <si>
    <t>Bratislava II</t>
  </si>
  <si>
    <t>Bratislava III</t>
  </si>
  <si>
    <t>Košice II</t>
  </si>
  <si>
    <t>Bratislava IV</t>
  </si>
  <si>
    <t>Košice I</t>
  </si>
  <si>
    <t>Košice III</t>
  </si>
  <si>
    <t>Košice IV</t>
  </si>
  <si>
    <t>Bratislava V</t>
  </si>
  <si>
    <t>REGION_CODE</t>
  </si>
  <si>
    <t>REGION_NAME</t>
  </si>
  <si>
    <t>Bratislavský kraj</t>
  </si>
  <si>
    <t>Trnavský kraj</t>
  </si>
  <si>
    <t>Trenčiansky kraj</t>
  </si>
  <si>
    <t>Nitriansky kraj</t>
  </si>
  <si>
    <t>Žilinský kraj</t>
  </si>
  <si>
    <t>Prešovský kraj</t>
  </si>
  <si>
    <t>Košický kraj</t>
  </si>
  <si>
    <t>cena za rok a jeden kraj</t>
  </si>
  <si>
    <t>zobrazovať v cenníku</t>
  </si>
  <si>
    <t>nie</t>
  </si>
  <si>
    <t xml:space="preserve">nie </t>
  </si>
  <si>
    <t>eskn-vlastnik</t>
  </si>
  <si>
    <t>áno</t>
  </si>
  <si>
    <t xml:space="preserve">limit </t>
  </si>
  <si>
    <t>volaní ročne</t>
  </si>
  <si>
    <t>ročne</t>
  </si>
  <si>
    <t>denne</t>
  </si>
  <si>
    <t>VUC</t>
  </si>
  <si>
    <t>geodet zadarmo</t>
  </si>
  <si>
    <t>nemá význam</t>
  </si>
  <si>
    <t>eskn-LVSR</t>
  </si>
  <si>
    <t>eskn-vlastníkSR</t>
  </si>
  <si>
    <t>Code</t>
  </si>
  <si>
    <t>Service</t>
  </si>
  <si>
    <t>Entity</t>
  </si>
  <si>
    <t>Explanation</t>
  </si>
  <si>
    <t>DatSelectMethod</t>
  </si>
  <si>
    <t>KOSet</t>
  </si>
  <si>
    <t>RootURLProd</t>
  </si>
  <si>
    <t>RootURLTest</t>
  </si>
  <si>
    <t>TemplateFirewallPROD</t>
  </si>
  <si>
    <t>TemplateFirewallPRODSample</t>
  </si>
  <si>
    <t>In Pattern</t>
  </si>
  <si>
    <t>2_1</t>
  </si>
  <si>
    <t>2_3</t>
  </si>
  <si>
    <t>2_2</t>
  </si>
  <si>
    <t>2_4</t>
  </si>
  <si>
    <t>2_5</t>
  </si>
  <si>
    <t>2_6</t>
  </si>
  <si>
    <t>2_7</t>
  </si>
  <si>
    <t>2_8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</si>
</sst>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\ &quot;€&quot;"/>
  </numFmts>
  <fonts count="10" x14ac:knownFonts="1">
    <font>
      <sz val="11"/>
      <color theme="1"/>
      <name val="Calibri"/>
      <family val="2"/>
      <charset val="238"/>
      <scheme val="minor"/>
    </font>
    <font>
      <sz val="9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9"/>
      <color rgb="FFFF0000"/>
      <name val="Calibri"/>
      <family val="2"/>
      <charset val="238"/>
      <scheme val="minor"/>
    </font>
    <font>
      <b/>
      <sz val="9"/>
      <name val="Calibri"/>
      <family val="2"/>
      <charset val="238"/>
      <scheme val="minor"/>
    </font>
    <font>
      <b/>
      <sz val="9"/>
      <color rgb="FFFF0000"/>
      <name val="Calibri"/>
      <family val="2"/>
      <charset val="238"/>
      <scheme val="minor"/>
    </font>
    <font>
      <sz val="11"/>
      <color theme="1"/>
      <name val="Times New Roman"/>
      <family val="1"/>
      <charset val="238"/>
    </font>
    <font>
      <b/>
      <sz val="11"/>
      <color theme="1"/>
      <name val="Times New Roman"/>
      <family val="1"/>
      <charset val="238"/>
    </font>
    <font>
      <b/>
      <u/>
      <sz val="11"/>
      <color theme="1"/>
      <name val="Calibri"/>
      <family val="2"/>
      <charset val="23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 applyAlignment="1">
      <alignment horizontal="right"/>
    </xf>
    <xf numFmtId="0" fontId="1" fillId="0" borderId="0" xfId="0" applyFont="1" applyFill="1"/>
    <xf numFmtId="0" fontId="1" fillId="0" borderId="0" xfId="0" applyFont="1"/>
    <xf numFmtId="0" fontId="3" fillId="0" borderId="0" xfId="0" applyFont="1"/>
    <xf numFmtId="0" fontId="0" fillId="0" borderId="0" xfId="0" applyAlignment="1">
      <alignment horizontal="right"/>
    </xf>
    <xf numFmtId="0" fontId="0" fillId="0" borderId="0" xfId="0" applyFont="1"/>
    <xf numFmtId="0" fontId="1" fillId="0" borderId="0" xfId="0" applyFont="1" applyAlignment="1"/>
    <xf numFmtId="0" fontId="1" fillId="0" borderId="0" xfId="0" applyFont="1" applyFill="1" applyAlignment="1"/>
    <xf numFmtId="49" fontId="0" fillId="0" borderId="0" xfId="0" applyNumberFormat="1" applyAlignment="1">
      <alignment horizontal="right"/>
    </xf>
    <xf numFmtId="0" fontId="4" fillId="0" borderId="0" xfId="0" applyFont="1" applyFill="1" applyAlignment="1"/>
    <xf numFmtId="0" fontId="5" fillId="0" borderId="1" xfId="0" applyFont="1" applyBorder="1"/>
    <xf numFmtId="0" fontId="5" fillId="2" borderId="1" xfId="0" applyFont="1" applyFill="1" applyBorder="1"/>
    <xf numFmtId="0" fontId="6" fillId="3" borderId="1" xfId="0" applyFont="1" applyFill="1" applyBorder="1"/>
    <xf numFmtId="0" fontId="4" fillId="0" borderId="0" xfId="0" applyFont="1" applyFill="1"/>
    <xf numFmtId="0" fontId="1" fillId="0" borderId="0" xfId="0" applyFont="1" applyBorder="1" applyAlignment="1">
      <alignment vertical="top"/>
    </xf>
    <xf numFmtId="0" fontId="4" fillId="0" borderId="0" xfId="0" applyFont="1" applyBorder="1" applyAlignment="1">
      <alignment vertical="top" wrapText="1"/>
    </xf>
    <xf numFmtId="0" fontId="1" fillId="0" borderId="0" xfId="0" applyFont="1" applyBorder="1" applyAlignment="1">
      <alignment vertical="top" wrapText="1"/>
    </xf>
    <xf numFmtId="0" fontId="1" fillId="4" borderId="0" xfId="0" applyFont="1" applyFill="1"/>
    <xf numFmtId="0" fontId="4" fillId="0" borderId="0" xfId="0" applyFont="1"/>
    <xf numFmtId="0" fontId="4" fillId="0" borderId="0" xfId="0" applyFont="1" applyAlignment="1"/>
    <xf numFmtId="0" fontId="7" fillId="0" borderId="0" xfId="0" applyFont="1"/>
    <xf numFmtId="0" fontId="7" fillId="0" borderId="2" xfId="0" applyFont="1" applyBorder="1"/>
    <xf numFmtId="0" fontId="8" fillId="5" borderId="2" xfId="0" applyFont="1" applyFill="1" applyBorder="1"/>
    <xf numFmtId="0" fontId="0" fillId="0" borderId="2" xfId="0" applyBorder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7" fillId="0" borderId="2" xfId="0" applyFont="1" applyBorder="1" applyAlignment="1">
      <alignment vertical="center"/>
    </xf>
    <xf numFmtId="0" fontId="3" fillId="0" borderId="2" xfId="0" applyFont="1" applyBorder="1" applyAlignment="1">
      <alignment horizontal="center"/>
    </xf>
    <xf numFmtId="0" fontId="9" fillId="5" borderId="2" xfId="0" applyFont="1" applyFill="1" applyBorder="1"/>
    <xf numFmtId="0" fontId="9" fillId="5" borderId="2" xfId="0" applyFont="1" applyFill="1" applyBorder="1" applyAlignment="1">
      <alignment horizontal="center"/>
    </xf>
    <xf numFmtId="164" fontId="0" fillId="5" borderId="2" xfId="0" applyNumberFormat="1" applyFill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3" fontId="0" fillId="0" borderId="0" xfId="0" applyNumberFormat="1"/>
    <xf numFmtId="3" fontId="7" fillId="0" borderId="0" xfId="0" applyNumberFormat="1" applyFont="1"/>
    <xf numFmtId="0" fontId="7" fillId="0" borderId="2" xfId="0" applyFont="1" applyBorder="1" applyAlignment="1">
      <alignment horizontal="center"/>
    </xf>
    <xf numFmtId="0" fontId="7" fillId="5" borderId="2" xfId="0" applyFont="1" applyFill="1" applyBorder="1"/>
    <xf numFmtId="0" fontId="1" fillId="6" borderId="0" xfId="0" applyFont="1" applyFill="1" applyAlignment="1"/>
    <xf numFmtId="0" fontId="4" fillId="7" borderId="0" xfId="0" applyFont="1" applyFill="1" applyAlignment="1"/>
    <xf numFmtId="16" fontId="4" fillId="0" borderId="0" xfId="0" applyNumberFormat="1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 filterMode="1">
    <pageSetUpPr fitToPage="1"/>
  </sheetPr>
  <dimension ref="A1:AD306"/>
  <sheetViews>
    <sheetView tabSelected="1" zoomScale="130" zoomScaleNormal="130" workbookViewId="0">
      <pane xSplit="5" ySplit="1" topLeftCell="H80" activePane="bottomRight" state="frozen"/>
      <selection pane="topRight" activeCell="E1" sqref="E1"/>
      <selection pane="bottomLeft" activeCell="A4" sqref="A4"/>
      <selection pane="bottomRight" activeCell="I74" sqref="I74:I95"/>
    </sheetView>
  </sheetViews>
  <sheetFormatPr defaultColWidth="9.140625" defaultRowHeight="12" x14ac:dyDescent="0.2"/>
  <cols>
    <col min="1" max="1" width="7.140625" style="3" customWidth="1"/>
    <col min="2" max="2" width="28.7109375" style="3" customWidth="1"/>
    <col min="3" max="3" width="29.85546875" style="3" customWidth="1"/>
    <col min="4" max="4" width="26.7109375" style="3" customWidth="1"/>
    <col min="5" max="5" width="16.28515625" style="3" customWidth="1"/>
    <col min="6" max="6" width="34.42578125" style="3" customWidth="1"/>
    <col min="7" max="7" width="40.7109375" style="3" customWidth="1"/>
    <col min="8" max="8" width="10.85546875" style="3" customWidth="1"/>
    <col min="9" max="9" width="89.5703125" style="3" customWidth="1"/>
    <col min="10" max="10" width="60.42578125" style="2" customWidth="1"/>
    <col min="11" max="11" width="20" style="3" customWidth="1"/>
    <col min="12" max="16384" width="9.140625" style="3"/>
  </cols>
  <sheetData>
    <row r="1" spans="1:30" s="11" customFormat="1" ht="12.75" thickBot="1" x14ac:dyDescent="0.25">
      <c r="A1" s="11" t="s">
        <v>4328</v>
      </c>
      <c r="B1" s="11" t="s">
        <v>4329</v>
      </c>
      <c r="C1" s="11" t="s">
        <v>4330</v>
      </c>
      <c r="D1" s="11" t="s">
        <v>4331</v>
      </c>
      <c r="E1" s="11" t="s">
        <v>4332</v>
      </c>
      <c r="F1" s="11" t="s">
        <v>4334</v>
      </c>
      <c r="G1" s="11" t="s">
        <v>4335</v>
      </c>
      <c r="H1" s="11" t="s">
        <v>4338</v>
      </c>
      <c r="I1" s="11" t="s">
        <v>4336</v>
      </c>
      <c r="J1" s="12" t="s">
        <v>4337</v>
      </c>
      <c r="K1" s="13" t="s">
        <v>4333</v>
      </c>
    </row>
    <row r="2" spans="1:30" hidden="1" x14ac:dyDescent="0.2">
      <c r="A2" s="3" t="str">
        <f>CONCATENATE(MID(B2,3,4),MID(B2,7,2))</f>
        <v>2.1.13</v>
      </c>
      <c r="B2" s="3" t="s">
        <v>70</v>
      </c>
      <c r="D2" s="2" t="s">
        <v>71</v>
      </c>
      <c r="E2" s="3" t="s">
        <v>72</v>
      </c>
      <c r="F2" s="8" t="s">
        <v>421</v>
      </c>
      <c r="G2" s="8" t="s">
        <v>427</v>
      </c>
      <c r="H2" s="8"/>
      <c r="I2" s="8" t="s">
        <v>587</v>
      </c>
      <c r="J2" s="8" t="s">
        <v>291</v>
      </c>
      <c r="K2" s="7" t="s">
        <v>679</v>
      </c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</row>
    <row r="3" spans="1:30" s="2" customFormat="1" hidden="1" x14ac:dyDescent="0.2">
      <c r="A3" s="3" t="str">
        <f t="shared" ref="A3:A66" si="0">CONCATENATE(MID(B3,3,4),MID(B3,7,2))</f>
        <v>2.1.13</v>
      </c>
      <c r="B3" s="3" t="s">
        <v>70</v>
      </c>
      <c r="C3" s="3"/>
      <c r="D3" s="2" t="s">
        <v>71</v>
      </c>
      <c r="E3" s="3" t="s">
        <v>72</v>
      </c>
      <c r="F3" s="8" t="s">
        <v>421</v>
      </c>
      <c r="G3" s="8" t="s">
        <v>427</v>
      </c>
      <c r="H3" s="8"/>
      <c r="I3" s="8" t="s">
        <v>588</v>
      </c>
      <c r="J3" s="8" t="s">
        <v>384</v>
      </c>
      <c r="K3" s="7" t="s">
        <v>679</v>
      </c>
      <c r="L3" s="7"/>
      <c r="M3" s="7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</row>
    <row r="4" spans="1:30" s="2" customFormat="1" hidden="1" x14ac:dyDescent="0.2">
      <c r="A4" s="3" t="str">
        <f t="shared" si="0"/>
        <v>2.1.13</v>
      </c>
      <c r="B4" s="3" t="s">
        <v>70</v>
      </c>
      <c r="C4" s="3"/>
      <c r="D4" s="2" t="s">
        <v>71</v>
      </c>
      <c r="E4" s="2" t="s">
        <v>45</v>
      </c>
      <c r="F4" s="8" t="s">
        <v>421</v>
      </c>
      <c r="G4" s="8" t="s">
        <v>427</v>
      </c>
      <c r="H4" s="8"/>
      <c r="I4" s="8" t="s">
        <v>589</v>
      </c>
      <c r="J4" s="8" t="s">
        <v>292</v>
      </c>
      <c r="K4" s="7" t="s">
        <v>679</v>
      </c>
      <c r="L4" s="7"/>
      <c r="M4" s="7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</row>
    <row r="5" spans="1:30" s="2" customFormat="1" hidden="1" x14ac:dyDescent="0.2">
      <c r="A5" s="3" t="str">
        <f t="shared" si="0"/>
        <v>2.1.13</v>
      </c>
      <c r="B5" s="3" t="s">
        <v>70</v>
      </c>
      <c r="C5" s="3"/>
      <c r="D5" s="2" t="s">
        <v>71</v>
      </c>
      <c r="E5" s="2" t="s">
        <v>45</v>
      </c>
      <c r="F5" s="8" t="s">
        <v>421</v>
      </c>
      <c r="G5" s="8" t="s">
        <v>427</v>
      </c>
      <c r="H5" s="8"/>
      <c r="I5" s="8" t="s">
        <v>590</v>
      </c>
      <c r="J5" s="8" t="s">
        <v>385</v>
      </c>
      <c r="K5" s="7" t="s">
        <v>679</v>
      </c>
      <c r="L5" s="7"/>
      <c r="M5" s="7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</row>
    <row r="6" spans="1:30" s="2" customFormat="1" hidden="1" x14ac:dyDescent="0.2">
      <c r="A6" s="3" t="str">
        <f t="shared" si="0"/>
        <v>2.1.13</v>
      </c>
      <c r="B6" s="3" t="s">
        <v>70</v>
      </c>
      <c r="C6" s="3"/>
      <c r="D6" s="3" t="s">
        <v>73</v>
      </c>
      <c r="E6" s="3" t="s">
        <v>72</v>
      </c>
      <c r="F6" s="8" t="s">
        <v>421</v>
      </c>
      <c r="G6" s="8" t="s">
        <v>427</v>
      </c>
      <c r="H6" s="8"/>
      <c r="I6" s="8" t="s">
        <v>591</v>
      </c>
      <c r="J6" s="8" t="s">
        <v>293</v>
      </c>
      <c r="K6" s="7" t="s">
        <v>679</v>
      </c>
      <c r="L6" s="7"/>
      <c r="M6" s="7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</row>
    <row r="7" spans="1:30" s="2" customFormat="1" hidden="1" x14ac:dyDescent="0.2">
      <c r="A7" s="3" t="str">
        <f t="shared" si="0"/>
        <v>2.1.13</v>
      </c>
      <c r="B7" s="3" t="s">
        <v>70</v>
      </c>
      <c r="C7" s="3"/>
      <c r="D7" s="3" t="s">
        <v>73</v>
      </c>
      <c r="E7" s="3" t="s">
        <v>72</v>
      </c>
      <c r="F7" s="8" t="s">
        <v>421</v>
      </c>
      <c r="G7" s="8" t="s">
        <v>427</v>
      </c>
      <c r="H7" s="8"/>
      <c r="I7" s="8" t="s">
        <v>592</v>
      </c>
      <c r="J7" s="8" t="s">
        <v>386</v>
      </c>
      <c r="K7" s="7" t="s">
        <v>679</v>
      </c>
      <c r="L7" s="7"/>
      <c r="M7" s="7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</row>
    <row r="8" spans="1:30" s="14" customFormat="1" hidden="1" x14ac:dyDescent="0.2">
      <c r="A8" s="3" t="str">
        <f t="shared" si="0"/>
        <v>2.1.13</v>
      </c>
      <c r="B8" s="3" t="s">
        <v>70</v>
      </c>
      <c r="C8" s="3"/>
      <c r="D8" s="3" t="s">
        <v>73</v>
      </c>
      <c r="E8" s="3" t="s">
        <v>45</v>
      </c>
      <c r="F8" s="8" t="s">
        <v>421</v>
      </c>
      <c r="G8" s="8" t="s">
        <v>427</v>
      </c>
      <c r="H8" s="8"/>
      <c r="I8" s="8" t="s">
        <v>593</v>
      </c>
      <c r="J8" s="8" t="s">
        <v>294</v>
      </c>
      <c r="K8" s="7" t="s">
        <v>679</v>
      </c>
      <c r="L8" s="7"/>
      <c r="M8" s="7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</row>
    <row r="9" spans="1:30" s="2" customFormat="1" hidden="1" x14ac:dyDescent="0.2">
      <c r="A9" s="3" t="str">
        <f t="shared" si="0"/>
        <v>2.1.13</v>
      </c>
      <c r="B9" s="3" t="s">
        <v>70</v>
      </c>
      <c r="C9" s="3"/>
      <c r="D9" s="3" t="s">
        <v>73</v>
      </c>
      <c r="E9" s="3" t="s">
        <v>45</v>
      </c>
      <c r="F9" s="8" t="s">
        <v>421</v>
      </c>
      <c r="G9" s="8" t="s">
        <v>427</v>
      </c>
      <c r="H9" s="8"/>
      <c r="I9" s="8" t="s">
        <v>594</v>
      </c>
      <c r="J9" s="8" t="s">
        <v>387</v>
      </c>
      <c r="K9" s="7" t="s">
        <v>679</v>
      </c>
      <c r="L9" s="7"/>
      <c r="M9" s="7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</row>
    <row r="10" spans="1:30" s="2" customFormat="1" hidden="1" x14ac:dyDescent="0.2">
      <c r="A10" s="3" t="str">
        <f t="shared" si="0"/>
        <v>2.1.14</v>
      </c>
      <c r="B10" s="3" t="s">
        <v>74</v>
      </c>
      <c r="C10" s="3"/>
      <c r="D10" s="3" t="s">
        <v>107</v>
      </c>
      <c r="E10" s="3" t="s">
        <v>72</v>
      </c>
      <c r="F10" s="8" t="s">
        <v>421</v>
      </c>
      <c r="G10" s="8" t="s">
        <v>427</v>
      </c>
      <c r="H10" s="8"/>
      <c r="I10" s="8" t="s">
        <v>599</v>
      </c>
      <c r="J10" s="8" t="s">
        <v>297</v>
      </c>
      <c r="K10" s="7" t="s">
        <v>679</v>
      </c>
      <c r="L10" s="7"/>
      <c r="M10" s="7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</row>
    <row r="11" spans="1:30" s="2" customFormat="1" hidden="1" x14ac:dyDescent="0.2">
      <c r="A11" s="3" t="str">
        <f t="shared" si="0"/>
        <v>2.1.14</v>
      </c>
      <c r="B11" s="3" t="s">
        <v>74</v>
      </c>
      <c r="C11" s="3"/>
      <c r="D11" s="3" t="s">
        <v>107</v>
      </c>
      <c r="E11" s="3" t="s">
        <v>72</v>
      </c>
      <c r="F11" s="8" t="s">
        <v>421</v>
      </c>
      <c r="G11" s="8" t="s">
        <v>427</v>
      </c>
      <c r="H11" s="8"/>
      <c r="I11" s="8" t="s">
        <v>600</v>
      </c>
      <c r="J11" s="8" t="s">
        <v>390</v>
      </c>
      <c r="K11" s="7" t="s">
        <v>679</v>
      </c>
      <c r="L11" s="7"/>
      <c r="M11" s="7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</row>
    <row r="12" spans="1:30" s="2" customFormat="1" hidden="1" x14ac:dyDescent="0.2">
      <c r="A12" s="3" t="str">
        <f t="shared" si="0"/>
        <v>2.1.14</v>
      </c>
      <c r="B12" s="3" t="s">
        <v>74</v>
      </c>
      <c r="C12" s="3"/>
      <c r="D12" s="3" t="s">
        <v>107</v>
      </c>
      <c r="E12" s="3" t="s">
        <v>45</v>
      </c>
      <c r="F12" s="8" t="s">
        <v>421</v>
      </c>
      <c r="G12" s="8" t="s">
        <v>427</v>
      </c>
      <c r="H12" s="8"/>
      <c r="I12" s="8" t="s">
        <v>601</v>
      </c>
      <c r="J12" s="8" t="s">
        <v>298</v>
      </c>
      <c r="K12" s="7" t="s">
        <v>679</v>
      </c>
      <c r="L12" s="7"/>
      <c r="M12" s="7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</row>
    <row r="13" spans="1:30" s="2" customFormat="1" hidden="1" x14ac:dyDescent="0.2">
      <c r="A13" s="3" t="str">
        <f t="shared" si="0"/>
        <v>2.1.14</v>
      </c>
      <c r="B13" s="3" t="s">
        <v>74</v>
      </c>
      <c r="C13" s="3"/>
      <c r="D13" s="3" t="s">
        <v>107</v>
      </c>
      <c r="E13" s="3" t="s">
        <v>45</v>
      </c>
      <c r="F13" s="8" t="s">
        <v>421</v>
      </c>
      <c r="G13" s="8" t="s">
        <v>427</v>
      </c>
      <c r="H13" s="8"/>
      <c r="I13" s="8" t="s">
        <v>602</v>
      </c>
      <c r="J13" s="8" t="s">
        <v>391</v>
      </c>
      <c r="K13" s="7" t="s">
        <v>679</v>
      </c>
      <c r="L13" s="7"/>
      <c r="M13" s="7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</row>
    <row r="14" spans="1:30" s="2" customFormat="1" hidden="1" x14ac:dyDescent="0.2">
      <c r="A14" s="3" t="str">
        <f t="shared" si="0"/>
        <v>2.1.14</v>
      </c>
      <c r="B14" s="3" t="s">
        <v>74</v>
      </c>
      <c r="C14" s="3"/>
      <c r="D14" s="3" t="s">
        <v>75</v>
      </c>
      <c r="E14" s="3" t="s">
        <v>72</v>
      </c>
      <c r="F14" s="8" t="s">
        <v>421</v>
      </c>
      <c r="G14" s="8" t="s">
        <v>427</v>
      </c>
      <c r="H14" s="8"/>
      <c r="I14" s="8" t="s">
        <v>595</v>
      </c>
      <c r="J14" s="8" t="s">
        <v>295</v>
      </c>
      <c r="K14" s="7" t="s">
        <v>679</v>
      </c>
      <c r="L14" s="7"/>
      <c r="M14" s="7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</row>
    <row r="15" spans="1:30" s="2" customFormat="1" hidden="1" x14ac:dyDescent="0.2">
      <c r="A15" s="3" t="str">
        <f t="shared" si="0"/>
        <v>2.1.14</v>
      </c>
      <c r="B15" s="3" t="s">
        <v>74</v>
      </c>
      <c r="C15" s="3"/>
      <c r="D15" s="3" t="s">
        <v>75</v>
      </c>
      <c r="E15" s="3" t="s">
        <v>72</v>
      </c>
      <c r="F15" s="8" t="s">
        <v>421</v>
      </c>
      <c r="G15" s="8" t="s">
        <v>427</v>
      </c>
      <c r="H15" s="8"/>
      <c r="I15" s="8" t="s">
        <v>596</v>
      </c>
      <c r="J15" s="8" t="s">
        <v>388</v>
      </c>
      <c r="K15" s="7" t="s">
        <v>679</v>
      </c>
      <c r="L15" s="7"/>
      <c r="M15" s="7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</row>
    <row r="16" spans="1:30" s="2" customFormat="1" hidden="1" x14ac:dyDescent="0.2">
      <c r="A16" s="3" t="str">
        <f t="shared" si="0"/>
        <v>2.1.14</v>
      </c>
      <c r="B16" s="3" t="s">
        <v>74</v>
      </c>
      <c r="C16" s="3"/>
      <c r="D16" s="3" t="s">
        <v>75</v>
      </c>
      <c r="E16" s="3" t="s">
        <v>45</v>
      </c>
      <c r="F16" s="8" t="s">
        <v>421</v>
      </c>
      <c r="G16" s="8" t="s">
        <v>427</v>
      </c>
      <c r="H16" s="8"/>
      <c r="I16" s="8" t="s">
        <v>597</v>
      </c>
      <c r="J16" s="8" t="s">
        <v>296</v>
      </c>
      <c r="K16" s="7" t="s">
        <v>679</v>
      </c>
      <c r="L16" s="7"/>
      <c r="M16" s="7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</row>
    <row r="17" spans="1:30" s="2" customFormat="1" hidden="1" x14ac:dyDescent="0.2">
      <c r="A17" s="3" t="str">
        <f t="shared" si="0"/>
        <v>2.1.14</v>
      </c>
      <c r="B17" s="3" t="s">
        <v>74</v>
      </c>
      <c r="C17" s="3"/>
      <c r="D17" s="3" t="s">
        <v>75</v>
      </c>
      <c r="E17" s="3" t="s">
        <v>45</v>
      </c>
      <c r="F17" s="8" t="s">
        <v>421</v>
      </c>
      <c r="G17" s="8" t="s">
        <v>427</v>
      </c>
      <c r="H17" s="8"/>
      <c r="I17" s="8" t="s">
        <v>598</v>
      </c>
      <c r="J17" s="8" t="s">
        <v>389</v>
      </c>
      <c r="K17" s="7" t="s">
        <v>679</v>
      </c>
      <c r="L17" s="7"/>
      <c r="M17" s="7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</row>
    <row r="18" spans="1:30" s="2" customFormat="1" hidden="1" x14ac:dyDescent="0.2">
      <c r="A18" s="3" t="str">
        <f t="shared" si="0"/>
        <v>2.1.15</v>
      </c>
      <c r="B18" s="3" t="s">
        <v>76</v>
      </c>
      <c r="C18" s="3"/>
      <c r="D18" s="3" t="s">
        <v>112</v>
      </c>
      <c r="E18" s="3" t="s">
        <v>52</v>
      </c>
      <c r="F18" s="8" t="s">
        <v>421</v>
      </c>
      <c r="G18" s="8" t="s">
        <v>427</v>
      </c>
      <c r="H18" s="8"/>
      <c r="I18" s="8" t="s">
        <v>603</v>
      </c>
      <c r="J18" s="8" t="s">
        <v>299</v>
      </c>
      <c r="K18" s="7" t="s">
        <v>680</v>
      </c>
      <c r="L18" s="7"/>
      <c r="M18" s="7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</row>
    <row r="19" spans="1:30" s="2" customFormat="1" hidden="1" x14ac:dyDescent="0.2">
      <c r="A19" s="3" t="str">
        <f t="shared" si="0"/>
        <v>2.1.15</v>
      </c>
      <c r="B19" s="3" t="s">
        <v>76</v>
      </c>
      <c r="C19" s="3"/>
      <c r="D19" s="3" t="s">
        <v>112</v>
      </c>
      <c r="E19" s="3" t="s">
        <v>52</v>
      </c>
      <c r="F19" s="8" t="s">
        <v>421</v>
      </c>
      <c r="G19" s="8" t="s">
        <v>427</v>
      </c>
      <c r="H19" s="8"/>
      <c r="I19" s="8" t="s">
        <v>604</v>
      </c>
      <c r="J19" s="8" t="s">
        <v>392</v>
      </c>
      <c r="K19" s="7" t="s">
        <v>680</v>
      </c>
      <c r="L19" s="7"/>
      <c r="M19" s="7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</row>
    <row r="20" spans="1:30" s="2" customFormat="1" hidden="1" x14ac:dyDescent="0.2">
      <c r="A20" s="3" t="str">
        <f t="shared" si="0"/>
        <v>2.1.15</v>
      </c>
      <c r="B20" s="3" t="s">
        <v>76</v>
      </c>
      <c r="C20" s="3"/>
      <c r="D20" s="3" t="s">
        <v>112</v>
      </c>
      <c r="E20" s="2" t="s">
        <v>72</v>
      </c>
      <c r="F20" s="8" t="s">
        <v>421</v>
      </c>
      <c r="G20" s="8" t="s">
        <v>427</v>
      </c>
      <c r="H20" s="8"/>
      <c r="I20" s="8" t="s">
        <v>605</v>
      </c>
      <c r="J20" s="8" t="s">
        <v>300</v>
      </c>
      <c r="K20" s="7" t="s">
        <v>680</v>
      </c>
      <c r="L20" s="7"/>
      <c r="M20" s="7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</row>
    <row r="21" spans="1:30" s="2" customFormat="1" hidden="1" x14ac:dyDescent="0.2">
      <c r="A21" s="3" t="str">
        <f t="shared" si="0"/>
        <v>2.1.15</v>
      </c>
      <c r="B21" s="3" t="s">
        <v>76</v>
      </c>
      <c r="C21" s="3"/>
      <c r="D21" s="3" t="s">
        <v>112</v>
      </c>
      <c r="E21" s="2" t="s">
        <v>72</v>
      </c>
      <c r="F21" s="8" t="s">
        <v>421</v>
      </c>
      <c r="G21" s="8" t="s">
        <v>427</v>
      </c>
      <c r="H21" s="8"/>
      <c r="I21" s="8" t="s">
        <v>606</v>
      </c>
      <c r="J21" s="8" t="s">
        <v>393</v>
      </c>
      <c r="K21" s="7" t="s">
        <v>680</v>
      </c>
      <c r="L21" s="7"/>
      <c r="M21" s="7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</row>
    <row r="22" spans="1:30" s="2" customFormat="1" hidden="1" x14ac:dyDescent="0.2">
      <c r="A22" s="3" t="str">
        <f t="shared" si="0"/>
        <v>2.1.15</v>
      </c>
      <c r="B22" s="3" t="s">
        <v>76</v>
      </c>
      <c r="C22" s="3"/>
      <c r="D22" s="3" t="s">
        <v>112</v>
      </c>
      <c r="E22" s="2" t="s">
        <v>45</v>
      </c>
      <c r="F22" s="8" t="s">
        <v>421</v>
      </c>
      <c r="G22" s="8" t="s">
        <v>427</v>
      </c>
      <c r="H22" s="8"/>
      <c r="I22" s="8" t="s">
        <v>607</v>
      </c>
      <c r="J22" s="8" t="s">
        <v>301</v>
      </c>
      <c r="K22" s="7" t="s">
        <v>680</v>
      </c>
      <c r="L22" s="7"/>
      <c r="M22" s="7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</row>
    <row r="23" spans="1:30" s="2" customFormat="1" hidden="1" x14ac:dyDescent="0.2">
      <c r="A23" s="3" t="str">
        <f t="shared" si="0"/>
        <v>2.1.15</v>
      </c>
      <c r="B23" s="3" t="s">
        <v>76</v>
      </c>
      <c r="C23" s="3"/>
      <c r="D23" s="3" t="s">
        <v>112</v>
      </c>
      <c r="E23" s="2" t="s">
        <v>45</v>
      </c>
      <c r="F23" s="8" t="s">
        <v>421</v>
      </c>
      <c r="G23" s="8" t="s">
        <v>427</v>
      </c>
      <c r="H23" s="8"/>
      <c r="I23" s="8" t="s">
        <v>608</v>
      </c>
      <c r="J23" s="8" t="s">
        <v>394</v>
      </c>
      <c r="K23" s="7" t="s">
        <v>680</v>
      </c>
      <c r="L23" s="7"/>
      <c r="M23" s="7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</row>
    <row r="24" spans="1:30" s="14" customFormat="1" hidden="1" x14ac:dyDescent="0.2">
      <c r="A24" s="3" t="str">
        <f t="shared" si="0"/>
        <v>2.1.15</v>
      </c>
      <c r="B24" s="3" t="s">
        <v>76</v>
      </c>
      <c r="C24" s="3"/>
      <c r="D24" s="3" t="s">
        <v>116</v>
      </c>
      <c r="E24" s="2" t="s">
        <v>72</v>
      </c>
      <c r="F24" s="8" t="s">
        <v>423</v>
      </c>
      <c r="G24" s="8" t="s">
        <v>429</v>
      </c>
      <c r="H24" s="8"/>
      <c r="I24" s="8" t="s">
        <v>615</v>
      </c>
      <c r="J24" s="8" t="s">
        <v>305</v>
      </c>
      <c r="K24" s="7" t="s">
        <v>681</v>
      </c>
      <c r="L24" s="7"/>
      <c r="M24" s="7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</row>
    <row r="25" spans="1:30" s="2" customFormat="1" hidden="1" x14ac:dyDescent="0.2">
      <c r="A25" s="3" t="str">
        <f t="shared" si="0"/>
        <v>2.1.15</v>
      </c>
      <c r="B25" s="3" t="s">
        <v>76</v>
      </c>
      <c r="C25" s="3"/>
      <c r="D25" s="3" t="s">
        <v>116</v>
      </c>
      <c r="E25" s="2" t="s">
        <v>45</v>
      </c>
      <c r="F25" s="8" t="s">
        <v>423</v>
      </c>
      <c r="G25" s="8" t="s">
        <v>429</v>
      </c>
      <c r="H25" s="8"/>
      <c r="I25" s="8" t="s">
        <v>616</v>
      </c>
      <c r="J25" s="8" t="s">
        <v>306</v>
      </c>
      <c r="K25" s="7" t="s">
        <v>681</v>
      </c>
      <c r="L25" s="7"/>
      <c r="M25" s="7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</row>
    <row r="26" spans="1:30" s="2" customFormat="1" hidden="1" x14ac:dyDescent="0.2">
      <c r="A26" s="3" t="str">
        <f t="shared" si="0"/>
        <v>2.1.15</v>
      </c>
      <c r="B26" s="3" t="s">
        <v>76</v>
      </c>
      <c r="C26" s="3"/>
      <c r="D26" s="3" t="s">
        <v>122</v>
      </c>
      <c r="E26" s="3" t="s">
        <v>52</v>
      </c>
      <c r="F26" s="8" t="s">
        <v>421</v>
      </c>
      <c r="G26" s="8" t="s">
        <v>427</v>
      </c>
      <c r="H26" s="8"/>
      <c r="I26" s="8" t="s">
        <v>609</v>
      </c>
      <c r="J26" s="8" t="s">
        <v>302</v>
      </c>
      <c r="K26" s="7" t="s">
        <v>680</v>
      </c>
      <c r="L26" s="7"/>
      <c r="M26" s="7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</row>
    <row r="27" spans="1:30" s="2" customFormat="1" hidden="1" x14ac:dyDescent="0.2">
      <c r="A27" s="3" t="str">
        <f t="shared" si="0"/>
        <v>2.1.15</v>
      </c>
      <c r="B27" s="3" t="s">
        <v>76</v>
      </c>
      <c r="C27" s="3"/>
      <c r="D27" s="3" t="s">
        <v>122</v>
      </c>
      <c r="E27" s="3" t="s">
        <v>52</v>
      </c>
      <c r="F27" s="8" t="s">
        <v>421</v>
      </c>
      <c r="G27" s="8" t="s">
        <v>427</v>
      </c>
      <c r="H27" s="8"/>
      <c r="I27" s="8" t="s">
        <v>610</v>
      </c>
      <c r="J27" s="8" t="s">
        <v>395</v>
      </c>
      <c r="K27" s="7" t="s">
        <v>680</v>
      </c>
      <c r="L27" s="7"/>
      <c r="M27" s="7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</row>
    <row r="28" spans="1:30" s="2" customFormat="1" hidden="1" x14ac:dyDescent="0.2">
      <c r="A28" s="3" t="str">
        <f t="shared" si="0"/>
        <v>2.1.15</v>
      </c>
      <c r="B28" s="3" t="s">
        <v>76</v>
      </c>
      <c r="C28" s="3"/>
      <c r="D28" s="3" t="s">
        <v>122</v>
      </c>
      <c r="E28" s="2" t="s">
        <v>72</v>
      </c>
      <c r="F28" s="8" t="s">
        <v>421</v>
      </c>
      <c r="G28" s="8" t="s">
        <v>427</v>
      </c>
      <c r="H28" s="8"/>
      <c r="I28" s="8" t="s">
        <v>611</v>
      </c>
      <c r="J28" s="8" t="s">
        <v>303</v>
      </c>
      <c r="K28" s="7" t="s">
        <v>680</v>
      </c>
      <c r="L28" s="7"/>
      <c r="M28" s="7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</row>
    <row r="29" spans="1:30" s="2" customFormat="1" hidden="1" x14ac:dyDescent="0.2">
      <c r="A29" s="3" t="str">
        <f t="shared" si="0"/>
        <v>2.1.15</v>
      </c>
      <c r="B29" s="3" t="s">
        <v>76</v>
      </c>
      <c r="C29" s="3"/>
      <c r="D29" s="3" t="s">
        <v>122</v>
      </c>
      <c r="E29" s="2" t="s">
        <v>72</v>
      </c>
      <c r="F29" s="8" t="s">
        <v>421</v>
      </c>
      <c r="G29" s="8" t="s">
        <v>427</v>
      </c>
      <c r="H29" s="8"/>
      <c r="I29" s="8" t="s">
        <v>612</v>
      </c>
      <c r="J29" s="8" t="s">
        <v>396</v>
      </c>
      <c r="K29" s="7" t="s">
        <v>680</v>
      </c>
      <c r="L29" s="7"/>
      <c r="M29" s="7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</row>
    <row r="30" spans="1:30" s="2" customFormat="1" hidden="1" x14ac:dyDescent="0.2">
      <c r="A30" s="3" t="str">
        <f t="shared" si="0"/>
        <v>2.1.15</v>
      </c>
      <c r="B30" s="3" t="s">
        <v>76</v>
      </c>
      <c r="C30" s="3"/>
      <c r="D30" s="3" t="s">
        <v>122</v>
      </c>
      <c r="E30" s="2" t="s">
        <v>45</v>
      </c>
      <c r="F30" s="8" t="s">
        <v>421</v>
      </c>
      <c r="G30" s="8" t="s">
        <v>427</v>
      </c>
      <c r="H30" s="8"/>
      <c r="I30" s="8" t="s">
        <v>613</v>
      </c>
      <c r="J30" s="8" t="s">
        <v>304</v>
      </c>
      <c r="K30" s="7" t="s">
        <v>680</v>
      </c>
      <c r="L30" s="7"/>
      <c r="M30" s="7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</row>
    <row r="31" spans="1:30" s="2" customFormat="1" hidden="1" x14ac:dyDescent="0.2">
      <c r="A31" s="3" t="str">
        <f t="shared" si="0"/>
        <v>2.1.15</v>
      </c>
      <c r="B31" s="3" t="s">
        <v>76</v>
      </c>
      <c r="C31" s="3"/>
      <c r="D31" s="3" t="s">
        <v>122</v>
      </c>
      <c r="E31" s="2" t="s">
        <v>45</v>
      </c>
      <c r="F31" s="8" t="s">
        <v>421</v>
      </c>
      <c r="G31" s="8" t="s">
        <v>427</v>
      </c>
      <c r="H31" s="8"/>
      <c r="I31" s="8" t="s">
        <v>614</v>
      </c>
      <c r="J31" s="8" t="s">
        <v>397</v>
      </c>
      <c r="K31" s="7" t="s">
        <v>680</v>
      </c>
      <c r="L31" s="7"/>
      <c r="M31" s="7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</row>
    <row r="32" spans="1:30" s="2" customFormat="1" hidden="1" x14ac:dyDescent="0.2">
      <c r="A32" s="3" t="str">
        <f t="shared" si="0"/>
        <v>2.1.16</v>
      </c>
      <c r="B32" s="3" t="s">
        <v>77</v>
      </c>
      <c r="C32" s="3"/>
      <c r="D32" s="3" t="s">
        <v>113</v>
      </c>
      <c r="E32" s="3" t="s">
        <v>52</v>
      </c>
      <c r="F32" s="8" t="s">
        <v>421</v>
      </c>
      <c r="G32" s="8" t="s">
        <v>427</v>
      </c>
      <c r="H32" s="8"/>
      <c r="I32" s="8" t="s">
        <v>617</v>
      </c>
      <c r="J32" s="8" t="s">
        <v>307</v>
      </c>
      <c r="K32" s="7" t="s">
        <v>680</v>
      </c>
      <c r="L32" s="7"/>
      <c r="M32" s="7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</row>
    <row r="33" spans="1:30" s="2" customFormat="1" hidden="1" x14ac:dyDescent="0.2">
      <c r="A33" s="3" t="str">
        <f t="shared" si="0"/>
        <v>2.1.16</v>
      </c>
      <c r="B33" s="3" t="s">
        <v>77</v>
      </c>
      <c r="C33" s="3"/>
      <c r="D33" s="3" t="s">
        <v>113</v>
      </c>
      <c r="E33" s="3" t="s">
        <v>52</v>
      </c>
      <c r="F33" s="8" t="s">
        <v>421</v>
      </c>
      <c r="G33" s="8" t="s">
        <v>427</v>
      </c>
      <c r="H33" s="8"/>
      <c r="I33" s="8" t="s">
        <v>618</v>
      </c>
      <c r="J33" s="8" t="s">
        <v>398</v>
      </c>
      <c r="K33" s="7" t="s">
        <v>680</v>
      </c>
      <c r="L33" s="7"/>
      <c r="M33" s="7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</row>
    <row r="34" spans="1:30" s="2" customFormat="1" hidden="1" x14ac:dyDescent="0.2">
      <c r="A34" s="3" t="str">
        <f t="shared" si="0"/>
        <v>2.1.16</v>
      </c>
      <c r="B34" s="3" t="s">
        <v>77</v>
      </c>
      <c r="C34" s="3"/>
      <c r="D34" s="3" t="s">
        <v>113</v>
      </c>
      <c r="E34" s="2" t="s">
        <v>72</v>
      </c>
      <c r="F34" s="8" t="s">
        <v>421</v>
      </c>
      <c r="G34" s="8" t="s">
        <v>427</v>
      </c>
      <c r="H34" s="8"/>
      <c r="I34" s="8" t="s">
        <v>619</v>
      </c>
      <c r="J34" s="8" t="s">
        <v>308</v>
      </c>
      <c r="K34" s="7" t="s">
        <v>680</v>
      </c>
      <c r="L34" s="7"/>
      <c r="M34" s="7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</row>
    <row r="35" spans="1:30" hidden="1" x14ac:dyDescent="0.2">
      <c r="A35" s="3" t="str">
        <f t="shared" si="0"/>
        <v>2.1.16</v>
      </c>
      <c r="B35" s="3" t="s">
        <v>77</v>
      </c>
      <c r="D35" s="3" t="s">
        <v>113</v>
      </c>
      <c r="E35" s="2" t="s">
        <v>72</v>
      </c>
      <c r="F35" s="8" t="s">
        <v>421</v>
      </c>
      <c r="G35" s="8" t="s">
        <v>427</v>
      </c>
      <c r="H35" s="8"/>
      <c r="I35" s="8" t="s">
        <v>620</v>
      </c>
      <c r="J35" s="8" t="s">
        <v>399</v>
      </c>
      <c r="K35" s="7" t="s">
        <v>680</v>
      </c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</row>
    <row r="36" spans="1:30" hidden="1" x14ac:dyDescent="0.2">
      <c r="A36" s="3" t="str">
        <f t="shared" si="0"/>
        <v>2.1.16</v>
      </c>
      <c r="B36" s="3" t="s">
        <v>77</v>
      </c>
      <c r="D36" s="3" t="s">
        <v>113</v>
      </c>
      <c r="E36" s="2" t="s">
        <v>45</v>
      </c>
      <c r="F36" s="8" t="s">
        <v>421</v>
      </c>
      <c r="G36" s="8" t="s">
        <v>427</v>
      </c>
      <c r="H36" s="8"/>
      <c r="I36" s="8" t="s">
        <v>621</v>
      </c>
      <c r="J36" s="8" t="s">
        <v>309</v>
      </c>
      <c r="K36" s="7" t="s">
        <v>680</v>
      </c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</row>
    <row r="37" spans="1:30" hidden="1" x14ac:dyDescent="0.2">
      <c r="A37" s="3" t="str">
        <f t="shared" si="0"/>
        <v>2.1.16</v>
      </c>
      <c r="B37" s="3" t="s">
        <v>77</v>
      </c>
      <c r="D37" s="3" t="s">
        <v>113</v>
      </c>
      <c r="E37" s="2" t="s">
        <v>45</v>
      </c>
      <c r="F37" s="8" t="s">
        <v>421</v>
      </c>
      <c r="G37" s="8" t="s">
        <v>427</v>
      </c>
      <c r="H37" s="8"/>
      <c r="I37" s="8" t="s">
        <v>622</v>
      </c>
      <c r="J37" s="8" t="s">
        <v>400</v>
      </c>
      <c r="K37" s="7" t="s">
        <v>680</v>
      </c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</row>
    <row r="38" spans="1:30" hidden="1" x14ac:dyDescent="0.2">
      <c r="A38" s="3" t="str">
        <f t="shared" si="0"/>
        <v>2.1.16</v>
      </c>
      <c r="B38" s="3" t="s">
        <v>77</v>
      </c>
      <c r="D38" s="3" t="s">
        <v>117</v>
      </c>
      <c r="E38" s="2" t="s">
        <v>72</v>
      </c>
      <c r="F38" s="8" t="s">
        <v>423</v>
      </c>
      <c r="G38" s="8" t="s">
        <v>429</v>
      </c>
      <c r="H38" s="8"/>
      <c r="I38" s="8" t="s">
        <v>629</v>
      </c>
      <c r="J38" s="8" t="s">
        <v>313</v>
      </c>
      <c r="K38" s="7" t="s">
        <v>681</v>
      </c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</row>
    <row r="39" spans="1:30" hidden="1" x14ac:dyDescent="0.2">
      <c r="A39" s="3" t="str">
        <f t="shared" si="0"/>
        <v>2.1.16</v>
      </c>
      <c r="B39" s="3" t="s">
        <v>77</v>
      </c>
      <c r="D39" s="3" t="s">
        <v>117</v>
      </c>
      <c r="E39" s="2" t="s">
        <v>45</v>
      </c>
      <c r="F39" s="8" t="s">
        <v>423</v>
      </c>
      <c r="G39" s="8" t="s">
        <v>429</v>
      </c>
      <c r="H39" s="8"/>
      <c r="I39" s="8" t="s">
        <v>630</v>
      </c>
      <c r="J39" s="8" t="s">
        <v>314</v>
      </c>
      <c r="K39" s="7" t="s">
        <v>681</v>
      </c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</row>
    <row r="40" spans="1:30" hidden="1" x14ac:dyDescent="0.2">
      <c r="A40" s="3" t="str">
        <f t="shared" si="0"/>
        <v>2.1.16</v>
      </c>
      <c r="B40" s="3" t="s">
        <v>77</v>
      </c>
      <c r="D40" s="3" t="s">
        <v>123</v>
      </c>
      <c r="E40" s="3" t="s">
        <v>52</v>
      </c>
      <c r="F40" s="8" t="s">
        <v>421</v>
      </c>
      <c r="G40" s="8" t="s">
        <v>427</v>
      </c>
      <c r="H40" s="8"/>
      <c r="I40" s="8" t="s">
        <v>623</v>
      </c>
      <c r="J40" s="8" t="s">
        <v>310</v>
      </c>
      <c r="K40" s="7" t="s">
        <v>680</v>
      </c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</row>
    <row r="41" spans="1:30" hidden="1" x14ac:dyDescent="0.2">
      <c r="A41" s="3" t="str">
        <f t="shared" si="0"/>
        <v>2.1.16</v>
      </c>
      <c r="B41" s="3" t="s">
        <v>77</v>
      </c>
      <c r="D41" s="3" t="s">
        <v>123</v>
      </c>
      <c r="E41" s="3" t="s">
        <v>52</v>
      </c>
      <c r="F41" s="8" t="s">
        <v>421</v>
      </c>
      <c r="G41" s="8" t="s">
        <v>427</v>
      </c>
      <c r="H41" s="8"/>
      <c r="I41" s="8" t="s">
        <v>624</v>
      </c>
      <c r="J41" s="8" t="s">
        <v>401</v>
      </c>
      <c r="K41" s="7" t="s">
        <v>680</v>
      </c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</row>
    <row r="42" spans="1:30" hidden="1" x14ac:dyDescent="0.2">
      <c r="A42" s="3" t="str">
        <f t="shared" si="0"/>
        <v>2.1.16</v>
      </c>
      <c r="B42" s="3" t="s">
        <v>77</v>
      </c>
      <c r="D42" s="3" t="s">
        <v>123</v>
      </c>
      <c r="E42" s="2" t="s">
        <v>72</v>
      </c>
      <c r="F42" s="8" t="s">
        <v>421</v>
      </c>
      <c r="G42" s="8" t="s">
        <v>427</v>
      </c>
      <c r="H42" s="8"/>
      <c r="I42" s="8" t="s">
        <v>625</v>
      </c>
      <c r="J42" s="8" t="s">
        <v>311</v>
      </c>
      <c r="K42" s="7" t="s">
        <v>680</v>
      </c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</row>
    <row r="43" spans="1:30" hidden="1" x14ac:dyDescent="0.2">
      <c r="A43" s="3" t="str">
        <f t="shared" si="0"/>
        <v>2.1.16</v>
      </c>
      <c r="B43" s="3" t="s">
        <v>77</v>
      </c>
      <c r="D43" s="3" t="s">
        <v>123</v>
      </c>
      <c r="E43" s="2" t="s">
        <v>72</v>
      </c>
      <c r="F43" s="8" t="s">
        <v>421</v>
      </c>
      <c r="G43" s="8" t="s">
        <v>427</v>
      </c>
      <c r="H43" s="8"/>
      <c r="I43" s="8" t="s">
        <v>626</v>
      </c>
      <c r="J43" s="8" t="s">
        <v>402</v>
      </c>
      <c r="K43" s="7" t="s">
        <v>680</v>
      </c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</row>
    <row r="44" spans="1:30" hidden="1" x14ac:dyDescent="0.2">
      <c r="A44" s="3" t="str">
        <f t="shared" si="0"/>
        <v>2.1.16</v>
      </c>
      <c r="B44" s="3" t="s">
        <v>77</v>
      </c>
      <c r="D44" s="3" t="s">
        <v>123</v>
      </c>
      <c r="E44" s="2" t="s">
        <v>45</v>
      </c>
      <c r="F44" s="8" t="s">
        <v>421</v>
      </c>
      <c r="G44" s="8" t="s">
        <v>427</v>
      </c>
      <c r="H44" s="8"/>
      <c r="I44" s="8" t="s">
        <v>627</v>
      </c>
      <c r="J44" s="8" t="s">
        <v>312</v>
      </c>
      <c r="K44" s="7" t="s">
        <v>680</v>
      </c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</row>
    <row r="45" spans="1:30" hidden="1" x14ac:dyDescent="0.2">
      <c r="A45" s="3" t="str">
        <f t="shared" si="0"/>
        <v>2.1.16</v>
      </c>
      <c r="B45" s="3" t="s">
        <v>77</v>
      </c>
      <c r="D45" s="3" t="s">
        <v>123</v>
      </c>
      <c r="E45" s="2" t="s">
        <v>45</v>
      </c>
      <c r="F45" s="8" t="s">
        <v>421</v>
      </c>
      <c r="G45" s="8" t="s">
        <v>427</v>
      </c>
      <c r="H45" s="8"/>
      <c r="I45" s="8" t="s">
        <v>628</v>
      </c>
      <c r="J45" s="8" t="s">
        <v>403</v>
      </c>
      <c r="K45" s="7" t="s">
        <v>680</v>
      </c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</row>
    <row r="46" spans="1:30" hidden="1" x14ac:dyDescent="0.2">
      <c r="A46" s="3" t="str">
        <f t="shared" si="0"/>
        <v>2.1.17</v>
      </c>
      <c r="B46" s="3" t="s">
        <v>78</v>
      </c>
      <c r="D46" s="3" t="s">
        <v>115</v>
      </c>
      <c r="E46" s="3" t="s">
        <v>52</v>
      </c>
      <c r="F46" s="8" t="s">
        <v>421</v>
      </c>
      <c r="G46" s="8" t="s">
        <v>427</v>
      </c>
      <c r="H46" s="8"/>
      <c r="I46" s="8" t="s">
        <v>631</v>
      </c>
      <c r="J46" s="8" t="s">
        <v>315</v>
      </c>
      <c r="K46" s="7" t="s">
        <v>680</v>
      </c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</row>
    <row r="47" spans="1:30" hidden="1" x14ac:dyDescent="0.2">
      <c r="A47" s="3" t="str">
        <f t="shared" si="0"/>
        <v>2.1.17</v>
      </c>
      <c r="B47" s="3" t="s">
        <v>78</v>
      </c>
      <c r="D47" s="3" t="s">
        <v>115</v>
      </c>
      <c r="E47" s="3" t="s">
        <v>52</v>
      </c>
      <c r="F47" s="8" t="s">
        <v>421</v>
      </c>
      <c r="G47" s="8" t="s">
        <v>427</v>
      </c>
      <c r="H47" s="8"/>
      <c r="I47" s="8" t="s">
        <v>632</v>
      </c>
      <c r="J47" s="8" t="s">
        <v>404</v>
      </c>
      <c r="K47" s="7" t="s">
        <v>680</v>
      </c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</row>
    <row r="48" spans="1:30" hidden="1" x14ac:dyDescent="0.2">
      <c r="A48" s="3" t="str">
        <f t="shared" si="0"/>
        <v>2.1.17</v>
      </c>
      <c r="B48" s="3" t="s">
        <v>78</v>
      </c>
      <c r="D48" s="3" t="s">
        <v>115</v>
      </c>
      <c r="E48" s="2" t="s">
        <v>72</v>
      </c>
      <c r="F48" s="8" t="s">
        <v>421</v>
      </c>
      <c r="G48" s="8" t="s">
        <v>427</v>
      </c>
      <c r="H48" s="8"/>
      <c r="I48" s="8" t="s">
        <v>633</v>
      </c>
      <c r="J48" s="8" t="s">
        <v>316</v>
      </c>
      <c r="K48" s="7" t="s">
        <v>680</v>
      </c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</row>
    <row r="49" spans="1:30" hidden="1" x14ac:dyDescent="0.2">
      <c r="A49" s="3" t="str">
        <f t="shared" si="0"/>
        <v>2.1.17</v>
      </c>
      <c r="B49" s="3" t="s">
        <v>78</v>
      </c>
      <c r="D49" s="3" t="s">
        <v>115</v>
      </c>
      <c r="E49" s="2" t="s">
        <v>72</v>
      </c>
      <c r="F49" s="8" t="s">
        <v>421</v>
      </c>
      <c r="G49" s="8" t="s">
        <v>427</v>
      </c>
      <c r="H49" s="8"/>
      <c r="I49" s="8" t="s">
        <v>634</v>
      </c>
      <c r="J49" s="8" t="s">
        <v>405</v>
      </c>
      <c r="K49" s="7" t="s">
        <v>680</v>
      </c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</row>
    <row r="50" spans="1:30" hidden="1" x14ac:dyDescent="0.2">
      <c r="A50" s="3" t="str">
        <f t="shared" si="0"/>
        <v>2.1.17</v>
      </c>
      <c r="B50" s="3" t="s">
        <v>78</v>
      </c>
      <c r="D50" s="3" t="s">
        <v>115</v>
      </c>
      <c r="E50" s="2" t="s">
        <v>45</v>
      </c>
      <c r="F50" s="8" t="s">
        <v>421</v>
      </c>
      <c r="G50" s="8" t="s">
        <v>427</v>
      </c>
      <c r="H50" s="8"/>
      <c r="I50" s="8" t="s">
        <v>635</v>
      </c>
      <c r="J50" s="8" t="s">
        <v>317</v>
      </c>
      <c r="K50" s="7" t="s">
        <v>680</v>
      </c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</row>
    <row r="51" spans="1:30" s="10" customFormat="1" hidden="1" x14ac:dyDescent="0.2">
      <c r="A51" s="3" t="str">
        <f t="shared" si="0"/>
        <v>2.1.17</v>
      </c>
      <c r="B51" s="3" t="s">
        <v>78</v>
      </c>
      <c r="C51" s="3"/>
      <c r="D51" s="3" t="s">
        <v>115</v>
      </c>
      <c r="E51" s="2" t="s">
        <v>45</v>
      </c>
      <c r="F51" s="8" t="s">
        <v>421</v>
      </c>
      <c r="G51" s="8" t="s">
        <v>427</v>
      </c>
      <c r="H51" s="8"/>
      <c r="I51" s="8" t="s">
        <v>636</v>
      </c>
      <c r="J51" s="8" t="s">
        <v>406</v>
      </c>
      <c r="K51" s="7" t="s">
        <v>680</v>
      </c>
      <c r="L51" s="7"/>
      <c r="M51" s="7"/>
    </row>
    <row r="52" spans="1:30" s="10" customFormat="1" hidden="1" x14ac:dyDescent="0.2">
      <c r="A52" s="3" t="str">
        <f t="shared" si="0"/>
        <v>2.1.17</v>
      </c>
      <c r="B52" s="3" t="s">
        <v>78</v>
      </c>
      <c r="C52" s="3"/>
      <c r="D52" s="3" t="s">
        <v>118</v>
      </c>
      <c r="E52" s="2" t="s">
        <v>72</v>
      </c>
      <c r="F52" s="8" t="s">
        <v>423</v>
      </c>
      <c r="G52" s="8" t="s">
        <v>429</v>
      </c>
      <c r="H52" s="8"/>
      <c r="I52" s="8" t="s">
        <v>643</v>
      </c>
      <c r="J52" s="8" t="s">
        <v>321</v>
      </c>
      <c r="K52" s="7" t="s">
        <v>681</v>
      </c>
      <c r="L52" s="7"/>
      <c r="M52" s="7"/>
    </row>
    <row r="53" spans="1:30" s="10" customFormat="1" hidden="1" x14ac:dyDescent="0.2">
      <c r="A53" s="3" t="str">
        <f t="shared" si="0"/>
        <v>2.1.17</v>
      </c>
      <c r="B53" s="3" t="s">
        <v>78</v>
      </c>
      <c r="C53" s="3"/>
      <c r="D53" s="3" t="s">
        <v>118</v>
      </c>
      <c r="E53" s="2" t="s">
        <v>45</v>
      </c>
      <c r="F53" s="8" t="s">
        <v>423</v>
      </c>
      <c r="G53" s="8" t="s">
        <v>429</v>
      </c>
      <c r="H53" s="8"/>
      <c r="I53" s="8" t="s">
        <v>644</v>
      </c>
      <c r="J53" s="8" t="s">
        <v>322</v>
      </c>
      <c r="K53" s="7" t="s">
        <v>681</v>
      </c>
      <c r="L53" s="7"/>
      <c r="M53" s="7"/>
    </row>
    <row r="54" spans="1:30" hidden="1" x14ac:dyDescent="0.2">
      <c r="A54" s="3" t="str">
        <f t="shared" si="0"/>
        <v>2.1.17</v>
      </c>
      <c r="B54" s="3" t="s">
        <v>78</v>
      </c>
      <c r="D54" s="3" t="s">
        <v>124</v>
      </c>
      <c r="E54" s="3" t="s">
        <v>52</v>
      </c>
      <c r="F54" s="8" t="s">
        <v>421</v>
      </c>
      <c r="G54" s="8" t="s">
        <v>427</v>
      </c>
      <c r="H54" s="8"/>
      <c r="I54" s="8" t="s">
        <v>637</v>
      </c>
      <c r="J54" s="8" t="s">
        <v>318</v>
      </c>
      <c r="K54" s="7" t="s">
        <v>680</v>
      </c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</row>
    <row r="55" spans="1:30" hidden="1" x14ac:dyDescent="0.2">
      <c r="A55" s="3" t="str">
        <f t="shared" si="0"/>
        <v>2.1.17</v>
      </c>
      <c r="B55" s="3" t="s">
        <v>78</v>
      </c>
      <c r="D55" s="3" t="s">
        <v>124</v>
      </c>
      <c r="E55" s="3" t="s">
        <v>52</v>
      </c>
      <c r="F55" s="8" t="s">
        <v>421</v>
      </c>
      <c r="G55" s="8" t="s">
        <v>427</v>
      </c>
      <c r="H55" s="8"/>
      <c r="I55" s="8" t="s">
        <v>638</v>
      </c>
      <c r="J55" s="8" t="s">
        <v>407</v>
      </c>
      <c r="K55" s="7" t="s">
        <v>680</v>
      </c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</row>
    <row r="56" spans="1:30" hidden="1" x14ac:dyDescent="0.2">
      <c r="A56" s="3" t="str">
        <f t="shared" si="0"/>
        <v>2.1.17</v>
      </c>
      <c r="B56" s="3" t="s">
        <v>78</v>
      </c>
      <c r="D56" s="3" t="s">
        <v>124</v>
      </c>
      <c r="E56" s="2" t="s">
        <v>72</v>
      </c>
      <c r="F56" s="8" t="s">
        <v>421</v>
      </c>
      <c r="G56" s="8" t="s">
        <v>427</v>
      </c>
      <c r="H56" s="8"/>
      <c r="I56" s="8" t="s">
        <v>639</v>
      </c>
      <c r="J56" s="8" t="s">
        <v>319</v>
      </c>
      <c r="K56" s="7" t="s">
        <v>680</v>
      </c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</row>
    <row r="57" spans="1:30" hidden="1" x14ac:dyDescent="0.2">
      <c r="A57" s="3" t="str">
        <f t="shared" si="0"/>
        <v>2.1.17</v>
      </c>
      <c r="B57" s="3" t="s">
        <v>78</v>
      </c>
      <c r="D57" s="3" t="s">
        <v>124</v>
      </c>
      <c r="E57" s="2" t="s">
        <v>72</v>
      </c>
      <c r="F57" s="8" t="s">
        <v>421</v>
      </c>
      <c r="G57" s="8" t="s">
        <v>427</v>
      </c>
      <c r="H57" s="8"/>
      <c r="I57" s="8" t="s">
        <v>640</v>
      </c>
      <c r="J57" s="8" t="s">
        <v>408</v>
      </c>
      <c r="K57" s="7" t="s">
        <v>680</v>
      </c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</row>
    <row r="58" spans="1:30" hidden="1" x14ac:dyDescent="0.2">
      <c r="A58" s="3" t="str">
        <f t="shared" si="0"/>
        <v>2.1.17</v>
      </c>
      <c r="B58" s="3" t="s">
        <v>78</v>
      </c>
      <c r="D58" s="3" t="s">
        <v>124</v>
      </c>
      <c r="E58" s="2" t="s">
        <v>45</v>
      </c>
      <c r="F58" s="8" t="s">
        <v>421</v>
      </c>
      <c r="G58" s="8" t="s">
        <v>427</v>
      </c>
      <c r="H58" s="8"/>
      <c r="I58" s="8" t="s">
        <v>641</v>
      </c>
      <c r="J58" s="8" t="s">
        <v>320</v>
      </c>
      <c r="K58" s="7" t="s">
        <v>680</v>
      </c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</row>
    <row r="59" spans="1:30" hidden="1" x14ac:dyDescent="0.2">
      <c r="A59" s="3" t="str">
        <f t="shared" si="0"/>
        <v>2.1.17</v>
      </c>
      <c r="B59" s="3" t="s">
        <v>78</v>
      </c>
      <c r="D59" s="3" t="s">
        <v>124</v>
      </c>
      <c r="E59" s="2" t="s">
        <v>45</v>
      </c>
      <c r="F59" s="8" t="s">
        <v>421</v>
      </c>
      <c r="G59" s="8" t="s">
        <v>427</v>
      </c>
      <c r="H59" s="8"/>
      <c r="I59" s="8" t="s">
        <v>642</v>
      </c>
      <c r="J59" s="8" t="s">
        <v>409</v>
      </c>
      <c r="K59" s="7" t="s">
        <v>680</v>
      </c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</row>
    <row r="60" spans="1:30" hidden="1" x14ac:dyDescent="0.2">
      <c r="A60" s="3" t="str">
        <f t="shared" si="0"/>
        <v>2.1.18</v>
      </c>
      <c r="B60" s="3" t="s">
        <v>79</v>
      </c>
      <c r="D60" s="3" t="s">
        <v>114</v>
      </c>
      <c r="E60" s="3" t="s">
        <v>52</v>
      </c>
      <c r="F60" s="8" t="s">
        <v>421</v>
      </c>
      <c r="G60" s="8" t="s">
        <v>427</v>
      </c>
      <c r="H60" s="8"/>
      <c r="I60" s="8" t="s">
        <v>645</v>
      </c>
      <c r="J60" s="8" t="s">
        <v>323</v>
      </c>
      <c r="K60" s="7" t="s">
        <v>680</v>
      </c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</row>
    <row r="61" spans="1:30" hidden="1" x14ac:dyDescent="0.2">
      <c r="A61" s="3" t="str">
        <f t="shared" si="0"/>
        <v>2.1.18</v>
      </c>
      <c r="B61" s="3" t="s">
        <v>79</v>
      </c>
      <c r="D61" s="3" t="s">
        <v>114</v>
      </c>
      <c r="E61" s="3" t="s">
        <v>52</v>
      </c>
      <c r="F61" s="8" t="s">
        <v>421</v>
      </c>
      <c r="G61" s="8" t="s">
        <v>427</v>
      </c>
      <c r="H61" s="8"/>
      <c r="I61" s="8" t="s">
        <v>646</v>
      </c>
      <c r="J61" s="8" t="s">
        <v>410</v>
      </c>
      <c r="K61" s="7" t="s">
        <v>680</v>
      </c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</row>
    <row r="62" spans="1:30" hidden="1" x14ac:dyDescent="0.2">
      <c r="A62" s="3" t="str">
        <f t="shared" si="0"/>
        <v>2.1.18</v>
      </c>
      <c r="B62" s="3" t="s">
        <v>79</v>
      </c>
      <c r="D62" s="3" t="s">
        <v>114</v>
      </c>
      <c r="E62" s="2" t="s">
        <v>72</v>
      </c>
      <c r="F62" s="8" t="s">
        <v>421</v>
      </c>
      <c r="G62" s="8" t="s">
        <v>427</v>
      </c>
      <c r="H62" s="8"/>
      <c r="I62" s="8" t="s">
        <v>647</v>
      </c>
      <c r="J62" s="8" t="s">
        <v>324</v>
      </c>
      <c r="K62" s="7" t="s">
        <v>680</v>
      </c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</row>
    <row r="63" spans="1:30" hidden="1" x14ac:dyDescent="0.2">
      <c r="A63" s="3" t="str">
        <f t="shared" si="0"/>
        <v>2.1.18</v>
      </c>
      <c r="B63" s="3" t="s">
        <v>79</v>
      </c>
      <c r="D63" s="3" t="s">
        <v>114</v>
      </c>
      <c r="E63" s="2" t="s">
        <v>72</v>
      </c>
      <c r="F63" s="8" t="s">
        <v>421</v>
      </c>
      <c r="G63" s="8" t="s">
        <v>427</v>
      </c>
      <c r="H63" s="8"/>
      <c r="I63" s="8" t="s">
        <v>648</v>
      </c>
      <c r="J63" s="8" t="s">
        <v>411</v>
      </c>
      <c r="K63" s="7" t="s">
        <v>680</v>
      </c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</row>
    <row r="64" spans="1:30" hidden="1" x14ac:dyDescent="0.2">
      <c r="A64" s="3" t="str">
        <f t="shared" si="0"/>
        <v>2.1.18</v>
      </c>
      <c r="B64" s="3" t="s">
        <v>79</v>
      </c>
      <c r="D64" s="3" t="s">
        <v>114</v>
      </c>
      <c r="E64" s="2" t="s">
        <v>45</v>
      </c>
      <c r="F64" s="8" t="s">
        <v>421</v>
      </c>
      <c r="G64" s="8" t="s">
        <v>427</v>
      </c>
      <c r="H64" s="8"/>
      <c r="I64" s="8" t="s">
        <v>649</v>
      </c>
      <c r="J64" s="8" t="s">
        <v>325</v>
      </c>
      <c r="K64" s="7" t="s">
        <v>680</v>
      </c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</row>
    <row r="65" spans="1:30" hidden="1" x14ac:dyDescent="0.2">
      <c r="A65" s="3" t="str">
        <f t="shared" si="0"/>
        <v>2.1.18</v>
      </c>
      <c r="B65" s="3" t="s">
        <v>79</v>
      </c>
      <c r="D65" s="3" t="s">
        <v>114</v>
      </c>
      <c r="E65" s="2" t="s">
        <v>45</v>
      </c>
      <c r="F65" s="8" t="s">
        <v>421</v>
      </c>
      <c r="G65" s="8" t="s">
        <v>427</v>
      </c>
      <c r="H65" s="8"/>
      <c r="I65" s="8" t="s">
        <v>650</v>
      </c>
      <c r="J65" s="8" t="s">
        <v>412</v>
      </c>
      <c r="K65" s="7" t="s">
        <v>680</v>
      </c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</row>
    <row r="66" spans="1:30" hidden="1" x14ac:dyDescent="0.2">
      <c r="A66" s="3" t="str">
        <f t="shared" si="0"/>
        <v>2.1.18</v>
      </c>
      <c r="B66" s="3" t="s">
        <v>79</v>
      </c>
      <c r="D66" s="3" t="s">
        <v>119</v>
      </c>
      <c r="E66" s="2" t="s">
        <v>72</v>
      </c>
      <c r="F66" s="8" t="s">
        <v>423</v>
      </c>
      <c r="G66" s="8" t="s">
        <v>429</v>
      </c>
      <c r="H66" s="8"/>
      <c r="I66" s="8" t="s">
        <v>657</v>
      </c>
      <c r="J66" s="8" t="s">
        <v>329</v>
      </c>
      <c r="K66" s="7" t="s">
        <v>681</v>
      </c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</row>
    <row r="67" spans="1:30" hidden="1" x14ac:dyDescent="0.2">
      <c r="A67" s="3" t="str">
        <f t="shared" ref="A67:A73" si="1">CONCATENATE(MID(B67,3,4),MID(B67,7,2))</f>
        <v>2.1.18</v>
      </c>
      <c r="B67" s="3" t="s">
        <v>79</v>
      </c>
      <c r="D67" s="3" t="s">
        <v>119</v>
      </c>
      <c r="E67" s="2" t="s">
        <v>45</v>
      </c>
      <c r="F67" s="8" t="s">
        <v>423</v>
      </c>
      <c r="G67" s="8" t="s">
        <v>429</v>
      </c>
      <c r="H67" s="8"/>
      <c r="I67" s="8" t="s">
        <v>658</v>
      </c>
      <c r="J67" s="8" t="s">
        <v>330</v>
      </c>
      <c r="K67" s="7" t="s">
        <v>681</v>
      </c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</row>
    <row r="68" spans="1:30" hidden="1" x14ac:dyDescent="0.2">
      <c r="A68" s="3" t="str">
        <f t="shared" si="1"/>
        <v>2.1.18</v>
      </c>
      <c r="B68" s="3" t="s">
        <v>79</v>
      </c>
      <c r="D68" s="3" t="s">
        <v>125</v>
      </c>
      <c r="E68" s="3" t="s">
        <v>52</v>
      </c>
      <c r="F68" s="8" t="s">
        <v>421</v>
      </c>
      <c r="G68" s="8" t="s">
        <v>427</v>
      </c>
      <c r="H68" s="8"/>
      <c r="I68" s="8" t="s">
        <v>651</v>
      </c>
      <c r="J68" s="8" t="s">
        <v>326</v>
      </c>
      <c r="K68" s="7" t="s">
        <v>680</v>
      </c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</row>
    <row r="69" spans="1:30" hidden="1" x14ac:dyDescent="0.2">
      <c r="A69" s="3" t="str">
        <f t="shared" si="1"/>
        <v>2.1.18</v>
      </c>
      <c r="B69" s="3" t="s">
        <v>79</v>
      </c>
      <c r="D69" s="3" t="s">
        <v>125</v>
      </c>
      <c r="E69" s="3" t="s">
        <v>52</v>
      </c>
      <c r="F69" s="8" t="s">
        <v>421</v>
      </c>
      <c r="G69" s="8" t="s">
        <v>427</v>
      </c>
      <c r="H69" s="8"/>
      <c r="I69" s="8" t="s">
        <v>652</v>
      </c>
      <c r="J69" s="8" t="s">
        <v>413</v>
      </c>
      <c r="K69" s="7" t="s">
        <v>680</v>
      </c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</row>
    <row r="70" spans="1:30" hidden="1" x14ac:dyDescent="0.2">
      <c r="A70" s="3" t="str">
        <f t="shared" si="1"/>
        <v>2.1.18</v>
      </c>
      <c r="B70" s="3" t="s">
        <v>79</v>
      </c>
      <c r="D70" s="3" t="s">
        <v>125</v>
      </c>
      <c r="E70" s="2" t="s">
        <v>72</v>
      </c>
      <c r="F70" s="8" t="s">
        <v>421</v>
      </c>
      <c r="G70" s="8" t="s">
        <v>427</v>
      </c>
      <c r="H70" s="8"/>
      <c r="I70" s="8" t="s">
        <v>653</v>
      </c>
      <c r="J70" s="8" t="s">
        <v>327</v>
      </c>
      <c r="K70" s="7" t="s">
        <v>680</v>
      </c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</row>
    <row r="71" spans="1:30" hidden="1" x14ac:dyDescent="0.2">
      <c r="A71" s="3" t="str">
        <f t="shared" si="1"/>
        <v>2.1.18</v>
      </c>
      <c r="B71" s="3" t="s">
        <v>79</v>
      </c>
      <c r="D71" s="3" t="s">
        <v>125</v>
      </c>
      <c r="E71" s="2" t="s">
        <v>72</v>
      </c>
      <c r="F71" s="8" t="s">
        <v>421</v>
      </c>
      <c r="G71" s="8" t="s">
        <v>427</v>
      </c>
      <c r="H71" s="8"/>
      <c r="I71" s="8" t="s">
        <v>654</v>
      </c>
      <c r="J71" s="8" t="s">
        <v>414</v>
      </c>
      <c r="K71" s="7" t="s">
        <v>680</v>
      </c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</row>
    <row r="72" spans="1:30" hidden="1" x14ac:dyDescent="0.2">
      <c r="A72" s="3" t="str">
        <f t="shared" si="1"/>
        <v>2.1.18</v>
      </c>
      <c r="B72" s="3" t="s">
        <v>79</v>
      </c>
      <c r="D72" s="3" t="s">
        <v>125</v>
      </c>
      <c r="E72" s="2" t="s">
        <v>45</v>
      </c>
      <c r="F72" s="8" t="s">
        <v>421</v>
      </c>
      <c r="G72" s="8" t="s">
        <v>427</v>
      </c>
      <c r="H72" s="8"/>
      <c r="I72" s="8" t="s">
        <v>655</v>
      </c>
      <c r="J72" s="8" t="s">
        <v>328</v>
      </c>
      <c r="K72" s="7" t="s">
        <v>680</v>
      </c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</row>
    <row r="73" spans="1:30" hidden="1" x14ac:dyDescent="0.2">
      <c r="A73" s="3" t="str">
        <f t="shared" si="1"/>
        <v>2.1.18</v>
      </c>
      <c r="B73" s="3" t="s">
        <v>79</v>
      </c>
      <c r="D73" s="3" t="s">
        <v>125</v>
      </c>
      <c r="E73" s="2" t="s">
        <v>45</v>
      </c>
      <c r="F73" s="8" t="s">
        <v>421</v>
      </c>
      <c r="G73" s="8" t="s">
        <v>427</v>
      </c>
      <c r="H73" s="8"/>
      <c r="I73" s="8" t="s">
        <v>656</v>
      </c>
      <c r="J73" s="8" t="s">
        <v>415</v>
      </c>
      <c r="K73" s="7" t="s">
        <v>680</v>
      </c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</row>
    <row r="74" spans="1:30" x14ac:dyDescent="0.2">
      <c r="A74" s="3" t="str">
        <f>CONCATENATE(MID(B74,3,4),"0",MID(B74,7,2))</f>
        <v xml:space="preserve">2.1.02 </v>
      </c>
      <c r="B74" s="3" t="s">
        <v>0</v>
      </c>
      <c r="C74" s="10" t="s">
        <v>672</v>
      </c>
      <c r="D74" s="15" t="s">
        <v>673</v>
      </c>
      <c r="E74" s="16" t="s">
        <v>83</v>
      </c>
      <c r="F74" s="10" t="s">
        <v>419</v>
      </c>
      <c r="G74" s="10" t="s">
        <v>425</v>
      </c>
      <c r="H74" s="8" t="s">
        <v>4339</v>
      </c>
      <c r="I74" s="10" t="s">
        <v>674</v>
      </c>
      <c r="J74" s="10" t="s">
        <v>675</v>
      </c>
      <c r="K74" s="10" t="s">
        <v>682</v>
      </c>
      <c r="L74" s="8"/>
      <c r="M74" s="8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</row>
    <row r="75" spans="1:30" ht="24" x14ac:dyDescent="0.2">
      <c r="A75" s="3" t="str">
        <f t="shared" ref="A75:A138" si="2">CONCATENATE(MID(B75,3,4),"0",MID(B75,7,2))</f>
        <v xml:space="preserve">2.1.02 </v>
      </c>
      <c r="B75" s="3" t="s">
        <v>0</v>
      </c>
      <c r="C75" s="15"/>
      <c r="D75" s="15" t="s">
        <v>88</v>
      </c>
      <c r="E75" s="17" t="s">
        <v>89</v>
      </c>
      <c r="F75" s="8" t="s">
        <v>419</v>
      </c>
      <c r="G75" s="8" t="s">
        <v>425</v>
      </c>
      <c r="H75" s="8" t="s">
        <v>4340</v>
      </c>
      <c r="I75" s="8" t="s">
        <v>431</v>
      </c>
      <c r="J75" s="8" t="s">
        <v>338</v>
      </c>
      <c r="K75" s="8" t="s">
        <v>688</v>
      </c>
      <c r="L75" s="8"/>
      <c r="M75" s="8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</row>
    <row r="76" spans="1:30" ht="24" x14ac:dyDescent="0.2">
      <c r="A76" s="3" t="str">
        <f t="shared" si="2"/>
        <v xml:space="preserve">2.1.02 </v>
      </c>
      <c r="B76" s="3" t="s">
        <v>0</v>
      </c>
      <c r="C76" s="15"/>
      <c r="D76" s="15" t="s">
        <v>90</v>
      </c>
      <c r="E76" s="17" t="s">
        <v>89</v>
      </c>
      <c r="F76" s="8" t="s">
        <v>419</v>
      </c>
      <c r="G76" s="8" t="s">
        <v>425</v>
      </c>
      <c r="H76" s="8" t="s">
        <v>4342</v>
      </c>
      <c r="I76" s="8" t="s">
        <v>433</v>
      </c>
      <c r="J76" s="8" t="s">
        <v>339</v>
      </c>
      <c r="K76" s="8" t="s">
        <v>688</v>
      </c>
      <c r="L76" s="10"/>
      <c r="M76" s="10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</row>
    <row r="77" spans="1:30" x14ac:dyDescent="0.2">
      <c r="A77" s="3" t="str">
        <f t="shared" si="2"/>
        <v xml:space="preserve">2.1.02 </v>
      </c>
      <c r="B77" s="3" t="s">
        <v>0</v>
      </c>
      <c r="C77" s="15"/>
      <c r="D77" s="15" t="s">
        <v>91</v>
      </c>
      <c r="E77" s="17" t="s">
        <v>83</v>
      </c>
      <c r="F77" s="8" t="s">
        <v>420</v>
      </c>
      <c r="G77" s="8" t="s">
        <v>426</v>
      </c>
      <c r="H77" s="8" t="s">
        <v>4343</v>
      </c>
      <c r="I77" s="8" t="s">
        <v>434</v>
      </c>
      <c r="J77" s="8" t="s">
        <v>129</v>
      </c>
      <c r="K77" s="8" t="s">
        <v>688</v>
      </c>
      <c r="L77" s="8"/>
      <c r="M77" s="8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</row>
    <row r="78" spans="1:30" x14ac:dyDescent="0.2">
      <c r="A78" s="3" t="str">
        <f t="shared" si="2"/>
        <v xml:space="preserve">2.1.02 </v>
      </c>
      <c r="B78" s="3" t="s">
        <v>0</v>
      </c>
      <c r="C78" s="15"/>
      <c r="D78" s="15" t="s">
        <v>91</v>
      </c>
      <c r="E78" s="17" t="s">
        <v>83</v>
      </c>
      <c r="F78" s="8" t="s">
        <v>420</v>
      </c>
      <c r="G78" s="8" t="s">
        <v>426</v>
      </c>
      <c r="H78" s="8" t="s">
        <v>4344</v>
      </c>
      <c r="I78" s="8" t="s">
        <v>435</v>
      </c>
      <c r="J78" s="8" t="s">
        <v>340</v>
      </c>
      <c r="K78" s="8" t="s">
        <v>688</v>
      </c>
      <c r="L78" s="8"/>
      <c r="M78" s="8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</row>
    <row r="79" spans="1:30" x14ac:dyDescent="0.2">
      <c r="A79" s="3" t="str">
        <f t="shared" si="2"/>
        <v xml:space="preserve">2.1.02 </v>
      </c>
      <c r="B79" s="3" t="s">
        <v>0</v>
      </c>
      <c r="C79" s="15"/>
      <c r="D79" s="15" t="s">
        <v>91</v>
      </c>
      <c r="E79" s="17" t="s">
        <v>92</v>
      </c>
      <c r="F79" s="8" t="s">
        <v>420</v>
      </c>
      <c r="G79" s="8" t="s">
        <v>426</v>
      </c>
      <c r="H79" s="8" t="s">
        <v>4345</v>
      </c>
      <c r="I79" s="8" t="s">
        <v>436</v>
      </c>
      <c r="J79" s="8" t="s">
        <v>130</v>
      </c>
      <c r="K79" s="8" t="s">
        <v>688</v>
      </c>
      <c r="L79" s="8"/>
      <c r="M79" s="8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</row>
    <row r="80" spans="1:30" x14ac:dyDescent="0.2">
      <c r="A80" s="3" t="str">
        <f t="shared" si="2"/>
        <v xml:space="preserve">2.1.02 </v>
      </c>
      <c r="B80" s="3" t="s">
        <v>0</v>
      </c>
      <c r="C80" s="15"/>
      <c r="D80" s="15" t="s">
        <v>91</v>
      </c>
      <c r="E80" s="17" t="s">
        <v>92</v>
      </c>
      <c r="F80" s="8" t="s">
        <v>420</v>
      </c>
      <c r="G80" s="8" t="s">
        <v>426</v>
      </c>
      <c r="H80" s="8" t="s">
        <v>4346</v>
      </c>
      <c r="I80" s="8" t="s">
        <v>437</v>
      </c>
      <c r="J80" s="8" t="s">
        <v>341</v>
      </c>
      <c r="K80" s="8" t="s">
        <v>688</v>
      </c>
      <c r="L80" s="8"/>
      <c r="M80" s="8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</row>
    <row r="81" spans="1:30" x14ac:dyDescent="0.2">
      <c r="A81" s="3" t="str">
        <f t="shared" si="2"/>
        <v xml:space="preserve">2.1.02 </v>
      </c>
      <c r="B81" s="3" t="s">
        <v>0</v>
      </c>
      <c r="C81" s="15"/>
      <c r="D81" s="15" t="s">
        <v>93</v>
      </c>
      <c r="E81" s="17" t="s">
        <v>83</v>
      </c>
      <c r="F81" s="8" t="s">
        <v>420</v>
      </c>
      <c r="G81" s="8" t="s">
        <v>426</v>
      </c>
      <c r="H81" s="8"/>
      <c r="I81" s="8" t="s">
        <v>438</v>
      </c>
      <c r="J81" s="8" t="s">
        <v>131</v>
      </c>
      <c r="K81" s="8" t="s">
        <v>688</v>
      </c>
      <c r="L81" s="8"/>
      <c r="M81" s="8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</row>
    <row r="82" spans="1:30" x14ac:dyDescent="0.2">
      <c r="A82" s="3" t="str">
        <f t="shared" si="2"/>
        <v xml:space="preserve">2.1.02 </v>
      </c>
      <c r="B82" s="3" t="s">
        <v>0</v>
      </c>
      <c r="C82" s="15"/>
      <c r="D82" s="15" t="s">
        <v>93</v>
      </c>
      <c r="E82" s="17" t="s">
        <v>83</v>
      </c>
      <c r="F82" s="8" t="s">
        <v>420</v>
      </c>
      <c r="G82" s="8" t="s">
        <v>426</v>
      </c>
      <c r="H82" s="8"/>
      <c r="I82" s="8" t="s">
        <v>439</v>
      </c>
      <c r="J82" s="8" t="s">
        <v>342</v>
      </c>
      <c r="K82" s="8" t="s">
        <v>688</v>
      </c>
      <c r="L82" s="8"/>
      <c r="M82" s="8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</row>
    <row r="83" spans="1:30" x14ac:dyDescent="0.2">
      <c r="A83" s="3" t="str">
        <f t="shared" si="2"/>
        <v xml:space="preserve">2.1.02 </v>
      </c>
      <c r="B83" s="3" t="s">
        <v>0</v>
      </c>
      <c r="C83" s="15"/>
      <c r="D83" s="15" t="s">
        <v>93</v>
      </c>
      <c r="E83" s="17" t="s">
        <v>92</v>
      </c>
      <c r="F83" s="8" t="s">
        <v>420</v>
      </c>
      <c r="G83" s="8" t="s">
        <v>426</v>
      </c>
      <c r="H83" s="8"/>
      <c r="I83" s="8" t="s">
        <v>440</v>
      </c>
      <c r="J83" s="8" t="s">
        <v>132</v>
      </c>
      <c r="K83" s="8" t="s">
        <v>688</v>
      </c>
      <c r="L83" s="8"/>
      <c r="M83" s="8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</row>
    <row r="84" spans="1:30" x14ac:dyDescent="0.2">
      <c r="A84" s="3" t="str">
        <f t="shared" si="2"/>
        <v xml:space="preserve">2.1.02 </v>
      </c>
      <c r="B84" s="3" t="s">
        <v>0</v>
      </c>
      <c r="C84" s="15"/>
      <c r="D84" s="15" t="s">
        <v>93</v>
      </c>
      <c r="E84" s="17" t="s">
        <v>92</v>
      </c>
      <c r="F84" s="8" t="s">
        <v>420</v>
      </c>
      <c r="G84" s="8" t="s">
        <v>426</v>
      </c>
      <c r="H84" s="8"/>
      <c r="I84" s="8" t="s">
        <v>441</v>
      </c>
      <c r="J84" s="8" t="s">
        <v>343</v>
      </c>
      <c r="K84" s="8" t="s">
        <v>688</v>
      </c>
      <c r="L84" s="8"/>
      <c r="M84" s="8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</row>
    <row r="85" spans="1:30" x14ac:dyDescent="0.2">
      <c r="A85" s="3" t="str">
        <f t="shared" si="2"/>
        <v xml:space="preserve">2.1.02 </v>
      </c>
      <c r="B85" s="3" t="s">
        <v>0</v>
      </c>
      <c r="C85" s="10" t="s">
        <v>672</v>
      </c>
      <c r="D85" s="15" t="s">
        <v>676</v>
      </c>
      <c r="E85" s="16" t="s">
        <v>83</v>
      </c>
      <c r="F85" s="10" t="s">
        <v>419</v>
      </c>
      <c r="G85" s="10" t="s">
        <v>425</v>
      </c>
      <c r="H85" s="40" t="s">
        <v>4341</v>
      </c>
      <c r="I85" s="10" t="s">
        <v>677</v>
      </c>
      <c r="J85" s="10" t="s">
        <v>678</v>
      </c>
      <c r="K85" s="10" t="s">
        <v>682</v>
      </c>
      <c r="L85" s="8"/>
      <c r="M85" s="8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</row>
    <row r="86" spans="1:30" ht="24" x14ac:dyDescent="0.2">
      <c r="A86" s="3" t="str">
        <f t="shared" si="2"/>
        <v xml:space="preserve">2.1.02 </v>
      </c>
      <c r="B86" s="3" t="s">
        <v>0</v>
      </c>
      <c r="C86" s="15"/>
      <c r="D86" s="15" t="s">
        <v>94</v>
      </c>
      <c r="E86" s="17" t="s">
        <v>89</v>
      </c>
      <c r="F86" s="8" t="s">
        <v>419</v>
      </c>
      <c r="G86" s="8" t="s">
        <v>425</v>
      </c>
      <c r="H86" s="8"/>
      <c r="I86" s="8" t="s">
        <v>442</v>
      </c>
      <c r="J86" s="8" t="s">
        <v>344</v>
      </c>
      <c r="K86" s="8" t="s">
        <v>688</v>
      </c>
      <c r="L86" s="8"/>
      <c r="M86" s="8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</row>
    <row r="87" spans="1:30" ht="24" x14ac:dyDescent="0.2">
      <c r="A87" s="3" t="str">
        <f t="shared" si="2"/>
        <v xml:space="preserve">2.1.02 </v>
      </c>
      <c r="B87" s="3" t="s">
        <v>0</v>
      </c>
      <c r="C87" s="15"/>
      <c r="D87" s="15" t="s">
        <v>95</v>
      </c>
      <c r="E87" s="17" t="s">
        <v>89</v>
      </c>
      <c r="F87" s="8" t="s">
        <v>419</v>
      </c>
      <c r="G87" s="8" t="s">
        <v>425</v>
      </c>
      <c r="H87" s="8"/>
      <c r="I87" s="8" t="s">
        <v>443</v>
      </c>
      <c r="J87" s="8" t="s">
        <v>345</v>
      </c>
      <c r="K87" s="8" t="s">
        <v>688</v>
      </c>
      <c r="L87" s="10"/>
      <c r="M87" s="10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</row>
    <row r="88" spans="1:30" x14ac:dyDescent="0.2">
      <c r="A88" s="3" t="str">
        <f t="shared" si="2"/>
        <v xml:space="preserve">2.1.02 </v>
      </c>
      <c r="B88" s="3" t="s">
        <v>0</v>
      </c>
      <c r="C88" s="15"/>
      <c r="D88" s="15" t="s">
        <v>96</v>
      </c>
      <c r="E88" s="17" t="s">
        <v>83</v>
      </c>
      <c r="F88" s="8" t="s">
        <v>420</v>
      </c>
      <c r="G88" s="8" t="s">
        <v>426</v>
      </c>
      <c r="H88" s="8"/>
      <c r="I88" s="8" t="s">
        <v>444</v>
      </c>
      <c r="J88" s="8" t="s">
        <v>133</v>
      </c>
      <c r="K88" s="8" t="s">
        <v>688</v>
      </c>
      <c r="L88" s="8"/>
      <c r="M88" s="8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</row>
    <row r="89" spans="1:30" x14ac:dyDescent="0.2">
      <c r="A89" s="3" t="str">
        <f t="shared" si="2"/>
        <v xml:space="preserve">2.1.02 </v>
      </c>
      <c r="B89" s="3" t="s">
        <v>0</v>
      </c>
      <c r="C89" s="15"/>
      <c r="D89" s="15" t="s">
        <v>96</v>
      </c>
      <c r="E89" s="17" t="s">
        <v>83</v>
      </c>
      <c r="F89" s="8" t="s">
        <v>420</v>
      </c>
      <c r="G89" s="8" t="s">
        <v>426</v>
      </c>
      <c r="H89" s="8"/>
      <c r="I89" s="8" t="s">
        <v>445</v>
      </c>
      <c r="J89" s="8" t="s">
        <v>346</v>
      </c>
      <c r="K89" s="8" t="s">
        <v>688</v>
      </c>
      <c r="L89" s="8"/>
      <c r="M89" s="8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</row>
    <row r="90" spans="1:30" x14ac:dyDescent="0.2">
      <c r="A90" s="3" t="str">
        <f t="shared" si="2"/>
        <v xml:space="preserve">2.1.02 </v>
      </c>
      <c r="B90" s="3" t="s">
        <v>0</v>
      </c>
      <c r="C90" s="15"/>
      <c r="D90" s="15" t="s">
        <v>96</v>
      </c>
      <c r="E90" s="17" t="s">
        <v>92</v>
      </c>
      <c r="F90" s="8" t="s">
        <v>420</v>
      </c>
      <c r="G90" s="8" t="s">
        <v>426</v>
      </c>
      <c r="H90" s="8"/>
      <c r="I90" s="8" t="s">
        <v>446</v>
      </c>
      <c r="J90" s="8" t="s">
        <v>134</v>
      </c>
      <c r="K90" s="8" t="s">
        <v>688</v>
      </c>
      <c r="L90" s="8"/>
      <c r="M90" s="8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</row>
    <row r="91" spans="1:30" x14ac:dyDescent="0.2">
      <c r="A91" s="3" t="str">
        <f t="shared" si="2"/>
        <v xml:space="preserve">2.1.02 </v>
      </c>
      <c r="B91" s="3" t="s">
        <v>0</v>
      </c>
      <c r="C91" s="15"/>
      <c r="D91" s="15" t="s">
        <v>96</v>
      </c>
      <c r="E91" s="17" t="s">
        <v>92</v>
      </c>
      <c r="F91" s="8" t="s">
        <v>420</v>
      </c>
      <c r="G91" s="8" t="s">
        <v>426</v>
      </c>
      <c r="H91" s="8"/>
      <c r="I91" s="8" t="s">
        <v>447</v>
      </c>
      <c r="J91" s="8" t="s">
        <v>347</v>
      </c>
      <c r="K91" s="8" t="s">
        <v>688</v>
      </c>
      <c r="L91" s="8"/>
      <c r="M91" s="8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</row>
    <row r="92" spans="1:30" x14ac:dyDescent="0.2">
      <c r="A92" s="3" t="str">
        <f t="shared" si="2"/>
        <v xml:space="preserve">2.1.02 </v>
      </c>
      <c r="B92" s="3" t="s">
        <v>0</v>
      </c>
      <c r="C92" s="17"/>
      <c r="D92" s="15" t="s">
        <v>97</v>
      </c>
      <c r="E92" s="17" t="s">
        <v>83</v>
      </c>
      <c r="F92" s="8" t="s">
        <v>420</v>
      </c>
      <c r="G92" s="8" t="s">
        <v>426</v>
      </c>
      <c r="H92" s="8"/>
      <c r="I92" s="8" t="s">
        <v>448</v>
      </c>
      <c r="J92" s="8" t="s">
        <v>135</v>
      </c>
      <c r="K92" s="8" t="s">
        <v>688</v>
      </c>
      <c r="L92" s="8"/>
      <c r="M92" s="8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</row>
    <row r="93" spans="1:30" x14ac:dyDescent="0.2">
      <c r="A93" s="3" t="str">
        <f t="shared" si="2"/>
        <v xml:space="preserve">2.1.02 </v>
      </c>
      <c r="B93" s="3" t="s">
        <v>0</v>
      </c>
      <c r="C93" s="17"/>
      <c r="D93" s="15" t="s">
        <v>97</v>
      </c>
      <c r="E93" s="17" t="s">
        <v>83</v>
      </c>
      <c r="F93" s="8" t="s">
        <v>420</v>
      </c>
      <c r="G93" s="8" t="s">
        <v>426</v>
      </c>
      <c r="H93" s="8"/>
      <c r="I93" s="8" t="s">
        <v>449</v>
      </c>
      <c r="J93" s="8" t="s">
        <v>348</v>
      </c>
      <c r="K93" s="8" t="s">
        <v>688</v>
      </c>
      <c r="L93" s="8"/>
      <c r="M93" s="8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</row>
    <row r="94" spans="1:30" x14ac:dyDescent="0.2">
      <c r="A94" s="3" t="str">
        <f t="shared" si="2"/>
        <v xml:space="preserve">2.1.02 </v>
      </c>
      <c r="B94" s="3" t="s">
        <v>0</v>
      </c>
      <c r="C94" s="17"/>
      <c r="D94" s="15" t="s">
        <v>97</v>
      </c>
      <c r="E94" s="17" t="s">
        <v>92</v>
      </c>
      <c r="F94" s="8" t="s">
        <v>420</v>
      </c>
      <c r="G94" s="8" t="s">
        <v>426</v>
      </c>
      <c r="H94" s="8"/>
      <c r="I94" s="8" t="s">
        <v>450</v>
      </c>
      <c r="J94" s="8" t="s">
        <v>136</v>
      </c>
      <c r="K94" s="8" t="s">
        <v>688</v>
      </c>
      <c r="L94" s="8"/>
      <c r="M94" s="8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</row>
    <row r="95" spans="1:30" x14ac:dyDescent="0.2">
      <c r="A95" s="3" t="str">
        <f t="shared" si="2"/>
        <v xml:space="preserve">2.1.02 </v>
      </c>
      <c r="B95" s="3" t="s">
        <v>0</v>
      </c>
      <c r="C95" s="17"/>
      <c r="D95" s="15" t="s">
        <v>97</v>
      </c>
      <c r="E95" s="17" t="s">
        <v>92</v>
      </c>
      <c r="F95" s="8" t="s">
        <v>420</v>
      </c>
      <c r="G95" s="8" t="s">
        <v>426</v>
      </c>
      <c r="H95" s="8"/>
      <c r="I95" s="8" t="s">
        <v>451</v>
      </c>
      <c r="J95" s="8" t="s">
        <v>349</v>
      </c>
      <c r="K95" s="8" t="s">
        <v>688</v>
      </c>
      <c r="L95" s="8"/>
      <c r="M95" s="8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</row>
    <row r="96" spans="1:30" hidden="1" x14ac:dyDescent="0.2">
      <c r="A96" s="3" t="str">
        <f>CONCATENATE(MID(B96,3,4),MID(B96,7,2))</f>
        <v>2.1.20</v>
      </c>
      <c r="B96" s="3" t="s">
        <v>80</v>
      </c>
      <c r="D96" s="3" t="s">
        <v>86</v>
      </c>
      <c r="E96" s="3" t="s">
        <v>87</v>
      </c>
      <c r="F96" s="8" t="s">
        <v>424</v>
      </c>
      <c r="G96" s="8" t="s">
        <v>430</v>
      </c>
      <c r="H96" s="8"/>
      <c r="I96" s="8" t="s">
        <v>660</v>
      </c>
      <c r="J96" s="8" t="s">
        <v>332</v>
      </c>
      <c r="K96" s="3" t="s">
        <v>685</v>
      </c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</row>
    <row r="97" spans="1:30" hidden="1" x14ac:dyDescent="0.2">
      <c r="A97" s="3" t="str">
        <f t="shared" ref="A97" si="3">CONCATENATE(MID(B97,3,4),MID(B97,7,2))</f>
        <v>2.1.20</v>
      </c>
      <c r="B97" s="3" t="s">
        <v>80</v>
      </c>
      <c r="D97" s="3" t="s">
        <v>81</v>
      </c>
      <c r="E97" s="3" t="s">
        <v>72</v>
      </c>
      <c r="F97" s="8" t="s">
        <v>421</v>
      </c>
      <c r="G97" s="8" t="s">
        <v>427</v>
      </c>
      <c r="H97" s="8"/>
      <c r="I97" s="8" t="s">
        <v>659</v>
      </c>
      <c r="J97" s="8" t="s">
        <v>331</v>
      </c>
      <c r="K97" s="3" t="s">
        <v>685</v>
      </c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</row>
    <row r="98" spans="1:30" hidden="1" x14ac:dyDescent="0.2">
      <c r="A98" s="3" t="str">
        <f t="shared" si="2"/>
        <v xml:space="preserve">2.1.03 </v>
      </c>
      <c r="B98" s="3" t="s">
        <v>1</v>
      </c>
      <c r="D98" s="2" t="s">
        <v>2</v>
      </c>
      <c r="E98" s="2" t="s">
        <v>3</v>
      </c>
      <c r="F98" s="8" t="s">
        <v>421</v>
      </c>
      <c r="G98" s="8" t="s">
        <v>427</v>
      </c>
      <c r="H98" s="8"/>
      <c r="I98" s="8" t="s">
        <v>454</v>
      </c>
      <c r="J98" s="8" t="s">
        <v>221</v>
      </c>
      <c r="K98" s="7" t="s">
        <v>690</v>
      </c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</row>
    <row r="99" spans="1:30" hidden="1" x14ac:dyDescent="0.2">
      <c r="A99" s="3" t="str">
        <f t="shared" si="2"/>
        <v xml:space="preserve">2.1.03 </v>
      </c>
      <c r="B99" s="3" t="s">
        <v>1</v>
      </c>
      <c r="D99" s="2" t="s">
        <v>2</v>
      </c>
      <c r="E99" s="2" t="s">
        <v>3</v>
      </c>
      <c r="F99" s="8" t="s">
        <v>421</v>
      </c>
      <c r="G99" s="8" t="s">
        <v>427</v>
      </c>
      <c r="H99" s="8"/>
      <c r="I99" s="8" t="s">
        <v>455</v>
      </c>
      <c r="J99" s="8" t="s">
        <v>351</v>
      </c>
      <c r="K99" s="7" t="s">
        <v>690</v>
      </c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</row>
    <row r="100" spans="1:30" hidden="1" x14ac:dyDescent="0.2">
      <c r="A100" s="3" t="str">
        <f t="shared" si="2"/>
        <v xml:space="preserve">2.1.03 </v>
      </c>
      <c r="B100" s="3" t="s">
        <v>1</v>
      </c>
      <c r="D100" s="2" t="s">
        <v>2</v>
      </c>
      <c r="E100" s="18" t="s">
        <v>4</v>
      </c>
      <c r="F100" s="8" t="s">
        <v>421</v>
      </c>
      <c r="G100" s="8" t="s">
        <v>427</v>
      </c>
      <c r="H100" s="8"/>
      <c r="I100" s="8" t="s">
        <v>464</v>
      </c>
      <c r="J100" s="8" t="s">
        <v>222</v>
      </c>
      <c r="K100" s="38" t="s">
        <v>4327</v>
      </c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</row>
    <row r="101" spans="1:30" hidden="1" x14ac:dyDescent="0.2">
      <c r="A101" s="3" t="str">
        <f t="shared" si="2"/>
        <v xml:space="preserve">2.1.03 </v>
      </c>
      <c r="B101" s="3" t="s">
        <v>1</v>
      </c>
      <c r="D101" s="2" t="s">
        <v>2</v>
      </c>
      <c r="E101" s="18" t="s">
        <v>4</v>
      </c>
      <c r="F101" s="8" t="s">
        <v>421</v>
      </c>
      <c r="G101" s="8" t="s">
        <v>427</v>
      </c>
      <c r="H101" s="8"/>
      <c r="I101" s="8" t="s">
        <v>465</v>
      </c>
      <c r="J101" s="8" t="s">
        <v>418</v>
      </c>
      <c r="K101" s="38" t="s">
        <v>4327</v>
      </c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</row>
    <row r="102" spans="1:30" hidden="1" x14ac:dyDescent="0.2">
      <c r="A102" s="3" t="str">
        <f t="shared" si="2"/>
        <v xml:space="preserve">2.1.03 </v>
      </c>
      <c r="B102" s="3" t="s">
        <v>1</v>
      </c>
      <c r="D102" s="2" t="s">
        <v>2</v>
      </c>
      <c r="E102" s="2" t="s">
        <v>121</v>
      </c>
      <c r="F102" s="8" t="s">
        <v>421</v>
      </c>
      <c r="G102" s="8" t="s">
        <v>427</v>
      </c>
      <c r="H102" s="8"/>
      <c r="I102" s="8" t="s">
        <v>452</v>
      </c>
      <c r="J102" s="8" t="s">
        <v>333</v>
      </c>
      <c r="K102" s="7" t="s">
        <v>684</v>
      </c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</row>
    <row r="103" spans="1:30" hidden="1" x14ac:dyDescent="0.2">
      <c r="A103" s="3" t="str">
        <f t="shared" si="2"/>
        <v xml:space="preserve">2.1.03 </v>
      </c>
      <c r="B103" s="3" t="s">
        <v>1</v>
      </c>
      <c r="D103" s="2" t="s">
        <v>2</v>
      </c>
      <c r="E103" s="2" t="s">
        <v>121</v>
      </c>
      <c r="F103" s="8" t="s">
        <v>421</v>
      </c>
      <c r="G103" s="8" t="s">
        <v>427</v>
      </c>
      <c r="H103" s="8"/>
      <c r="I103" s="8" t="s">
        <v>453</v>
      </c>
      <c r="J103" s="8" t="s">
        <v>350</v>
      </c>
      <c r="K103" s="7" t="s">
        <v>684</v>
      </c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</row>
    <row r="104" spans="1:30" hidden="1" x14ac:dyDescent="0.2">
      <c r="A104" s="3" t="str">
        <f t="shared" si="2"/>
        <v xml:space="preserve">2.1.03 </v>
      </c>
      <c r="B104" s="3" t="s">
        <v>1</v>
      </c>
      <c r="C104" s="10" t="s">
        <v>672</v>
      </c>
      <c r="D104" s="2" t="s">
        <v>2</v>
      </c>
      <c r="E104" s="10" t="s">
        <v>661</v>
      </c>
      <c r="F104" s="10" t="s">
        <v>421</v>
      </c>
      <c r="G104" s="10" t="s">
        <v>427</v>
      </c>
      <c r="H104" s="10"/>
      <c r="I104" s="10" t="s">
        <v>664</v>
      </c>
      <c r="J104" s="10" t="s">
        <v>671</v>
      </c>
      <c r="K104" s="10" t="s">
        <v>683</v>
      </c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</row>
    <row r="105" spans="1:30" hidden="1" x14ac:dyDescent="0.2">
      <c r="A105" s="3" t="str">
        <f t="shared" si="2"/>
        <v xml:space="preserve">2.1.03 </v>
      </c>
      <c r="B105" s="3" t="s">
        <v>1</v>
      </c>
      <c r="C105" s="10" t="s">
        <v>672</v>
      </c>
      <c r="D105" s="2" t="s">
        <v>2</v>
      </c>
      <c r="E105" s="10" t="s">
        <v>662</v>
      </c>
      <c r="F105" s="10" t="s">
        <v>421</v>
      </c>
      <c r="G105" s="10" t="s">
        <v>427</v>
      </c>
      <c r="H105" s="10"/>
      <c r="I105" s="10" t="s">
        <v>668</v>
      </c>
      <c r="J105" s="10" t="s">
        <v>670</v>
      </c>
      <c r="K105" s="10" t="s">
        <v>683</v>
      </c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</row>
    <row r="106" spans="1:30" hidden="1" x14ac:dyDescent="0.2">
      <c r="A106" s="3" t="str">
        <f t="shared" si="2"/>
        <v xml:space="preserve">2.1.03 </v>
      </c>
      <c r="B106" s="3" t="s">
        <v>1</v>
      </c>
      <c r="D106" s="2" t="s">
        <v>2</v>
      </c>
      <c r="E106" s="2" t="s">
        <v>101</v>
      </c>
      <c r="F106" s="8" t="s">
        <v>421</v>
      </c>
      <c r="G106" s="8" t="s">
        <v>427</v>
      </c>
      <c r="H106" s="8"/>
      <c r="I106" s="8" t="s">
        <v>458</v>
      </c>
      <c r="J106" s="8" t="s">
        <v>335</v>
      </c>
      <c r="K106" s="7" t="s">
        <v>690</v>
      </c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</row>
    <row r="107" spans="1:30" hidden="1" x14ac:dyDescent="0.2">
      <c r="A107" s="3" t="str">
        <f t="shared" si="2"/>
        <v xml:space="preserve">2.1.03 </v>
      </c>
      <c r="B107" s="3" t="s">
        <v>1</v>
      </c>
      <c r="D107" s="2" t="s">
        <v>2</v>
      </c>
      <c r="E107" s="2" t="s">
        <v>101</v>
      </c>
      <c r="F107" s="8" t="s">
        <v>421</v>
      </c>
      <c r="G107" s="8" t="s">
        <v>427</v>
      </c>
      <c r="H107" s="8"/>
      <c r="I107" s="8" t="s">
        <v>459</v>
      </c>
      <c r="J107" s="8" t="s">
        <v>353</v>
      </c>
      <c r="K107" s="7" t="s">
        <v>690</v>
      </c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</row>
    <row r="108" spans="1:30" hidden="1" x14ac:dyDescent="0.2">
      <c r="A108" s="3" t="str">
        <f t="shared" si="2"/>
        <v xml:space="preserve">2.1.03 </v>
      </c>
      <c r="B108" s="3" t="s">
        <v>1</v>
      </c>
      <c r="D108" s="2" t="s">
        <v>2</v>
      </c>
      <c r="E108" s="2" t="s">
        <v>103</v>
      </c>
      <c r="F108" s="8" t="s">
        <v>421</v>
      </c>
      <c r="G108" s="8" t="s">
        <v>427</v>
      </c>
      <c r="H108" s="8"/>
      <c r="I108" s="8" t="s">
        <v>462</v>
      </c>
      <c r="J108" s="8" t="s">
        <v>337</v>
      </c>
      <c r="K108" s="7" t="s">
        <v>690</v>
      </c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</row>
    <row r="109" spans="1:30" hidden="1" x14ac:dyDescent="0.2">
      <c r="A109" s="3" t="str">
        <f t="shared" si="2"/>
        <v xml:space="preserve">2.1.03 </v>
      </c>
      <c r="B109" s="3" t="s">
        <v>1</v>
      </c>
      <c r="D109" s="2" t="s">
        <v>2</v>
      </c>
      <c r="E109" s="2" t="s">
        <v>103</v>
      </c>
      <c r="F109" s="8" t="s">
        <v>421</v>
      </c>
      <c r="G109" s="8" t="s">
        <v>427</v>
      </c>
      <c r="H109" s="8"/>
      <c r="I109" s="8" t="s">
        <v>463</v>
      </c>
      <c r="J109" s="8" t="s">
        <v>355</v>
      </c>
      <c r="K109" s="7" t="s">
        <v>690</v>
      </c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</row>
    <row r="110" spans="1:30" hidden="1" x14ac:dyDescent="0.2">
      <c r="A110" s="3" t="str">
        <f t="shared" si="2"/>
        <v xml:space="preserve">2.1.03 </v>
      </c>
      <c r="B110" s="3" t="s">
        <v>1</v>
      </c>
      <c r="D110" s="2" t="s">
        <v>2</v>
      </c>
      <c r="E110" s="2" t="s">
        <v>100</v>
      </c>
      <c r="F110" s="8" t="s">
        <v>421</v>
      </c>
      <c r="G110" s="8" t="s">
        <v>427</v>
      </c>
      <c r="H110" s="8"/>
      <c r="I110" s="8" t="s">
        <v>456</v>
      </c>
      <c r="J110" s="8" t="s">
        <v>334</v>
      </c>
      <c r="K110" s="7" t="s">
        <v>690</v>
      </c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</row>
    <row r="111" spans="1:30" hidden="1" x14ac:dyDescent="0.2">
      <c r="A111" s="3" t="str">
        <f t="shared" si="2"/>
        <v xml:space="preserve">2.1.03 </v>
      </c>
      <c r="B111" s="3" t="s">
        <v>1</v>
      </c>
      <c r="D111" s="2" t="s">
        <v>2</v>
      </c>
      <c r="E111" s="2" t="s">
        <v>100</v>
      </c>
      <c r="F111" s="8" t="s">
        <v>421</v>
      </c>
      <c r="G111" s="8" t="s">
        <v>427</v>
      </c>
      <c r="H111" s="8"/>
      <c r="I111" s="8" t="s">
        <v>457</v>
      </c>
      <c r="J111" s="8" t="s">
        <v>352</v>
      </c>
      <c r="K111" s="7" t="s">
        <v>690</v>
      </c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</row>
    <row r="112" spans="1:30" hidden="1" x14ac:dyDescent="0.2">
      <c r="A112" s="3" t="str">
        <f t="shared" si="2"/>
        <v xml:space="preserve">2.1.03 </v>
      </c>
      <c r="B112" s="3" t="s">
        <v>1</v>
      </c>
      <c r="D112" s="2" t="s">
        <v>2</v>
      </c>
      <c r="E112" s="2" t="s">
        <v>102</v>
      </c>
      <c r="F112" s="8" t="s">
        <v>421</v>
      </c>
      <c r="G112" s="8" t="s">
        <v>427</v>
      </c>
      <c r="H112" s="8"/>
      <c r="I112" s="8" t="s">
        <v>460</v>
      </c>
      <c r="J112" s="8" t="s">
        <v>336</v>
      </c>
      <c r="K112" s="7" t="s">
        <v>690</v>
      </c>
      <c r="L112" s="10"/>
      <c r="M112" s="10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</row>
    <row r="113" spans="1:30" hidden="1" x14ac:dyDescent="0.2">
      <c r="A113" s="3" t="str">
        <f t="shared" si="2"/>
        <v xml:space="preserve">2.1.03 </v>
      </c>
      <c r="B113" s="3" t="s">
        <v>1</v>
      </c>
      <c r="D113" s="2" t="s">
        <v>2</v>
      </c>
      <c r="E113" s="2" t="s">
        <v>102</v>
      </c>
      <c r="F113" s="8" t="s">
        <v>421</v>
      </c>
      <c r="G113" s="8" t="s">
        <v>427</v>
      </c>
      <c r="H113" s="8"/>
      <c r="I113" s="8" t="s">
        <v>461</v>
      </c>
      <c r="J113" s="8" t="s">
        <v>354</v>
      </c>
      <c r="K113" s="7" t="s">
        <v>690</v>
      </c>
      <c r="L113" s="10"/>
      <c r="M113" s="10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</row>
    <row r="114" spans="1:30" hidden="1" x14ac:dyDescent="0.2">
      <c r="A114" s="3" t="str">
        <f t="shared" si="2"/>
        <v xml:space="preserve">2.1.03 </v>
      </c>
      <c r="B114" s="3" t="s">
        <v>1</v>
      </c>
      <c r="C114" s="10" t="s">
        <v>672</v>
      </c>
      <c r="D114" s="2" t="s">
        <v>2</v>
      </c>
      <c r="E114" s="10" t="s">
        <v>686</v>
      </c>
      <c r="F114" s="10" t="s">
        <v>421</v>
      </c>
      <c r="G114" s="10" t="s">
        <v>427</v>
      </c>
      <c r="H114" s="10"/>
      <c r="I114" s="10" t="s">
        <v>663</v>
      </c>
      <c r="J114" s="10" t="s">
        <v>669</v>
      </c>
      <c r="K114" s="39" t="s">
        <v>684</v>
      </c>
      <c r="L114" s="10"/>
      <c r="M114" s="10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</row>
    <row r="115" spans="1:30" hidden="1" x14ac:dyDescent="0.2">
      <c r="A115" s="3" t="str">
        <f t="shared" si="2"/>
        <v xml:space="preserve">2.1.04 </v>
      </c>
      <c r="B115" s="3" t="s">
        <v>5</v>
      </c>
      <c r="D115" s="3" t="s">
        <v>22</v>
      </c>
      <c r="E115" s="3" t="s">
        <v>27</v>
      </c>
      <c r="F115" s="8" t="s">
        <v>421</v>
      </c>
      <c r="G115" s="8" t="s">
        <v>427</v>
      </c>
      <c r="H115" s="8"/>
      <c r="I115" s="8" t="s">
        <v>510</v>
      </c>
      <c r="J115" s="8" t="s">
        <v>249</v>
      </c>
      <c r="K115" s="7" t="s">
        <v>691</v>
      </c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</row>
    <row r="116" spans="1:30" hidden="1" x14ac:dyDescent="0.2">
      <c r="A116" s="3" t="str">
        <f t="shared" si="2"/>
        <v xml:space="preserve">2.1.04 </v>
      </c>
      <c r="B116" s="3" t="s">
        <v>5</v>
      </c>
      <c r="D116" s="3" t="s">
        <v>22</v>
      </c>
      <c r="E116" s="3" t="s">
        <v>8</v>
      </c>
      <c r="F116" s="8" t="s">
        <v>421</v>
      </c>
      <c r="G116" s="8" t="s">
        <v>427</v>
      </c>
      <c r="H116" s="8"/>
      <c r="I116" s="8" t="s">
        <v>500</v>
      </c>
      <c r="J116" s="8" t="s">
        <v>244</v>
      </c>
      <c r="K116" s="7" t="s">
        <v>691</v>
      </c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</row>
    <row r="117" spans="1:30" hidden="1" x14ac:dyDescent="0.2">
      <c r="A117" s="3" t="str">
        <f t="shared" si="2"/>
        <v xml:space="preserve">2.1.04 </v>
      </c>
      <c r="B117" s="3" t="s">
        <v>5</v>
      </c>
      <c r="D117" s="3" t="s">
        <v>22</v>
      </c>
      <c r="E117" s="3" t="s">
        <v>8</v>
      </c>
      <c r="F117" s="8" t="s">
        <v>421</v>
      </c>
      <c r="G117" s="8" t="s">
        <v>427</v>
      </c>
      <c r="H117" s="8"/>
      <c r="I117" s="8" t="s">
        <v>501</v>
      </c>
      <c r="J117" s="8" t="s">
        <v>369</v>
      </c>
      <c r="K117" s="7" t="s">
        <v>691</v>
      </c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</row>
    <row r="118" spans="1:30" hidden="1" x14ac:dyDescent="0.2">
      <c r="A118" s="3" t="str">
        <f t="shared" si="2"/>
        <v xml:space="preserve">2.1.04 </v>
      </c>
      <c r="B118" s="3" t="s">
        <v>5</v>
      </c>
      <c r="D118" s="3" t="s">
        <v>22</v>
      </c>
      <c r="E118" s="3" t="s">
        <v>23</v>
      </c>
      <c r="F118" s="8" t="s">
        <v>421</v>
      </c>
      <c r="G118" s="8" t="s">
        <v>427</v>
      </c>
      <c r="H118" s="8"/>
      <c r="I118" s="8" t="s">
        <v>494</v>
      </c>
      <c r="J118" s="8" t="s">
        <v>241</v>
      </c>
      <c r="K118" s="7" t="s">
        <v>691</v>
      </c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</row>
    <row r="119" spans="1:30" hidden="1" x14ac:dyDescent="0.2">
      <c r="A119" s="3" t="str">
        <f t="shared" si="2"/>
        <v xml:space="preserve">2.1.04 </v>
      </c>
      <c r="B119" s="3" t="s">
        <v>5</v>
      </c>
      <c r="D119" s="3" t="s">
        <v>22</v>
      </c>
      <c r="E119" s="3" t="s">
        <v>23</v>
      </c>
      <c r="F119" s="8" t="s">
        <v>421</v>
      </c>
      <c r="G119" s="8" t="s">
        <v>427</v>
      </c>
      <c r="H119" s="8"/>
      <c r="I119" s="8" t="s">
        <v>495</v>
      </c>
      <c r="J119" s="8" t="s">
        <v>366</v>
      </c>
      <c r="K119" s="7" t="s">
        <v>691</v>
      </c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</row>
    <row r="120" spans="1:30" hidden="1" x14ac:dyDescent="0.2">
      <c r="A120" s="3" t="str">
        <f t="shared" si="2"/>
        <v xml:space="preserve">2.1.04 </v>
      </c>
      <c r="B120" s="3" t="s">
        <v>5</v>
      </c>
      <c r="D120" s="3" t="s">
        <v>22</v>
      </c>
      <c r="E120" s="3" t="s">
        <v>98</v>
      </c>
      <c r="F120" s="8" t="s">
        <v>421</v>
      </c>
      <c r="G120" s="8" t="s">
        <v>427</v>
      </c>
      <c r="H120" s="8"/>
      <c r="I120" s="8" t="s">
        <v>498</v>
      </c>
      <c r="J120" s="8" t="s">
        <v>243</v>
      </c>
      <c r="K120" s="7" t="s">
        <v>691</v>
      </c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</row>
    <row r="121" spans="1:30" hidden="1" x14ac:dyDescent="0.2">
      <c r="A121" s="3" t="str">
        <f t="shared" si="2"/>
        <v xml:space="preserve">2.1.04 </v>
      </c>
      <c r="B121" s="3" t="s">
        <v>5</v>
      </c>
      <c r="D121" s="3" t="s">
        <v>22</v>
      </c>
      <c r="E121" s="3" t="s">
        <v>98</v>
      </c>
      <c r="F121" s="8" t="s">
        <v>421</v>
      </c>
      <c r="G121" s="8" t="s">
        <v>427</v>
      </c>
      <c r="H121" s="8"/>
      <c r="I121" s="8" t="s">
        <v>499</v>
      </c>
      <c r="J121" s="8" t="s">
        <v>368</v>
      </c>
      <c r="K121" s="7" t="s">
        <v>691</v>
      </c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</row>
    <row r="122" spans="1:30" hidden="1" x14ac:dyDescent="0.2">
      <c r="A122" s="3" t="str">
        <f t="shared" si="2"/>
        <v xml:space="preserve">2.1.04 </v>
      </c>
      <c r="B122" s="3" t="s">
        <v>5</v>
      </c>
      <c r="D122" s="3" t="s">
        <v>22</v>
      </c>
      <c r="E122" s="3" t="s">
        <v>24</v>
      </c>
      <c r="F122" s="8" t="s">
        <v>421</v>
      </c>
      <c r="G122" s="8" t="s">
        <v>427</v>
      </c>
      <c r="H122" s="8"/>
      <c r="I122" s="8" t="s">
        <v>496</v>
      </c>
      <c r="J122" s="8" t="s">
        <v>242</v>
      </c>
      <c r="K122" s="7" t="s">
        <v>691</v>
      </c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</row>
    <row r="123" spans="1:30" hidden="1" x14ac:dyDescent="0.2">
      <c r="A123" s="3" t="str">
        <f t="shared" si="2"/>
        <v xml:space="preserve">2.1.04 </v>
      </c>
      <c r="B123" s="3" t="s">
        <v>5</v>
      </c>
      <c r="D123" s="3" t="s">
        <v>22</v>
      </c>
      <c r="E123" s="3" t="s">
        <v>24</v>
      </c>
      <c r="F123" s="8" t="s">
        <v>421</v>
      </c>
      <c r="G123" s="8" t="s">
        <v>427</v>
      </c>
      <c r="H123" s="8"/>
      <c r="I123" s="8" t="s">
        <v>497</v>
      </c>
      <c r="J123" s="8" t="s">
        <v>367</v>
      </c>
      <c r="K123" s="7" t="s">
        <v>691</v>
      </c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</row>
    <row r="124" spans="1:30" hidden="1" x14ac:dyDescent="0.2">
      <c r="A124" s="3" t="str">
        <f t="shared" si="2"/>
        <v xml:space="preserve">2.1.04 </v>
      </c>
      <c r="B124" s="3" t="s">
        <v>5</v>
      </c>
      <c r="D124" s="3" t="s">
        <v>22</v>
      </c>
      <c r="E124" s="3" t="s">
        <v>10</v>
      </c>
      <c r="F124" s="8" t="s">
        <v>421</v>
      </c>
      <c r="G124" s="8" t="s">
        <v>427</v>
      </c>
      <c r="H124" s="8"/>
      <c r="I124" s="8" t="s">
        <v>508</v>
      </c>
      <c r="J124" s="8" t="s">
        <v>248</v>
      </c>
      <c r="K124" s="7" t="s">
        <v>691</v>
      </c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</row>
    <row r="125" spans="1:30" hidden="1" x14ac:dyDescent="0.2">
      <c r="A125" s="3" t="str">
        <f t="shared" si="2"/>
        <v xml:space="preserve">2.1.04 </v>
      </c>
      <c r="B125" s="3" t="s">
        <v>5</v>
      </c>
      <c r="D125" s="3" t="s">
        <v>22</v>
      </c>
      <c r="E125" s="3" t="s">
        <v>10</v>
      </c>
      <c r="F125" s="8" t="s">
        <v>421</v>
      </c>
      <c r="G125" s="8" t="s">
        <v>427</v>
      </c>
      <c r="H125" s="8"/>
      <c r="I125" s="8" t="s">
        <v>509</v>
      </c>
      <c r="J125" s="8" t="s">
        <v>373</v>
      </c>
      <c r="K125" s="7" t="s">
        <v>691</v>
      </c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</row>
    <row r="126" spans="1:30" hidden="1" x14ac:dyDescent="0.2">
      <c r="A126" s="3" t="str">
        <f t="shared" si="2"/>
        <v xml:space="preserve">2.1.04 </v>
      </c>
      <c r="B126" s="3" t="s">
        <v>5</v>
      </c>
      <c r="D126" s="3" t="s">
        <v>22</v>
      </c>
      <c r="E126" s="3" t="s">
        <v>25</v>
      </c>
      <c r="F126" s="8" t="s">
        <v>421</v>
      </c>
      <c r="G126" s="8" t="s">
        <v>427</v>
      </c>
      <c r="H126" s="8"/>
      <c r="I126" s="8" t="s">
        <v>502</v>
      </c>
      <c r="J126" s="8" t="s">
        <v>245</v>
      </c>
      <c r="K126" s="7" t="s">
        <v>691</v>
      </c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</row>
    <row r="127" spans="1:30" hidden="1" x14ac:dyDescent="0.2">
      <c r="A127" s="3" t="str">
        <f t="shared" si="2"/>
        <v xml:space="preserve">2.1.04 </v>
      </c>
      <c r="B127" s="3" t="s">
        <v>5</v>
      </c>
      <c r="D127" s="3" t="s">
        <v>22</v>
      </c>
      <c r="E127" s="3" t="s">
        <v>25</v>
      </c>
      <c r="F127" s="8" t="s">
        <v>421</v>
      </c>
      <c r="G127" s="8" t="s">
        <v>427</v>
      </c>
      <c r="H127" s="8"/>
      <c r="I127" s="8" t="s">
        <v>503</v>
      </c>
      <c r="J127" s="8" t="s">
        <v>370</v>
      </c>
      <c r="K127" s="7" t="s">
        <v>691</v>
      </c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</row>
    <row r="128" spans="1:30" hidden="1" x14ac:dyDescent="0.2">
      <c r="A128" s="3" t="str">
        <f t="shared" si="2"/>
        <v xml:space="preserve">2.1.04 </v>
      </c>
      <c r="B128" s="3" t="s">
        <v>5</v>
      </c>
      <c r="D128" s="3" t="s">
        <v>22</v>
      </c>
      <c r="E128" s="3" t="s">
        <v>99</v>
      </c>
      <c r="F128" s="8" t="s">
        <v>421</v>
      </c>
      <c r="G128" s="8" t="s">
        <v>427</v>
      </c>
      <c r="H128" s="8"/>
      <c r="I128" s="8" t="s">
        <v>506</v>
      </c>
      <c r="J128" s="8" t="s">
        <v>247</v>
      </c>
      <c r="K128" s="7" t="s">
        <v>691</v>
      </c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</row>
    <row r="129" spans="1:30" hidden="1" x14ac:dyDescent="0.2">
      <c r="A129" s="3" t="str">
        <f t="shared" si="2"/>
        <v xml:space="preserve">2.1.04 </v>
      </c>
      <c r="B129" s="3" t="s">
        <v>5</v>
      </c>
      <c r="D129" s="3" t="s">
        <v>22</v>
      </c>
      <c r="E129" s="3" t="s">
        <v>99</v>
      </c>
      <c r="F129" s="8" t="s">
        <v>421</v>
      </c>
      <c r="G129" s="8" t="s">
        <v>427</v>
      </c>
      <c r="H129" s="8"/>
      <c r="I129" s="8" t="s">
        <v>507</v>
      </c>
      <c r="J129" s="8" t="s">
        <v>372</v>
      </c>
      <c r="K129" s="7" t="s">
        <v>691</v>
      </c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</row>
    <row r="130" spans="1:30" hidden="1" x14ac:dyDescent="0.2">
      <c r="A130" s="3" t="str">
        <f t="shared" si="2"/>
        <v xml:space="preserve">2.1.04 </v>
      </c>
      <c r="B130" s="3" t="s">
        <v>5</v>
      </c>
      <c r="D130" s="3" t="s">
        <v>22</v>
      </c>
      <c r="E130" s="3" t="s">
        <v>26</v>
      </c>
      <c r="F130" s="8" t="s">
        <v>421</v>
      </c>
      <c r="G130" s="8" t="s">
        <v>427</v>
      </c>
      <c r="H130" s="8"/>
      <c r="I130" s="8" t="s">
        <v>504</v>
      </c>
      <c r="J130" s="8" t="s">
        <v>246</v>
      </c>
      <c r="K130" s="7" t="s">
        <v>691</v>
      </c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</row>
    <row r="131" spans="1:30" hidden="1" x14ac:dyDescent="0.2">
      <c r="A131" s="3" t="str">
        <f t="shared" si="2"/>
        <v xml:space="preserve">2.1.04 </v>
      </c>
      <c r="B131" s="3" t="s">
        <v>5</v>
      </c>
      <c r="D131" s="3" t="s">
        <v>22</v>
      </c>
      <c r="E131" s="3" t="s">
        <v>26</v>
      </c>
      <c r="F131" s="8" t="s">
        <v>421</v>
      </c>
      <c r="G131" s="8" t="s">
        <v>427</v>
      </c>
      <c r="H131" s="8"/>
      <c r="I131" s="8" t="s">
        <v>505</v>
      </c>
      <c r="J131" s="8" t="s">
        <v>371</v>
      </c>
      <c r="K131" s="7" t="s">
        <v>691</v>
      </c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</row>
    <row r="132" spans="1:30" hidden="1" x14ac:dyDescent="0.2">
      <c r="A132" s="3" t="str">
        <f t="shared" si="2"/>
        <v xml:space="preserve">2.1.04 </v>
      </c>
      <c r="B132" s="3" t="s">
        <v>5</v>
      </c>
      <c r="C132" s="2"/>
      <c r="D132" s="2" t="s">
        <v>6</v>
      </c>
      <c r="E132" s="2" t="s">
        <v>11</v>
      </c>
      <c r="F132" s="8" t="s">
        <v>421</v>
      </c>
      <c r="G132" s="8" t="s">
        <v>427</v>
      </c>
      <c r="H132" s="8"/>
      <c r="I132" s="8" t="s">
        <v>472</v>
      </c>
      <c r="J132" s="8" t="s">
        <v>227</v>
      </c>
      <c r="K132" s="7" t="s">
        <v>691</v>
      </c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</row>
    <row r="133" spans="1:30" hidden="1" x14ac:dyDescent="0.2">
      <c r="A133" s="3" t="str">
        <f t="shared" si="2"/>
        <v xml:space="preserve">2.1.04 </v>
      </c>
      <c r="B133" s="3" t="s">
        <v>5</v>
      </c>
      <c r="C133" s="2"/>
      <c r="D133" s="2" t="s">
        <v>6</v>
      </c>
      <c r="E133" s="2" t="s">
        <v>8</v>
      </c>
      <c r="F133" s="8" t="s">
        <v>421</v>
      </c>
      <c r="G133" s="8" t="s">
        <v>427</v>
      </c>
      <c r="H133" s="8"/>
      <c r="I133" s="8" t="s">
        <v>467</v>
      </c>
      <c r="J133" s="8" t="s">
        <v>224</v>
      </c>
      <c r="K133" s="7" t="s">
        <v>691</v>
      </c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</row>
    <row r="134" spans="1:30" hidden="1" x14ac:dyDescent="0.2">
      <c r="A134" s="3" t="str">
        <f t="shared" si="2"/>
        <v xml:space="preserve">2.1.04 </v>
      </c>
      <c r="B134" s="3" t="s">
        <v>5</v>
      </c>
      <c r="C134" s="2"/>
      <c r="D134" s="2" t="s">
        <v>6</v>
      </c>
      <c r="E134" s="2" t="s">
        <v>8</v>
      </c>
      <c r="F134" s="8" t="s">
        <v>421</v>
      </c>
      <c r="G134" s="8" t="s">
        <v>427</v>
      </c>
      <c r="H134" s="8"/>
      <c r="I134" s="8" t="s">
        <v>468</v>
      </c>
      <c r="J134" s="8" t="s">
        <v>356</v>
      </c>
      <c r="K134" s="7" t="s">
        <v>691</v>
      </c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</row>
    <row r="135" spans="1:30" hidden="1" x14ac:dyDescent="0.2">
      <c r="A135" s="3" t="str">
        <f t="shared" si="2"/>
        <v xml:space="preserve">2.1.04 </v>
      </c>
      <c r="B135" s="3" t="s">
        <v>5</v>
      </c>
      <c r="C135" s="2"/>
      <c r="D135" s="2" t="s">
        <v>6</v>
      </c>
      <c r="E135" s="2" t="s">
        <v>7</v>
      </c>
      <c r="F135" s="8" t="s">
        <v>421</v>
      </c>
      <c r="G135" s="8" t="s">
        <v>427</v>
      </c>
      <c r="H135" s="8"/>
      <c r="I135" s="8" t="s">
        <v>466</v>
      </c>
      <c r="J135" s="8" t="s">
        <v>223</v>
      </c>
      <c r="K135" s="7" t="s">
        <v>691</v>
      </c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</row>
    <row r="136" spans="1:30" hidden="1" x14ac:dyDescent="0.2">
      <c r="A136" s="3" t="str">
        <f t="shared" si="2"/>
        <v xml:space="preserve">2.1.04 </v>
      </c>
      <c r="B136" s="3" t="s">
        <v>5</v>
      </c>
      <c r="C136" s="2"/>
      <c r="D136" s="2" t="s">
        <v>6</v>
      </c>
      <c r="E136" s="2" t="s">
        <v>10</v>
      </c>
      <c r="F136" s="8" t="s">
        <v>421</v>
      </c>
      <c r="G136" s="8" t="s">
        <v>427</v>
      </c>
      <c r="H136" s="8"/>
      <c r="I136" s="8" t="s">
        <v>470</v>
      </c>
      <c r="J136" s="8" t="s">
        <v>226</v>
      </c>
      <c r="K136" s="7" t="s">
        <v>691</v>
      </c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</row>
    <row r="137" spans="1:30" hidden="1" x14ac:dyDescent="0.2">
      <c r="A137" s="3" t="str">
        <f t="shared" si="2"/>
        <v xml:space="preserve">2.1.04 </v>
      </c>
      <c r="B137" s="3" t="s">
        <v>5</v>
      </c>
      <c r="C137" s="2"/>
      <c r="D137" s="2" t="s">
        <v>6</v>
      </c>
      <c r="E137" s="2" t="s">
        <v>10</v>
      </c>
      <c r="F137" s="8" t="s">
        <v>421</v>
      </c>
      <c r="G137" s="8" t="s">
        <v>427</v>
      </c>
      <c r="H137" s="8"/>
      <c r="I137" s="8" t="s">
        <v>471</v>
      </c>
      <c r="J137" s="8" t="s">
        <v>357</v>
      </c>
      <c r="K137" s="7" t="s">
        <v>691</v>
      </c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</row>
    <row r="138" spans="1:30" hidden="1" x14ac:dyDescent="0.2">
      <c r="A138" s="3" t="str">
        <f t="shared" si="2"/>
        <v xml:space="preserve">2.1.04 </v>
      </c>
      <c r="B138" s="3" t="s">
        <v>5</v>
      </c>
      <c r="C138" s="2"/>
      <c r="D138" s="2" t="s">
        <v>6</v>
      </c>
      <c r="E138" s="2" t="s">
        <v>9</v>
      </c>
      <c r="F138" s="8" t="s">
        <v>421</v>
      </c>
      <c r="G138" s="8" t="s">
        <v>427</v>
      </c>
      <c r="H138" s="8"/>
      <c r="I138" s="8" t="s">
        <v>469</v>
      </c>
      <c r="J138" s="8" t="s">
        <v>225</v>
      </c>
      <c r="K138" s="7" t="s">
        <v>691</v>
      </c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</row>
    <row r="139" spans="1:30" hidden="1" x14ac:dyDescent="0.2">
      <c r="A139" s="3" t="str">
        <f t="shared" ref="A139:A202" si="4">CONCATENATE(MID(B139,3,4),"0",MID(B139,7,2))</f>
        <v xml:space="preserve">2.1.04 </v>
      </c>
      <c r="B139" s="3" t="s">
        <v>5</v>
      </c>
      <c r="D139" s="2" t="s">
        <v>12</v>
      </c>
      <c r="E139" s="3" t="s">
        <v>17</v>
      </c>
      <c r="F139" s="8" t="s">
        <v>421</v>
      </c>
      <c r="G139" s="8" t="s">
        <v>427</v>
      </c>
      <c r="H139" s="8"/>
      <c r="I139" s="8" t="s">
        <v>480</v>
      </c>
      <c r="J139" s="8" t="s">
        <v>233</v>
      </c>
      <c r="K139" s="7" t="s">
        <v>691</v>
      </c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</row>
    <row r="140" spans="1:30" hidden="1" x14ac:dyDescent="0.2">
      <c r="A140" s="3" t="str">
        <f t="shared" si="4"/>
        <v xml:space="preserve">2.1.04 </v>
      </c>
      <c r="B140" s="3" t="s">
        <v>5</v>
      </c>
      <c r="D140" s="2" t="s">
        <v>12</v>
      </c>
      <c r="E140" s="3" t="s">
        <v>126</v>
      </c>
      <c r="F140" s="8" t="s">
        <v>421</v>
      </c>
      <c r="G140" s="8" t="s">
        <v>427</v>
      </c>
      <c r="H140" s="8"/>
      <c r="I140" s="8" t="s">
        <v>476</v>
      </c>
      <c r="J140" s="8" t="s">
        <v>230</v>
      </c>
      <c r="K140" s="7" t="s">
        <v>691</v>
      </c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</row>
    <row r="141" spans="1:30" hidden="1" x14ac:dyDescent="0.2">
      <c r="A141" s="3" t="str">
        <f t="shared" si="4"/>
        <v xml:space="preserve">2.1.04 </v>
      </c>
      <c r="B141" s="3" t="s">
        <v>5</v>
      </c>
      <c r="D141" s="2" t="s">
        <v>12</v>
      </c>
      <c r="E141" s="3" t="s">
        <v>14</v>
      </c>
      <c r="F141" s="8" t="s">
        <v>421</v>
      </c>
      <c r="G141" s="8" t="s">
        <v>427</v>
      </c>
      <c r="H141" s="8"/>
      <c r="I141" s="8" t="s">
        <v>474</v>
      </c>
      <c r="J141" s="8" t="s">
        <v>229</v>
      </c>
      <c r="K141" s="7" t="s">
        <v>691</v>
      </c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</row>
    <row r="142" spans="1:30" hidden="1" x14ac:dyDescent="0.2">
      <c r="A142" s="3" t="str">
        <f t="shared" si="4"/>
        <v xml:space="preserve">2.1.04 </v>
      </c>
      <c r="B142" s="3" t="s">
        <v>5</v>
      </c>
      <c r="D142" s="2" t="s">
        <v>12</v>
      </c>
      <c r="E142" s="3" t="s">
        <v>14</v>
      </c>
      <c r="F142" s="8" t="s">
        <v>421</v>
      </c>
      <c r="G142" s="8" t="s">
        <v>427</v>
      </c>
      <c r="H142" s="8"/>
      <c r="I142" s="8" t="s">
        <v>475</v>
      </c>
      <c r="J142" s="8" t="s">
        <v>358</v>
      </c>
      <c r="K142" s="7" t="s">
        <v>691</v>
      </c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</row>
    <row r="143" spans="1:30" hidden="1" x14ac:dyDescent="0.2">
      <c r="A143" s="3" t="str">
        <f t="shared" si="4"/>
        <v xml:space="preserve">2.1.04 </v>
      </c>
      <c r="B143" s="3" t="s">
        <v>5</v>
      </c>
      <c r="D143" s="2" t="s">
        <v>12</v>
      </c>
      <c r="E143" s="3" t="s">
        <v>13</v>
      </c>
      <c r="F143" s="8" t="s">
        <v>421</v>
      </c>
      <c r="G143" s="8" t="s">
        <v>427</v>
      </c>
      <c r="H143" s="8"/>
      <c r="I143" s="8" t="s">
        <v>473</v>
      </c>
      <c r="J143" s="8" t="s">
        <v>228</v>
      </c>
      <c r="K143" s="7" t="s">
        <v>691</v>
      </c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</row>
    <row r="144" spans="1:30" hidden="1" x14ac:dyDescent="0.2">
      <c r="A144" s="3" t="str">
        <f t="shared" si="4"/>
        <v xml:space="preserve">2.1.04 </v>
      </c>
      <c r="B144" s="3" t="s">
        <v>5</v>
      </c>
      <c r="D144" s="2" t="s">
        <v>12</v>
      </c>
      <c r="E144" s="3" t="s">
        <v>16</v>
      </c>
      <c r="F144" s="8" t="s">
        <v>421</v>
      </c>
      <c r="G144" s="8" t="s">
        <v>427</v>
      </c>
      <c r="H144" s="8"/>
      <c r="I144" s="8" t="s">
        <v>478</v>
      </c>
      <c r="J144" s="8" t="s">
        <v>232</v>
      </c>
      <c r="K144" s="7" t="s">
        <v>691</v>
      </c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</row>
    <row r="145" spans="1:30" hidden="1" x14ac:dyDescent="0.2">
      <c r="A145" s="3" t="str">
        <f t="shared" si="4"/>
        <v xml:space="preserve">2.1.04 </v>
      </c>
      <c r="B145" s="3" t="s">
        <v>5</v>
      </c>
      <c r="D145" s="2" t="s">
        <v>12</v>
      </c>
      <c r="E145" s="3" t="s">
        <v>16</v>
      </c>
      <c r="F145" s="8" t="s">
        <v>421</v>
      </c>
      <c r="G145" s="8" t="s">
        <v>427</v>
      </c>
      <c r="H145" s="8"/>
      <c r="I145" s="8" t="s">
        <v>479</v>
      </c>
      <c r="J145" s="8" t="s">
        <v>359</v>
      </c>
      <c r="K145" s="7" t="s">
        <v>691</v>
      </c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</row>
    <row r="146" spans="1:30" hidden="1" x14ac:dyDescent="0.2">
      <c r="A146" s="3" t="str">
        <f t="shared" si="4"/>
        <v xml:space="preserve">2.1.04 </v>
      </c>
      <c r="B146" s="3" t="s">
        <v>5</v>
      </c>
      <c r="D146" s="2" t="s">
        <v>12</v>
      </c>
      <c r="E146" s="3" t="s">
        <v>15</v>
      </c>
      <c r="F146" s="8" t="s">
        <v>421</v>
      </c>
      <c r="G146" s="8" t="s">
        <v>427</v>
      </c>
      <c r="H146" s="8"/>
      <c r="I146" s="8" t="s">
        <v>477</v>
      </c>
      <c r="J146" s="8" t="s">
        <v>231</v>
      </c>
      <c r="K146" s="7" t="s">
        <v>691</v>
      </c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</row>
    <row r="147" spans="1:30" hidden="1" x14ac:dyDescent="0.2">
      <c r="A147" s="3" t="str">
        <f t="shared" si="4"/>
        <v xml:space="preserve">2.1.04 </v>
      </c>
      <c r="B147" s="3" t="s">
        <v>5</v>
      </c>
      <c r="D147" s="3" t="s">
        <v>18</v>
      </c>
      <c r="E147" s="3" t="s">
        <v>21</v>
      </c>
      <c r="F147" s="8" t="s">
        <v>421</v>
      </c>
      <c r="G147" s="8" t="s">
        <v>427</v>
      </c>
      <c r="H147" s="8"/>
      <c r="I147" s="8" t="s">
        <v>493</v>
      </c>
      <c r="J147" s="8" t="s">
        <v>240</v>
      </c>
      <c r="K147" s="7" t="s">
        <v>691</v>
      </c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</row>
    <row r="148" spans="1:30" hidden="1" x14ac:dyDescent="0.2">
      <c r="A148" s="3" t="str">
        <f t="shared" si="4"/>
        <v xml:space="preserve">2.1.04 </v>
      </c>
      <c r="B148" s="3" t="s">
        <v>5</v>
      </c>
      <c r="D148" s="3" t="s">
        <v>18</v>
      </c>
      <c r="E148" s="2" t="s">
        <v>8</v>
      </c>
      <c r="F148" s="8" t="s">
        <v>421</v>
      </c>
      <c r="G148" s="8" t="s">
        <v>427</v>
      </c>
      <c r="H148" s="8"/>
      <c r="I148" s="8" t="s">
        <v>483</v>
      </c>
      <c r="J148" s="8" t="s">
        <v>235</v>
      </c>
      <c r="K148" s="7" t="s">
        <v>691</v>
      </c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</row>
    <row r="149" spans="1:30" hidden="1" x14ac:dyDescent="0.2">
      <c r="A149" s="3" t="str">
        <f t="shared" si="4"/>
        <v xml:space="preserve">2.1.04 </v>
      </c>
      <c r="B149" s="3" t="s">
        <v>5</v>
      </c>
      <c r="D149" s="3" t="s">
        <v>18</v>
      </c>
      <c r="E149" s="2" t="s">
        <v>8</v>
      </c>
      <c r="F149" s="8" t="s">
        <v>421</v>
      </c>
      <c r="G149" s="8" t="s">
        <v>427</v>
      </c>
      <c r="H149" s="8"/>
      <c r="I149" s="8" t="s">
        <v>484</v>
      </c>
      <c r="J149" s="8" t="s">
        <v>361</v>
      </c>
      <c r="K149" s="7" t="s">
        <v>691</v>
      </c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</row>
    <row r="150" spans="1:30" hidden="1" x14ac:dyDescent="0.2">
      <c r="A150" s="3" t="str">
        <f t="shared" si="4"/>
        <v xml:space="preserve">2.1.04 </v>
      </c>
      <c r="B150" s="3" t="s">
        <v>5</v>
      </c>
      <c r="D150" s="3" t="s">
        <v>18</v>
      </c>
      <c r="E150" s="2" t="s">
        <v>7</v>
      </c>
      <c r="F150" s="8" t="s">
        <v>421</v>
      </c>
      <c r="G150" s="8" t="s">
        <v>427</v>
      </c>
      <c r="H150" s="8"/>
      <c r="I150" s="8" t="s">
        <v>481</v>
      </c>
      <c r="J150" s="8" t="s">
        <v>234</v>
      </c>
      <c r="K150" s="7" t="s">
        <v>691</v>
      </c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</row>
    <row r="151" spans="1:30" hidden="1" x14ac:dyDescent="0.2">
      <c r="A151" s="3" t="str">
        <f t="shared" si="4"/>
        <v xml:space="preserve">2.1.04 </v>
      </c>
      <c r="B151" s="3" t="s">
        <v>5</v>
      </c>
      <c r="D151" s="3" t="s">
        <v>18</v>
      </c>
      <c r="E151" s="2" t="s">
        <v>7</v>
      </c>
      <c r="F151" s="8" t="s">
        <v>421</v>
      </c>
      <c r="G151" s="8" t="s">
        <v>427</v>
      </c>
      <c r="H151" s="8"/>
      <c r="I151" s="8" t="s">
        <v>482</v>
      </c>
      <c r="J151" s="8" t="s">
        <v>360</v>
      </c>
      <c r="K151" s="7" t="s">
        <v>691</v>
      </c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</row>
    <row r="152" spans="1:30" hidden="1" x14ac:dyDescent="0.2">
      <c r="A152" s="3" t="str">
        <f t="shared" si="4"/>
        <v xml:space="preserve">2.1.04 </v>
      </c>
      <c r="B152" s="3" t="s">
        <v>5</v>
      </c>
      <c r="D152" s="3" t="s">
        <v>18</v>
      </c>
      <c r="E152" s="2" t="s">
        <v>19</v>
      </c>
      <c r="F152" s="8" t="s">
        <v>421</v>
      </c>
      <c r="G152" s="8" t="s">
        <v>427</v>
      </c>
      <c r="H152" s="8"/>
      <c r="I152" s="8" t="s">
        <v>485</v>
      </c>
      <c r="J152" s="8" t="s">
        <v>236</v>
      </c>
      <c r="K152" s="7" t="s">
        <v>691</v>
      </c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</row>
    <row r="153" spans="1:30" hidden="1" x14ac:dyDescent="0.2">
      <c r="A153" s="3" t="str">
        <f t="shared" si="4"/>
        <v xml:space="preserve">2.1.04 </v>
      </c>
      <c r="B153" s="3" t="s">
        <v>5</v>
      </c>
      <c r="D153" s="3" t="s">
        <v>18</v>
      </c>
      <c r="E153" s="2" t="s">
        <v>19</v>
      </c>
      <c r="F153" s="8" t="s">
        <v>421</v>
      </c>
      <c r="G153" s="8" t="s">
        <v>427</v>
      </c>
      <c r="H153" s="8"/>
      <c r="I153" s="8" t="s">
        <v>486</v>
      </c>
      <c r="J153" s="8" t="s">
        <v>362</v>
      </c>
      <c r="K153" s="7" t="s">
        <v>691</v>
      </c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</row>
    <row r="154" spans="1:30" hidden="1" x14ac:dyDescent="0.2">
      <c r="A154" s="3" t="str">
        <f t="shared" si="4"/>
        <v xml:space="preserve">2.1.04 </v>
      </c>
      <c r="B154" s="3" t="s">
        <v>5</v>
      </c>
      <c r="D154" s="3" t="s">
        <v>18</v>
      </c>
      <c r="E154" s="2" t="s">
        <v>10</v>
      </c>
      <c r="F154" s="8" t="s">
        <v>421</v>
      </c>
      <c r="G154" s="8" t="s">
        <v>427</v>
      </c>
      <c r="H154" s="8"/>
      <c r="I154" s="8" t="s">
        <v>489</v>
      </c>
      <c r="J154" s="8" t="s">
        <v>238</v>
      </c>
      <c r="K154" s="7" t="s">
        <v>691</v>
      </c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</row>
    <row r="155" spans="1:30" hidden="1" x14ac:dyDescent="0.2">
      <c r="A155" s="3" t="str">
        <f t="shared" si="4"/>
        <v xml:space="preserve">2.1.04 </v>
      </c>
      <c r="B155" s="3" t="s">
        <v>5</v>
      </c>
      <c r="D155" s="3" t="s">
        <v>18</v>
      </c>
      <c r="E155" s="2" t="s">
        <v>10</v>
      </c>
      <c r="F155" s="8" t="s">
        <v>421</v>
      </c>
      <c r="G155" s="8" t="s">
        <v>427</v>
      </c>
      <c r="H155" s="8"/>
      <c r="I155" s="8" t="s">
        <v>490</v>
      </c>
      <c r="J155" s="8" t="s">
        <v>364</v>
      </c>
      <c r="K155" s="7" t="s">
        <v>691</v>
      </c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</row>
    <row r="156" spans="1:30" hidden="1" x14ac:dyDescent="0.2">
      <c r="A156" s="3" t="str">
        <f t="shared" si="4"/>
        <v xml:space="preserve">2.1.04 </v>
      </c>
      <c r="B156" s="3" t="s">
        <v>5</v>
      </c>
      <c r="D156" s="3" t="s">
        <v>18</v>
      </c>
      <c r="E156" s="2" t="s">
        <v>9</v>
      </c>
      <c r="F156" s="8" t="s">
        <v>421</v>
      </c>
      <c r="G156" s="8" t="s">
        <v>427</v>
      </c>
      <c r="H156" s="8"/>
      <c r="I156" s="8" t="s">
        <v>487</v>
      </c>
      <c r="J156" s="8" t="s">
        <v>237</v>
      </c>
      <c r="K156" s="7" t="s">
        <v>691</v>
      </c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</row>
    <row r="157" spans="1:30" hidden="1" x14ac:dyDescent="0.2">
      <c r="A157" s="3" t="str">
        <f t="shared" si="4"/>
        <v xml:space="preserve">2.1.04 </v>
      </c>
      <c r="B157" s="3" t="s">
        <v>5</v>
      </c>
      <c r="D157" s="3" t="s">
        <v>18</v>
      </c>
      <c r="E157" s="2" t="s">
        <v>9</v>
      </c>
      <c r="F157" s="8" t="s">
        <v>421</v>
      </c>
      <c r="G157" s="8" t="s">
        <v>427</v>
      </c>
      <c r="H157" s="8"/>
      <c r="I157" s="8" t="s">
        <v>488</v>
      </c>
      <c r="J157" s="8" t="s">
        <v>363</v>
      </c>
      <c r="K157" s="7" t="s">
        <v>691</v>
      </c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</row>
    <row r="158" spans="1:30" hidden="1" x14ac:dyDescent="0.2">
      <c r="A158" s="3" t="str">
        <f t="shared" si="4"/>
        <v xml:space="preserve">2.1.04 </v>
      </c>
      <c r="B158" s="3" t="s">
        <v>5</v>
      </c>
      <c r="D158" s="3" t="s">
        <v>18</v>
      </c>
      <c r="E158" s="2" t="s">
        <v>20</v>
      </c>
      <c r="F158" s="8" t="s">
        <v>421</v>
      </c>
      <c r="G158" s="8" t="s">
        <v>427</v>
      </c>
      <c r="H158" s="8"/>
      <c r="I158" s="8" t="s">
        <v>491</v>
      </c>
      <c r="J158" s="8" t="s">
        <v>239</v>
      </c>
      <c r="K158" s="7" t="s">
        <v>691</v>
      </c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</row>
    <row r="159" spans="1:30" hidden="1" x14ac:dyDescent="0.2">
      <c r="A159" s="3" t="str">
        <f t="shared" si="4"/>
        <v xml:space="preserve">2.1.04 </v>
      </c>
      <c r="B159" s="3" t="s">
        <v>5</v>
      </c>
      <c r="D159" s="3" t="s">
        <v>18</v>
      </c>
      <c r="E159" s="2" t="s">
        <v>20</v>
      </c>
      <c r="F159" s="8" t="s">
        <v>421</v>
      </c>
      <c r="G159" s="8" t="s">
        <v>427</v>
      </c>
      <c r="H159" s="8"/>
      <c r="I159" s="8" t="s">
        <v>492</v>
      </c>
      <c r="J159" s="8" t="s">
        <v>365</v>
      </c>
      <c r="K159" s="7" t="s">
        <v>691</v>
      </c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</row>
    <row r="160" spans="1:30" hidden="1" x14ac:dyDescent="0.2">
      <c r="A160" s="3" t="str">
        <f t="shared" si="4"/>
        <v xml:space="preserve">2.1.05 </v>
      </c>
      <c r="B160" s="3" t="s">
        <v>28</v>
      </c>
      <c r="D160" s="3" t="s">
        <v>29</v>
      </c>
      <c r="E160" s="18" t="s">
        <v>31</v>
      </c>
      <c r="F160" s="8" t="s">
        <v>421</v>
      </c>
      <c r="G160" s="8" t="s">
        <v>427</v>
      </c>
      <c r="H160" s="8"/>
      <c r="I160" s="8" t="s">
        <v>525</v>
      </c>
      <c r="J160" s="8" t="s">
        <v>257</v>
      </c>
      <c r="K160" s="38" t="s">
        <v>4326</v>
      </c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</row>
    <row r="161" spans="1:30" hidden="1" x14ac:dyDescent="0.2">
      <c r="A161" s="3" t="str">
        <f t="shared" si="4"/>
        <v xml:space="preserve">2.1.05 </v>
      </c>
      <c r="B161" s="3" t="s">
        <v>28</v>
      </c>
      <c r="D161" s="3" t="s">
        <v>29</v>
      </c>
      <c r="E161" s="18" t="s">
        <v>31</v>
      </c>
      <c r="F161" s="8" t="s">
        <v>421</v>
      </c>
      <c r="G161" s="8" t="s">
        <v>427</v>
      </c>
      <c r="H161" s="8"/>
      <c r="I161" s="8" t="s">
        <v>526</v>
      </c>
      <c r="J161" s="8" t="s">
        <v>416</v>
      </c>
      <c r="K161" s="38" t="s">
        <v>4326</v>
      </c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</row>
    <row r="162" spans="1:30" hidden="1" x14ac:dyDescent="0.2">
      <c r="A162" s="3" t="str">
        <f t="shared" si="4"/>
        <v xml:space="preserve">2.1.05 </v>
      </c>
      <c r="B162" s="3" t="s">
        <v>28</v>
      </c>
      <c r="D162" s="3" t="s">
        <v>29</v>
      </c>
      <c r="E162" s="18" t="s">
        <v>31</v>
      </c>
      <c r="F162" s="8" t="s">
        <v>421</v>
      </c>
      <c r="G162" s="8" t="s">
        <v>427</v>
      </c>
      <c r="H162" s="8"/>
      <c r="I162" s="8" t="s">
        <v>527</v>
      </c>
      <c r="J162" s="8"/>
      <c r="K162" s="38" t="s">
        <v>4326</v>
      </c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</row>
    <row r="163" spans="1:30" hidden="1" x14ac:dyDescent="0.2">
      <c r="A163" s="3" t="str">
        <f t="shared" si="4"/>
        <v xml:space="preserve">2.1.05 </v>
      </c>
      <c r="B163" s="3" t="s">
        <v>28</v>
      </c>
      <c r="D163" s="3" t="s">
        <v>29</v>
      </c>
      <c r="E163" s="18" t="s">
        <v>31</v>
      </c>
      <c r="F163" s="8" t="s">
        <v>421</v>
      </c>
      <c r="G163" s="8" t="s">
        <v>427</v>
      </c>
      <c r="H163" s="8"/>
      <c r="I163" s="8" t="s">
        <v>528</v>
      </c>
      <c r="J163" s="8"/>
      <c r="K163" s="38" t="s">
        <v>4326</v>
      </c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</row>
    <row r="164" spans="1:30" hidden="1" x14ac:dyDescent="0.2">
      <c r="A164" s="3" t="str">
        <f t="shared" si="4"/>
        <v xml:space="preserve">2.1.05 </v>
      </c>
      <c r="B164" s="3" t="s">
        <v>28</v>
      </c>
      <c r="D164" s="3" t="s">
        <v>29</v>
      </c>
      <c r="E164" s="18" t="s">
        <v>31</v>
      </c>
      <c r="F164" s="8" t="s">
        <v>421</v>
      </c>
      <c r="G164" s="8" t="s">
        <v>427</v>
      </c>
      <c r="H164" s="8"/>
      <c r="I164" s="8" t="s">
        <v>529</v>
      </c>
      <c r="J164" s="8"/>
      <c r="K164" s="38" t="s">
        <v>4326</v>
      </c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</row>
    <row r="165" spans="1:30" hidden="1" x14ac:dyDescent="0.2">
      <c r="A165" s="3" t="str">
        <f t="shared" si="4"/>
        <v xml:space="preserve">2.1.05 </v>
      </c>
      <c r="B165" s="3" t="s">
        <v>28</v>
      </c>
      <c r="D165" s="3" t="s">
        <v>29</v>
      </c>
      <c r="E165" s="18" t="s">
        <v>31</v>
      </c>
      <c r="F165" s="8" t="s">
        <v>421</v>
      </c>
      <c r="G165" s="8" t="s">
        <v>427</v>
      </c>
      <c r="H165" s="8"/>
      <c r="I165" s="8" t="s">
        <v>530</v>
      </c>
      <c r="J165" s="8"/>
      <c r="K165" s="38" t="s">
        <v>4326</v>
      </c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</row>
    <row r="166" spans="1:30" hidden="1" x14ac:dyDescent="0.2">
      <c r="A166" s="3" t="str">
        <f t="shared" si="4"/>
        <v xml:space="preserve">2.1.05 </v>
      </c>
      <c r="B166" s="3" t="s">
        <v>28</v>
      </c>
      <c r="D166" s="3" t="s">
        <v>29</v>
      </c>
      <c r="E166" s="2" t="s">
        <v>7</v>
      </c>
      <c r="F166" s="8" t="s">
        <v>421</v>
      </c>
      <c r="G166" s="8" t="s">
        <v>427</v>
      </c>
      <c r="H166" s="8"/>
      <c r="I166" s="8" t="s">
        <v>513</v>
      </c>
      <c r="J166" s="8" t="s">
        <v>251</v>
      </c>
      <c r="K166" s="7" t="s">
        <v>689</v>
      </c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</row>
    <row r="167" spans="1:30" hidden="1" x14ac:dyDescent="0.2">
      <c r="A167" s="3" t="str">
        <f t="shared" si="4"/>
        <v xml:space="preserve">2.1.05 </v>
      </c>
      <c r="B167" s="3" t="s">
        <v>28</v>
      </c>
      <c r="D167" s="3" t="s">
        <v>29</v>
      </c>
      <c r="E167" s="2" t="s">
        <v>7</v>
      </c>
      <c r="F167" s="8" t="s">
        <v>421</v>
      </c>
      <c r="G167" s="8" t="s">
        <v>427</v>
      </c>
      <c r="H167" s="8"/>
      <c r="I167" s="8" t="s">
        <v>514</v>
      </c>
      <c r="J167" s="8" t="s">
        <v>375</v>
      </c>
      <c r="K167" s="7" t="s">
        <v>689</v>
      </c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</row>
    <row r="168" spans="1:30" hidden="1" x14ac:dyDescent="0.2">
      <c r="A168" s="3" t="str">
        <f t="shared" si="4"/>
        <v xml:space="preserve">2.1.05 </v>
      </c>
      <c r="B168" s="3" t="s">
        <v>28</v>
      </c>
      <c r="D168" s="3" t="s">
        <v>29</v>
      </c>
      <c r="E168" s="2" t="s">
        <v>104</v>
      </c>
      <c r="F168" s="8" t="s">
        <v>421</v>
      </c>
      <c r="G168" s="8" t="s">
        <v>427</v>
      </c>
      <c r="H168" s="8"/>
      <c r="I168" s="8" t="s">
        <v>515</v>
      </c>
      <c r="J168" s="8" t="s">
        <v>252</v>
      </c>
      <c r="K168" s="7" t="s">
        <v>689</v>
      </c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</row>
    <row r="169" spans="1:30" hidden="1" x14ac:dyDescent="0.2">
      <c r="A169" s="3" t="str">
        <f t="shared" si="4"/>
        <v xml:space="preserve">2.1.05 </v>
      </c>
      <c r="B169" s="3" t="s">
        <v>28</v>
      </c>
      <c r="D169" s="3" t="s">
        <v>29</v>
      </c>
      <c r="E169" s="2" t="s">
        <v>104</v>
      </c>
      <c r="F169" s="8" t="s">
        <v>421</v>
      </c>
      <c r="G169" s="8" t="s">
        <v>427</v>
      </c>
      <c r="H169" s="8"/>
      <c r="I169" s="8" t="s">
        <v>516</v>
      </c>
      <c r="J169" s="8" t="s">
        <v>376</v>
      </c>
      <c r="K169" s="7" t="s">
        <v>689</v>
      </c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</row>
    <row r="170" spans="1:30" hidden="1" x14ac:dyDescent="0.2">
      <c r="A170" s="3" t="str">
        <f t="shared" si="4"/>
        <v xml:space="preserve">2.1.05 </v>
      </c>
      <c r="B170" s="3" t="s">
        <v>28</v>
      </c>
      <c r="D170" s="3" t="s">
        <v>29</v>
      </c>
      <c r="E170" s="2" t="s">
        <v>30</v>
      </c>
      <c r="F170" s="8" t="s">
        <v>421</v>
      </c>
      <c r="G170" s="8" t="s">
        <v>427</v>
      </c>
      <c r="H170" s="8"/>
      <c r="I170" s="8" t="s">
        <v>511</v>
      </c>
      <c r="J170" s="8" t="s">
        <v>250</v>
      </c>
      <c r="K170" s="7" t="s">
        <v>689</v>
      </c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</row>
    <row r="171" spans="1:30" hidden="1" x14ac:dyDescent="0.2">
      <c r="A171" s="3" t="str">
        <f t="shared" si="4"/>
        <v xml:space="preserve">2.1.05 </v>
      </c>
      <c r="B171" s="3" t="s">
        <v>28</v>
      </c>
      <c r="D171" s="3" t="s">
        <v>29</v>
      </c>
      <c r="E171" s="2" t="s">
        <v>30</v>
      </c>
      <c r="F171" s="8" t="s">
        <v>421</v>
      </c>
      <c r="G171" s="8" t="s">
        <v>427</v>
      </c>
      <c r="H171" s="8"/>
      <c r="I171" s="8" t="s">
        <v>512</v>
      </c>
      <c r="J171" s="8" t="s">
        <v>374</v>
      </c>
      <c r="K171" s="7" t="s">
        <v>689</v>
      </c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</row>
    <row r="172" spans="1:30" hidden="1" x14ac:dyDescent="0.2">
      <c r="A172" s="3" t="str">
        <f t="shared" si="4"/>
        <v xml:space="preserve">2.1.05 </v>
      </c>
      <c r="B172" s="3" t="s">
        <v>28</v>
      </c>
      <c r="D172" s="3" t="s">
        <v>29</v>
      </c>
      <c r="E172" s="2" t="s">
        <v>105</v>
      </c>
      <c r="F172" s="8" t="s">
        <v>421</v>
      </c>
      <c r="G172" s="8" t="s">
        <v>427</v>
      </c>
      <c r="H172" s="8"/>
      <c r="I172" s="8" t="s">
        <v>519</v>
      </c>
      <c r="J172" s="8" t="s">
        <v>254</v>
      </c>
      <c r="K172" s="7" t="s">
        <v>689</v>
      </c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</row>
    <row r="173" spans="1:30" hidden="1" x14ac:dyDescent="0.2">
      <c r="A173" s="3" t="str">
        <f t="shared" si="4"/>
        <v xml:space="preserve">2.1.05 </v>
      </c>
      <c r="B173" s="3" t="s">
        <v>28</v>
      </c>
      <c r="D173" s="3" t="s">
        <v>29</v>
      </c>
      <c r="E173" s="2" t="s">
        <v>105</v>
      </c>
      <c r="F173" s="8" t="s">
        <v>421</v>
      </c>
      <c r="G173" s="8" t="s">
        <v>427</v>
      </c>
      <c r="H173" s="8"/>
      <c r="I173" s="8" t="s">
        <v>520</v>
      </c>
      <c r="J173" s="8" t="s">
        <v>378</v>
      </c>
      <c r="K173" s="7" t="s">
        <v>689</v>
      </c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</row>
    <row r="174" spans="1:30" hidden="1" x14ac:dyDescent="0.2">
      <c r="A174" s="3" t="str">
        <f t="shared" si="4"/>
        <v xml:space="preserve">2.1.05 </v>
      </c>
      <c r="B174" s="3" t="s">
        <v>28</v>
      </c>
      <c r="D174" s="3" t="s">
        <v>29</v>
      </c>
      <c r="E174" s="2" t="s">
        <v>106</v>
      </c>
      <c r="F174" s="8" t="s">
        <v>421</v>
      </c>
      <c r="G174" s="8" t="s">
        <v>427</v>
      </c>
      <c r="H174" s="8"/>
      <c r="I174" s="8" t="s">
        <v>521</v>
      </c>
      <c r="J174" s="8" t="s">
        <v>255</v>
      </c>
      <c r="K174" s="7" t="s">
        <v>689</v>
      </c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</row>
    <row r="175" spans="1:30" hidden="1" x14ac:dyDescent="0.2">
      <c r="A175" s="3" t="str">
        <f t="shared" si="4"/>
        <v xml:space="preserve">2.1.05 </v>
      </c>
      <c r="B175" s="3" t="s">
        <v>28</v>
      </c>
      <c r="D175" s="3" t="s">
        <v>29</v>
      </c>
      <c r="E175" s="2" t="s">
        <v>106</v>
      </c>
      <c r="F175" s="8" t="s">
        <v>421</v>
      </c>
      <c r="G175" s="8" t="s">
        <v>427</v>
      </c>
      <c r="H175" s="8"/>
      <c r="I175" s="8" t="s">
        <v>522</v>
      </c>
      <c r="J175" s="8" t="s">
        <v>379</v>
      </c>
      <c r="K175" s="7" t="s">
        <v>689</v>
      </c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</row>
    <row r="176" spans="1:30" hidden="1" x14ac:dyDescent="0.2">
      <c r="A176" s="3" t="str">
        <f t="shared" si="4"/>
        <v xml:space="preserve">2.1.05 </v>
      </c>
      <c r="B176" s="3" t="s">
        <v>28</v>
      </c>
      <c r="D176" s="3" t="s">
        <v>29</v>
      </c>
      <c r="E176" s="2" t="s">
        <v>127</v>
      </c>
      <c r="F176" s="8" t="s">
        <v>421</v>
      </c>
      <c r="G176" s="8" t="s">
        <v>427</v>
      </c>
      <c r="H176" s="8"/>
      <c r="I176" s="8" t="s">
        <v>523</v>
      </c>
      <c r="J176" s="8" t="s">
        <v>256</v>
      </c>
      <c r="K176" s="7" t="s">
        <v>689</v>
      </c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</row>
    <row r="177" spans="1:30" hidden="1" x14ac:dyDescent="0.2">
      <c r="A177" s="3" t="str">
        <f t="shared" si="4"/>
        <v xml:space="preserve">2.1.05 </v>
      </c>
      <c r="B177" s="3" t="s">
        <v>28</v>
      </c>
      <c r="D177" s="3" t="s">
        <v>29</v>
      </c>
      <c r="E177" s="2" t="s">
        <v>127</v>
      </c>
      <c r="F177" s="8" t="s">
        <v>421</v>
      </c>
      <c r="G177" s="8" t="s">
        <v>427</v>
      </c>
      <c r="H177" s="8"/>
      <c r="I177" s="8" t="s">
        <v>524</v>
      </c>
      <c r="J177" s="8" t="s">
        <v>380</v>
      </c>
      <c r="K177" s="7" t="s">
        <v>689</v>
      </c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</row>
    <row r="178" spans="1:30" hidden="1" x14ac:dyDescent="0.2">
      <c r="A178" s="3" t="str">
        <f t="shared" si="4"/>
        <v xml:space="preserve">2.1.05 </v>
      </c>
      <c r="B178" s="3" t="s">
        <v>28</v>
      </c>
      <c r="D178" s="3" t="s">
        <v>29</v>
      </c>
      <c r="E178" s="3" t="s">
        <v>126</v>
      </c>
      <c r="F178" s="8" t="s">
        <v>421</v>
      </c>
      <c r="G178" s="8" t="s">
        <v>427</v>
      </c>
      <c r="H178" s="8"/>
      <c r="I178" s="8" t="s">
        <v>517</v>
      </c>
      <c r="J178" s="8" t="s">
        <v>253</v>
      </c>
      <c r="K178" s="7" t="s">
        <v>689</v>
      </c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</row>
    <row r="179" spans="1:30" hidden="1" x14ac:dyDescent="0.2">
      <c r="A179" s="3" t="str">
        <f t="shared" si="4"/>
        <v xml:space="preserve">2.1.05 </v>
      </c>
      <c r="B179" s="3" t="s">
        <v>28</v>
      </c>
      <c r="D179" s="3" t="s">
        <v>29</v>
      </c>
      <c r="E179" s="3" t="s">
        <v>126</v>
      </c>
      <c r="F179" s="8" t="s">
        <v>421</v>
      </c>
      <c r="G179" s="8" t="s">
        <v>427</v>
      </c>
      <c r="H179" s="8"/>
      <c r="I179" s="8" t="s">
        <v>518</v>
      </c>
      <c r="J179" s="8" t="s">
        <v>377</v>
      </c>
      <c r="K179" s="7" t="s">
        <v>689</v>
      </c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</row>
    <row r="180" spans="1:30" hidden="1" x14ac:dyDescent="0.2">
      <c r="A180" s="3" t="str">
        <f t="shared" si="4"/>
        <v xml:space="preserve">2.1.05 </v>
      </c>
      <c r="B180" s="3" t="s">
        <v>28</v>
      </c>
      <c r="D180" s="3" t="s">
        <v>137</v>
      </c>
      <c r="E180" s="3" t="s">
        <v>69</v>
      </c>
      <c r="F180" s="8" t="s">
        <v>421</v>
      </c>
      <c r="G180" s="8" t="s">
        <v>427</v>
      </c>
      <c r="H180" s="8"/>
      <c r="I180" s="8" t="s">
        <v>531</v>
      </c>
      <c r="J180" s="8" t="s">
        <v>258</v>
      </c>
      <c r="K180" s="7" t="s">
        <v>689</v>
      </c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</row>
    <row r="181" spans="1:30" hidden="1" x14ac:dyDescent="0.2">
      <c r="A181" s="3" t="str">
        <f t="shared" si="4"/>
        <v xml:space="preserve">2.1.05 </v>
      </c>
      <c r="B181" s="3" t="s">
        <v>28</v>
      </c>
      <c r="D181" s="3" t="s">
        <v>137</v>
      </c>
      <c r="E181" s="3" t="s">
        <v>69</v>
      </c>
      <c r="F181" s="8" t="s">
        <v>421</v>
      </c>
      <c r="G181" s="8" t="s">
        <v>427</v>
      </c>
      <c r="H181" s="8"/>
      <c r="I181" s="8" t="s">
        <v>532</v>
      </c>
      <c r="J181" s="8" t="s">
        <v>417</v>
      </c>
      <c r="K181" s="7" t="s">
        <v>689</v>
      </c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</row>
    <row r="182" spans="1:30" hidden="1" x14ac:dyDescent="0.2">
      <c r="A182" s="3" t="str">
        <f t="shared" si="4"/>
        <v xml:space="preserve">2.1.06 </v>
      </c>
      <c r="B182" s="3" t="s">
        <v>32</v>
      </c>
      <c r="D182" s="2" t="s">
        <v>48</v>
      </c>
      <c r="E182" s="3" t="s">
        <v>52</v>
      </c>
      <c r="F182" s="8" t="s">
        <v>421</v>
      </c>
      <c r="G182" s="8" t="s">
        <v>427</v>
      </c>
      <c r="H182" s="8"/>
      <c r="I182" s="8" t="s">
        <v>553</v>
      </c>
      <c r="J182" s="8" t="s">
        <v>273</v>
      </c>
      <c r="K182" s="7" t="s">
        <v>687</v>
      </c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</row>
    <row r="183" spans="1:30" hidden="1" x14ac:dyDescent="0.2">
      <c r="A183" s="3" t="str">
        <f t="shared" si="4"/>
        <v xml:space="preserve">2.1.06 </v>
      </c>
      <c r="B183" s="3" t="s">
        <v>32</v>
      </c>
      <c r="D183" s="2" t="s">
        <v>48</v>
      </c>
      <c r="E183" s="3" t="s">
        <v>50</v>
      </c>
      <c r="F183" s="8" t="s">
        <v>421</v>
      </c>
      <c r="G183" s="8" t="s">
        <v>427</v>
      </c>
      <c r="H183" s="8"/>
      <c r="I183" s="8" t="s">
        <v>551</v>
      </c>
      <c r="J183" s="8" t="s">
        <v>271</v>
      </c>
      <c r="K183" s="7" t="s">
        <v>687</v>
      </c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</row>
    <row r="184" spans="1:30" hidden="1" x14ac:dyDescent="0.2">
      <c r="A184" s="3" t="str">
        <f t="shared" si="4"/>
        <v xml:space="preserve">2.1.06 </v>
      </c>
      <c r="B184" s="3" t="s">
        <v>32</v>
      </c>
      <c r="D184" s="2" t="s">
        <v>48</v>
      </c>
      <c r="E184" s="3" t="s">
        <v>45</v>
      </c>
      <c r="F184" s="8" t="s">
        <v>421</v>
      </c>
      <c r="G184" s="8" t="s">
        <v>427</v>
      </c>
      <c r="H184" s="8"/>
      <c r="I184" s="8" t="s">
        <v>550</v>
      </c>
      <c r="J184" s="8" t="s">
        <v>270</v>
      </c>
      <c r="K184" s="7" t="s">
        <v>687</v>
      </c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</row>
    <row r="185" spans="1:30" hidden="1" x14ac:dyDescent="0.2">
      <c r="A185" s="3" t="str">
        <f t="shared" si="4"/>
        <v xml:space="preserve">2.1.06 </v>
      </c>
      <c r="B185" s="3" t="s">
        <v>32</v>
      </c>
      <c r="D185" s="2" t="s">
        <v>48</v>
      </c>
      <c r="E185" s="3" t="s">
        <v>51</v>
      </c>
      <c r="F185" s="8" t="s">
        <v>421</v>
      </c>
      <c r="G185" s="8" t="s">
        <v>427</v>
      </c>
      <c r="H185" s="8"/>
      <c r="I185" s="8" t="s">
        <v>552</v>
      </c>
      <c r="J185" s="8" t="s">
        <v>272</v>
      </c>
      <c r="K185" s="7" t="s">
        <v>687</v>
      </c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</row>
    <row r="186" spans="1:30" hidden="1" x14ac:dyDescent="0.2">
      <c r="A186" s="3" t="str">
        <f t="shared" si="4"/>
        <v xml:space="preserve">2.1.06 </v>
      </c>
      <c r="B186" s="3" t="s">
        <v>32</v>
      </c>
      <c r="C186" s="2"/>
      <c r="D186" s="2" t="s">
        <v>48</v>
      </c>
      <c r="E186" s="2" t="s">
        <v>49</v>
      </c>
      <c r="F186" s="8" t="s">
        <v>421</v>
      </c>
      <c r="G186" s="8" t="s">
        <v>427</v>
      </c>
      <c r="H186" s="8"/>
      <c r="I186" s="8" t="s">
        <v>548</v>
      </c>
      <c r="J186" s="8" t="s">
        <v>141</v>
      </c>
      <c r="K186" s="7" t="s">
        <v>687</v>
      </c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</row>
    <row r="187" spans="1:30" hidden="1" x14ac:dyDescent="0.2">
      <c r="A187" s="3" t="str">
        <f t="shared" si="4"/>
        <v xml:space="preserve">2.1.06 </v>
      </c>
      <c r="B187" s="3" t="s">
        <v>32</v>
      </c>
      <c r="C187" s="2"/>
      <c r="D187" s="2" t="s">
        <v>48</v>
      </c>
      <c r="E187" s="2" t="s">
        <v>49</v>
      </c>
      <c r="F187" s="8" t="s">
        <v>421</v>
      </c>
      <c r="G187" s="8" t="s">
        <v>427</v>
      </c>
      <c r="H187" s="8"/>
      <c r="I187" s="8" t="s">
        <v>549</v>
      </c>
      <c r="J187" s="8" t="s">
        <v>382</v>
      </c>
      <c r="K187" s="7" t="s">
        <v>687</v>
      </c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</row>
    <row r="188" spans="1:30" hidden="1" x14ac:dyDescent="0.2">
      <c r="A188" s="3" t="str">
        <f t="shared" si="4"/>
        <v xml:space="preserve">2.1.06 </v>
      </c>
      <c r="B188" s="3" t="s">
        <v>32</v>
      </c>
      <c r="D188" s="3" t="s">
        <v>33</v>
      </c>
      <c r="E188" s="3" t="s">
        <v>37</v>
      </c>
      <c r="F188" s="8" t="s">
        <v>421</v>
      </c>
      <c r="G188" s="8" t="s">
        <v>427</v>
      </c>
      <c r="H188" s="8"/>
      <c r="I188" s="8" t="s">
        <v>536</v>
      </c>
      <c r="J188" s="8" t="s">
        <v>261</v>
      </c>
      <c r="K188" s="7" t="s">
        <v>687</v>
      </c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</row>
    <row r="189" spans="1:30" hidden="1" x14ac:dyDescent="0.2">
      <c r="A189" s="3" t="str">
        <f t="shared" si="4"/>
        <v xml:space="preserve">2.1.06 </v>
      </c>
      <c r="B189" s="3" t="s">
        <v>32</v>
      </c>
      <c r="D189" s="3" t="s">
        <v>33</v>
      </c>
      <c r="E189" s="3" t="s">
        <v>35</v>
      </c>
      <c r="F189" s="8" t="s">
        <v>421</v>
      </c>
      <c r="G189" s="8" t="s">
        <v>427</v>
      </c>
      <c r="H189" s="8"/>
      <c r="I189" s="8" t="s">
        <v>534</v>
      </c>
      <c r="J189" s="8" t="s">
        <v>259</v>
      </c>
      <c r="K189" s="7" t="s">
        <v>687</v>
      </c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</row>
    <row r="190" spans="1:30" hidden="1" x14ac:dyDescent="0.2">
      <c r="A190" s="3" t="str">
        <f t="shared" si="4"/>
        <v xml:space="preserve">2.1.06 </v>
      </c>
      <c r="B190" s="3" t="s">
        <v>32</v>
      </c>
      <c r="D190" s="3" t="s">
        <v>33</v>
      </c>
      <c r="E190" s="3" t="s">
        <v>36</v>
      </c>
      <c r="F190" s="8" t="s">
        <v>421</v>
      </c>
      <c r="G190" s="8" t="s">
        <v>427</v>
      </c>
      <c r="H190" s="8"/>
      <c r="I190" s="8" t="s">
        <v>535</v>
      </c>
      <c r="J190" s="8" t="s">
        <v>260</v>
      </c>
      <c r="K190" s="7" t="s">
        <v>687</v>
      </c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</row>
    <row r="191" spans="1:30" hidden="1" x14ac:dyDescent="0.2">
      <c r="A191" s="3" t="str">
        <f t="shared" si="4"/>
        <v xml:space="preserve">2.1.06 </v>
      </c>
      <c r="B191" s="3" t="s">
        <v>32</v>
      </c>
      <c r="D191" s="3" t="s">
        <v>33</v>
      </c>
      <c r="E191" s="3" t="s">
        <v>34</v>
      </c>
      <c r="F191" s="8" t="s">
        <v>421</v>
      </c>
      <c r="G191" s="8" t="s">
        <v>427</v>
      </c>
      <c r="H191" s="8"/>
      <c r="I191" s="8" t="s">
        <v>533</v>
      </c>
      <c r="J191" s="8" t="s">
        <v>138</v>
      </c>
      <c r="K191" s="7" t="s">
        <v>687</v>
      </c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</row>
    <row r="192" spans="1:30" hidden="1" x14ac:dyDescent="0.2">
      <c r="A192" s="3" t="str">
        <f t="shared" si="4"/>
        <v xml:space="preserve">2.1.06 </v>
      </c>
      <c r="B192" s="3" t="s">
        <v>32</v>
      </c>
      <c r="D192" s="2" t="s">
        <v>43</v>
      </c>
      <c r="E192" s="3" t="s">
        <v>47</v>
      </c>
      <c r="F192" s="8" t="s">
        <v>421</v>
      </c>
      <c r="G192" s="8" t="s">
        <v>427</v>
      </c>
      <c r="H192" s="8"/>
      <c r="I192" s="8" t="s">
        <v>547</v>
      </c>
      <c r="J192" s="8" t="s">
        <v>269</v>
      </c>
      <c r="K192" s="7" t="s">
        <v>687</v>
      </c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</row>
    <row r="193" spans="1:30" hidden="1" x14ac:dyDescent="0.2">
      <c r="A193" s="3" t="str">
        <f t="shared" si="4"/>
        <v xml:space="preserve">2.1.06 </v>
      </c>
      <c r="B193" s="3" t="s">
        <v>32</v>
      </c>
      <c r="D193" s="2" t="s">
        <v>43</v>
      </c>
      <c r="E193" s="3" t="s">
        <v>45</v>
      </c>
      <c r="F193" s="8" t="s">
        <v>421</v>
      </c>
      <c r="G193" s="8" t="s">
        <v>427</v>
      </c>
      <c r="H193" s="8"/>
      <c r="I193" s="8" t="s">
        <v>545</v>
      </c>
      <c r="J193" s="8" t="s">
        <v>267</v>
      </c>
      <c r="K193" s="7" t="s">
        <v>687</v>
      </c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</row>
    <row r="194" spans="1:30" hidden="1" x14ac:dyDescent="0.2">
      <c r="A194" s="3" t="str">
        <f t="shared" si="4"/>
        <v xml:space="preserve">2.1.06 </v>
      </c>
      <c r="B194" s="3" t="s">
        <v>32</v>
      </c>
      <c r="D194" s="2" t="s">
        <v>43</v>
      </c>
      <c r="E194" s="3" t="s">
        <v>40</v>
      </c>
      <c r="F194" s="8" t="s">
        <v>421</v>
      </c>
      <c r="G194" s="8" t="s">
        <v>427</v>
      </c>
      <c r="H194" s="8"/>
      <c r="I194" s="8" t="s">
        <v>544</v>
      </c>
      <c r="J194" s="8" t="s">
        <v>266</v>
      </c>
      <c r="K194" s="7" t="s">
        <v>687</v>
      </c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</row>
    <row r="195" spans="1:30" hidden="1" x14ac:dyDescent="0.2">
      <c r="A195" s="3" t="str">
        <f t="shared" si="4"/>
        <v xml:space="preserve">2.1.06 </v>
      </c>
      <c r="B195" s="3" t="s">
        <v>32</v>
      </c>
      <c r="D195" s="2" t="s">
        <v>43</v>
      </c>
      <c r="E195" s="3" t="s">
        <v>46</v>
      </c>
      <c r="F195" s="8" t="s">
        <v>421</v>
      </c>
      <c r="G195" s="8" t="s">
        <v>427</v>
      </c>
      <c r="H195" s="8"/>
      <c r="I195" s="8" t="s">
        <v>546</v>
      </c>
      <c r="J195" s="8" t="s">
        <v>268</v>
      </c>
      <c r="K195" s="7" t="s">
        <v>687</v>
      </c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</row>
    <row r="196" spans="1:30" hidden="1" x14ac:dyDescent="0.2">
      <c r="A196" s="3" t="str">
        <f t="shared" si="4"/>
        <v xml:space="preserve">2.1.06 </v>
      </c>
      <c r="B196" s="3" t="s">
        <v>32</v>
      </c>
      <c r="D196" s="2" t="s">
        <v>43</v>
      </c>
      <c r="E196" s="3" t="s">
        <v>44</v>
      </c>
      <c r="F196" s="8" t="s">
        <v>421</v>
      </c>
      <c r="G196" s="8" t="s">
        <v>427</v>
      </c>
      <c r="H196" s="8"/>
      <c r="I196" s="8" t="s">
        <v>542</v>
      </c>
      <c r="J196" s="8" t="s">
        <v>140</v>
      </c>
      <c r="K196" s="7" t="s">
        <v>687</v>
      </c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</row>
    <row r="197" spans="1:30" hidden="1" x14ac:dyDescent="0.2">
      <c r="A197" s="3" t="str">
        <f t="shared" si="4"/>
        <v xml:space="preserve">2.1.06 </v>
      </c>
      <c r="B197" s="3" t="s">
        <v>32</v>
      </c>
      <c r="D197" s="2" t="s">
        <v>43</v>
      </c>
      <c r="E197" s="3" t="s">
        <v>44</v>
      </c>
      <c r="F197" s="8" t="s">
        <v>421</v>
      </c>
      <c r="G197" s="8" t="s">
        <v>427</v>
      </c>
      <c r="H197" s="8"/>
      <c r="I197" s="8" t="s">
        <v>543</v>
      </c>
      <c r="J197" s="8" t="s">
        <v>381</v>
      </c>
      <c r="K197" s="7" t="s">
        <v>687</v>
      </c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</row>
    <row r="198" spans="1:30" hidden="1" x14ac:dyDescent="0.2">
      <c r="A198" s="3" t="str">
        <f t="shared" si="4"/>
        <v xml:space="preserve">2.1.06 </v>
      </c>
      <c r="B198" s="3" t="s">
        <v>32</v>
      </c>
      <c r="D198" s="3" t="s">
        <v>38</v>
      </c>
      <c r="E198" s="3" t="s">
        <v>42</v>
      </c>
      <c r="F198" s="8" t="s">
        <v>421</v>
      </c>
      <c r="G198" s="8" t="s">
        <v>427</v>
      </c>
      <c r="H198" s="8"/>
      <c r="I198" s="8" t="s">
        <v>541</v>
      </c>
      <c r="J198" s="8" t="s">
        <v>265</v>
      </c>
      <c r="K198" s="7" t="s">
        <v>687</v>
      </c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</row>
    <row r="199" spans="1:30" hidden="1" x14ac:dyDescent="0.2">
      <c r="A199" s="3" t="str">
        <f t="shared" si="4"/>
        <v xml:space="preserve">2.1.06 </v>
      </c>
      <c r="B199" s="3" t="s">
        <v>32</v>
      </c>
      <c r="D199" s="3" t="s">
        <v>38</v>
      </c>
      <c r="E199" s="3" t="s">
        <v>35</v>
      </c>
      <c r="F199" s="8" t="s">
        <v>421</v>
      </c>
      <c r="G199" s="8" t="s">
        <v>427</v>
      </c>
      <c r="H199" s="8"/>
      <c r="I199" s="8" t="s">
        <v>538</v>
      </c>
      <c r="J199" s="8" t="s">
        <v>262</v>
      </c>
      <c r="K199" s="7" t="s">
        <v>687</v>
      </c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</row>
    <row r="200" spans="1:30" hidden="1" x14ac:dyDescent="0.2">
      <c r="A200" s="3" t="str">
        <f t="shared" si="4"/>
        <v xml:space="preserve">2.1.06 </v>
      </c>
      <c r="B200" s="3" t="s">
        <v>32</v>
      </c>
      <c r="D200" s="3" t="s">
        <v>38</v>
      </c>
      <c r="E200" s="3" t="s">
        <v>40</v>
      </c>
      <c r="F200" s="8" t="s">
        <v>421</v>
      </c>
      <c r="G200" s="8" t="s">
        <v>427</v>
      </c>
      <c r="H200" s="8"/>
      <c r="I200" s="8" t="s">
        <v>539</v>
      </c>
      <c r="J200" s="8" t="s">
        <v>263</v>
      </c>
      <c r="K200" s="7" t="s">
        <v>687</v>
      </c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</row>
    <row r="201" spans="1:30" hidden="1" x14ac:dyDescent="0.2">
      <c r="A201" s="3" t="str">
        <f t="shared" si="4"/>
        <v xml:space="preserve">2.1.06 </v>
      </c>
      <c r="B201" s="3" t="s">
        <v>32</v>
      </c>
      <c r="D201" s="3" t="s">
        <v>38</v>
      </c>
      <c r="E201" s="3" t="s">
        <v>41</v>
      </c>
      <c r="F201" s="8" t="s">
        <v>421</v>
      </c>
      <c r="G201" s="8" t="s">
        <v>427</v>
      </c>
      <c r="H201" s="8"/>
      <c r="I201" s="8" t="s">
        <v>540</v>
      </c>
      <c r="J201" s="8" t="s">
        <v>264</v>
      </c>
      <c r="K201" s="7" t="s">
        <v>687</v>
      </c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</row>
    <row r="202" spans="1:30" hidden="1" x14ac:dyDescent="0.2">
      <c r="A202" s="3" t="str">
        <f t="shared" si="4"/>
        <v xml:space="preserve">2.1.06 </v>
      </c>
      <c r="B202" s="3" t="s">
        <v>32</v>
      </c>
      <c r="D202" s="3" t="s">
        <v>38</v>
      </c>
      <c r="E202" s="3" t="s">
        <v>39</v>
      </c>
      <c r="F202" s="8" t="s">
        <v>421</v>
      </c>
      <c r="G202" s="8" t="s">
        <v>427</v>
      </c>
      <c r="H202" s="8"/>
      <c r="I202" s="8" t="s">
        <v>537</v>
      </c>
      <c r="J202" s="8" t="s">
        <v>139</v>
      </c>
      <c r="K202" s="7" t="s">
        <v>687</v>
      </c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</row>
    <row r="203" spans="1:30" hidden="1" x14ac:dyDescent="0.2">
      <c r="A203" s="3" t="str">
        <f t="shared" ref="A203:A235" si="5">CONCATENATE(MID(B203,3,4),"0",MID(B203,7,2))</f>
        <v xml:space="preserve">2.1.06 </v>
      </c>
      <c r="B203" s="3" t="s">
        <v>32</v>
      </c>
      <c r="D203" s="2" t="s">
        <v>53</v>
      </c>
      <c r="E203" s="3" t="s">
        <v>54</v>
      </c>
      <c r="F203" s="8" t="s">
        <v>421</v>
      </c>
      <c r="G203" s="8" t="s">
        <v>427</v>
      </c>
      <c r="H203" s="8"/>
      <c r="I203" s="8" t="s">
        <v>557</v>
      </c>
      <c r="J203" s="8" t="s">
        <v>275</v>
      </c>
      <c r="K203" s="7" t="s">
        <v>687</v>
      </c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</row>
    <row r="204" spans="1:30" hidden="1" x14ac:dyDescent="0.2">
      <c r="A204" s="3" t="str">
        <f t="shared" si="5"/>
        <v xml:space="preserve">2.1.06 </v>
      </c>
      <c r="B204" s="3" t="s">
        <v>32</v>
      </c>
      <c r="D204" s="2" t="s">
        <v>53</v>
      </c>
      <c r="E204" s="2" t="s">
        <v>50</v>
      </c>
      <c r="F204" s="8" t="s">
        <v>421</v>
      </c>
      <c r="G204" s="8" t="s">
        <v>427</v>
      </c>
      <c r="H204" s="8"/>
      <c r="I204" s="8" t="s">
        <v>556</v>
      </c>
      <c r="J204" s="8" t="s">
        <v>274</v>
      </c>
      <c r="K204" s="7" t="s">
        <v>687</v>
      </c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</row>
    <row r="205" spans="1:30" hidden="1" x14ac:dyDescent="0.2">
      <c r="A205" s="3" t="str">
        <f t="shared" si="5"/>
        <v xml:space="preserve">2.1.06 </v>
      </c>
      <c r="B205" s="3" t="s">
        <v>32</v>
      </c>
      <c r="C205" s="2"/>
      <c r="D205" s="2" t="s">
        <v>53</v>
      </c>
      <c r="E205" s="2" t="s">
        <v>120</v>
      </c>
      <c r="F205" s="8" t="s">
        <v>421</v>
      </c>
      <c r="G205" s="8" t="s">
        <v>427</v>
      </c>
      <c r="H205" s="8"/>
      <c r="I205" s="8" t="s">
        <v>554</v>
      </c>
      <c r="J205" s="8" t="s">
        <v>142</v>
      </c>
      <c r="K205" s="7" t="s">
        <v>687</v>
      </c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</row>
    <row r="206" spans="1:30" hidden="1" x14ac:dyDescent="0.2">
      <c r="A206" s="3" t="str">
        <f t="shared" si="5"/>
        <v xml:space="preserve">2.1.06 </v>
      </c>
      <c r="B206" s="3" t="s">
        <v>32</v>
      </c>
      <c r="C206" s="2"/>
      <c r="D206" s="2" t="s">
        <v>53</v>
      </c>
      <c r="E206" s="2" t="s">
        <v>120</v>
      </c>
      <c r="F206" s="8" t="s">
        <v>421</v>
      </c>
      <c r="G206" s="8" t="s">
        <v>427</v>
      </c>
      <c r="H206" s="8"/>
      <c r="I206" s="8" t="s">
        <v>555</v>
      </c>
      <c r="J206" s="8" t="s">
        <v>383</v>
      </c>
      <c r="K206" s="7" t="s">
        <v>687</v>
      </c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</row>
    <row r="207" spans="1:30" hidden="1" x14ac:dyDescent="0.2">
      <c r="A207" s="3" t="str">
        <f t="shared" si="5"/>
        <v xml:space="preserve">2.1.07 </v>
      </c>
      <c r="B207" s="3" t="s">
        <v>55</v>
      </c>
      <c r="D207" s="3" t="s">
        <v>56</v>
      </c>
      <c r="E207" s="3" t="s">
        <v>57</v>
      </c>
      <c r="F207" s="8" t="s">
        <v>421</v>
      </c>
      <c r="G207" s="8" t="s">
        <v>427</v>
      </c>
      <c r="H207" s="8"/>
      <c r="I207" s="8" t="s">
        <v>558</v>
      </c>
      <c r="J207" s="8" t="s">
        <v>143</v>
      </c>
      <c r="K207" s="7" t="s">
        <v>687</v>
      </c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</row>
    <row r="208" spans="1:30" hidden="1" x14ac:dyDescent="0.2">
      <c r="A208" s="3" t="str">
        <f t="shared" si="5"/>
        <v xml:space="preserve">2.1.07 </v>
      </c>
      <c r="B208" s="3" t="s">
        <v>55</v>
      </c>
      <c r="D208" s="3" t="s">
        <v>66</v>
      </c>
      <c r="E208" s="3" t="s">
        <v>57</v>
      </c>
      <c r="F208" s="8" t="s">
        <v>421</v>
      </c>
      <c r="G208" s="8" t="s">
        <v>427</v>
      </c>
      <c r="H208" s="8"/>
      <c r="I208" s="8" t="s">
        <v>571</v>
      </c>
      <c r="J208" s="8" t="s">
        <v>156</v>
      </c>
      <c r="K208" s="7" t="s">
        <v>687</v>
      </c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</row>
    <row r="209" spans="1:30" s="2" customFormat="1" hidden="1" x14ac:dyDescent="0.2">
      <c r="A209" s="3" t="str">
        <f t="shared" si="5"/>
        <v xml:space="preserve">2.1.07 </v>
      </c>
      <c r="B209" s="3" t="s">
        <v>55</v>
      </c>
      <c r="C209" s="3"/>
      <c r="D209" s="3" t="s">
        <v>58</v>
      </c>
      <c r="E209" s="3" t="s">
        <v>57</v>
      </c>
      <c r="F209" s="8" t="s">
        <v>421</v>
      </c>
      <c r="G209" s="8" t="s">
        <v>427</v>
      </c>
      <c r="H209" s="8"/>
      <c r="I209" s="8" t="s">
        <v>559</v>
      </c>
      <c r="J209" s="8" t="s">
        <v>144</v>
      </c>
      <c r="K209" s="7" t="s">
        <v>687</v>
      </c>
      <c r="L209" s="7"/>
      <c r="M209" s="7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</row>
    <row r="210" spans="1:30" hidden="1" x14ac:dyDescent="0.2">
      <c r="A210" s="3" t="str">
        <f t="shared" si="5"/>
        <v xml:space="preserve">2.1.07 </v>
      </c>
      <c r="B210" s="3" t="s">
        <v>55</v>
      </c>
      <c r="D210" s="3" t="s">
        <v>85</v>
      </c>
      <c r="E210" s="3" t="s">
        <v>57</v>
      </c>
      <c r="F210" s="8" t="s">
        <v>421</v>
      </c>
      <c r="G210" s="8" t="s">
        <v>427</v>
      </c>
      <c r="H210" s="8"/>
      <c r="I210" s="8" t="s">
        <v>570</v>
      </c>
      <c r="J210" s="8" t="s">
        <v>155</v>
      </c>
      <c r="K210" s="7" t="s">
        <v>687</v>
      </c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</row>
    <row r="211" spans="1:30" hidden="1" x14ac:dyDescent="0.2">
      <c r="A211" s="3" t="str">
        <f t="shared" si="5"/>
        <v xml:space="preserve">2.1.07 </v>
      </c>
      <c r="B211" s="3" t="s">
        <v>55</v>
      </c>
      <c r="D211" s="3" t="s">
        <v>61</v>
      </c>
      <c r="E211" s="3" t="s">
        <v>57</v>
      </c>
      <c r="F211" s="8" t="s">
        <v>421</v>
      </c>
      <c r="G211" s="8" t="s">
        <v>427</v>
      </c>
      <c r="H211" s="8"/>
      <c r="I211" s="8" t="s">
        <v>565</v>
      </c>
      <c r="J211" s="8" t="s">
        <v>150</v>
      </c>
      <c r="K211" s="7" t="s">
        <v>687</v>
      </c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</row>
    <row r="212" spans="1:30" hidden="1" x14ac:dyDescent="0.2">
      <c r="A212" s="3" t="str">
        <f t="shared" si="5"/>
        <v xml:space="preserve">2.1.07 </v>
      </c>
      <c r="B212" s="3" t="s">
        <v>55</v>
      </c>
      <c r="D212" s="3" t="s">
        <v>62</v>
      </c>
      <c r="E212" s="3" t="s">
        <v>57</v>
      </c>
      <c r="F212" s="8" t="s">
        <v>421</v>
      </c>
      <c r="G212" s="8" t="s">
        <v>427</v>
      </c>
      <c r="H212" s="8"/>
      <c r="I212" s="8" t="s">
        <v>566</v>
      </c>
      <c r="J212" s="8" t="s">
        <v>151</v>
      </c>
      <c r="K212" s="7" t="s">
        <v>687</v>
      </c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</row>
    <row r="213" spans="1:30" hidden="1" x14ac:dyDescent="0.2">
      <c r="A213" s="3" t="str">
        <f t="shared" si="5"/>
        <v xml:space="preserve">2.1.07 </v>
      </c>
      <c r="B213" s="3" t="s">
        <v>55</v>
      </c>
      <c r="D213" s="3" t="s">
        <v>59</v>
      </c>
      <c r="E213" s="3" t="s">
        <v>57</v>
      </c>
      <c r="F213" s="8" t="s">
        <v>421</v>
      </c>
      <c r="G213" s="8" t="s">
        <v>427</v>
      </c>
      <c r="H213" s="8"/>
      <c r="I213" s="8" t="s">
        <v>562</v>
      </c>
      <c r="J213" s="8" t="s">
        <v>147</v>
      </c>
      <c r="K213" s="7" t="s">
        <v>687</v>
      </c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</row>
    <row r="214" spans="1:30" hidden="1" x14ac:dyDescent="0.2">
      <c r="A214" s="3" t="str">
        <f t="shared" si="5"/>
        <v xml:space="preserve">2.1.07 </v>
      </c>
      <c r="B214" s="3" t="s">
        <v>55</v>
      </c>
      <c r="D214" s="3" t="s">
        <v>108</v>
      </c>
      <c r="E214" s="3" t="s">
        <v>57</v>
      </c>
      <c r="F214" s="8" t="s">
        <v>421</v>
      </c>
      <c r="G214" s="8" t="s">
        <v>427</v>
      </c>
      <c r="H214" s="8"/>
      <c r="I214" s="8" t="s">
        <v>560</v>
      </c>
      <c r="J214" s="8" t="s">
        <v>145</v>
      </c>
      <c r="K214" s="7" t="s">
        <v>687</v>
      </c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</row>
    <row r="215" spans="1:30" hidden="1" x14ac:dyDescent="0.2">
      <c r="A215" s="3" t="str">
        <f t="shared" si="5"/>
        <v xml:space="preserve">2.1.07 </v>
      </c>
      <c r="B215" s="3" t="s">
        <v>55</v>
      </c>
      <c r="D215" s="3" t="s">
        <v>60</v>
      </c>
      <c r="E215" s="3" t="s">
        <v>57</v>
      </c>
      <c r="F215" s="8" t="s">
        <v>421</v>
      </c>
      <c r="G215" s="8" t="s">
        <v>427</v>
      </c>
      <c r="H215" s="8"/>
      <c r="I215" s="8" t="s">
        <v>563</v>
      </c>
      <c r="J215" s="8" t="s">
        <v>148</v>
      </c>
      <c r="K215" s="7" t="s">
        <v>687</v>
      </c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</row>
    <row r="216" spans="1:30" hidden="1" x14ac:dyDescent="0.2">
      <c r="A216" s="3" t="str">
        <f t="shared" si="5"/>
        <v xml:space="preserve">2.1.07 </v>
      </c>
      <c r="B216" s="3" t="s">
        <v>55</v>
      </c>
      <c r="D216" s="3" t="s">
        <v>63</v>
      </c>
      <c r="E216" s="3" t="s">
        <v>57</v>
      </c>
      <c r="F216" s="8" t="s">
        <v>421</v>
      </c>
      <c r="G216" s="8" t="s">
        <v>427</v>
      </c>
      <c r="H216" s="8"/>
      <c r="I216" s="8" t="s">
        <v>567</v>
      </c>
      <c r="J216" s="8" t="s">
        <v>152</v>
      </c>
      <c r="K216" s="7" t="s">
        <v>687</v>
      </c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</row>
    <row r="217" spans="1:30" hidden="1" x14ac:dyDescent="0.2">
      <c r="A217" s="3" t="str">
        <f t="shared" si="5"/>
        <v xml:space="preserve">2.1.07 </v>
      </c>
      <c r="B217" s="3" t="s">
        <v>55</v>
      </c>
      <c r="D217" s="3" t="s">
        <v>128</v>
      </c>
      <c r="E217" s="3" t="s">
        <v>57</v>
      </c>
      <c r="F217" s="8" t="s">
        <v>421</v>
      </c>
      <c r="G217" s="8" t="s">
        <v>427</v>
      </c>
      <c r="H217" s="8"/>
      <c r="I217" s="8" t="s">
        <v>564</v>
      </c>
      <c r="J217" s="8" t="s">
        <v>149</v>
      </c>
      <c r="K217" s="7" t="s">
        <v>687</v>
      </c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</row>
    <row r="218" spans="1:30" hidden="1" x14ac:dyDescent="0.2">
      <c r="A218" s="3" t="str">
        <f t="shared" si="5"/>
        <v xml:space="preserve">2.1.07 </v>
      </c>
      <c r="B218" s="3" t="s">
        <v>55</v>
      </c>
      <c r="D218" s="3" t="s">
        <v>84</v>
      </c>
      <c r="E218" s="3" t="s">
        <v>57</v>
      </c>
      <c r="F218" s="8" t="s">
        <v>421</v>
      </c>
      <c r="G218" s="8" t="s">
        <v>427</v>
      </c>
      <c r="H218" s="8"/>
      <c r="I218" s="8" t="s">
        <v>561</v>
      </c>
      <c r="J218" s="8" t="s">
        <v>146</v>
      </c>
      <c r="K218" s="7" t="s">
        <v>687</v>
      </c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</row>
    <row r="219" spans="1:30" hidden="1" x14ac:dyDescent="0.2">
      <c r="A219" s="3" t="str">
        <f t="shared" si="5"/>
        <v xml:space="preserve">2.1.07 </v>
      </c>
      <c r="B219" s="3" t="s">
        <v>55</v>
      </c>
      <c r="D219" s="3" t="s">
        <v>64</v>
      </c>
      <c r="E219" s="3" t="s">
        <v>57</v>
      </c>
      <c r="F219" s="8" t="s">
        <v>421</v>
      </c>
      <c r="G219" s="8" t="s">
        <v>427</v>
      </c>
      <c r="H219" s="8"/>
      <c r="I219" s="8" t="s">
        <v>568</v>
      </c>
      <c r="J219" s="8" t="s">
        <v>153</v>
      </c>
      <c r="K219" s="7" t="s">
        <v>687</v>
      </c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</row>
    <row r="220" spans="1:30" hidden="1" x14ac:dyDescent="0.2">
      <c r="A220" s="3" t="str">
        <f t="shared" si="5"/>
        <v xml:space="preserve">2.1.07 </v>
      </c>
      <c r="B220" s="3" t="s">
        <v>55</v>
      </c>
      <c r="D220" s="3" t="s">
        <v>65</v>
      </c>
      <c r="E220" s="3" t="s">
        <v>57</v>
      </c>
      <c r="F220" s="8" t="s">
        <v>421</v>
      </c>
      <c r="G220" s="8" t="s">
        <v>427</v>
      </c>
      <c r="H220" s="8"/>
      <c r="I220" s="8" t="s">
        <v>569</v>
      </c>
      <c r="J220" s="8" t="s">
        <v>154</v>
      </c>
      <c r="K220" s="7" t="s">
        <v>687</v>
      </c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</row>
    <row r="221" spans="1:30" hidden="1" x14ac:dyDescent="0.2">
      <c r="A221" s="3" t="str">
        <f t="shared" si="5"/>
        <v xml:space="preserve">2.1.09 </v>
      </c>
      <c r="B221" s="3" t="s">
        <v>67</v>
      </c>
      <c r="D221" s="3" t="s">
        <v>111</v>
      </c>
      <c r="E221" s="3" t="s">
        <v>69</v>
      </c>
      <c r="F221" s="8" t="s">
        <v>421</v>
      </c>
      <c r="G221" s="8" t="s">
        <v>427</v>
      </c>
      <c r="H221" s="8"/>
      <c r="I221" s="8" t="s">
        <v>576</v>
      </c>
      <c r="J221" s="8" t="s">
        <v>280</v>
      </c>
      <c r="K221" s="7" t="s">
        <v>689</v>
      </c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</row>
    <row r="222" spans="1:30" hidden="1" x14ac:dyDescent="0.2">
      <c r="A222" s="3" t="str">
        <f t="shared" si="5"/>
        <v xml:space="preserve">2.1.09 </v>
      </c>
      <c r="B222" s="3" t="s">
        <v>67</v>
      </c>
      <c r="D222" s="3" t="s">
        <v>111</v>
      </c>
      <c r="E222" s="3" t="s">
        <v>8</v>
      </c>
      <c r="F222" s="8" t="s">
        <v>421</v>
      </c>
      <c r="G222" s="8" t="s">
        <v>427</v>
      </c>
      <c r="H222" s="8"/>
      <c r="I222" s="8" t="s">
        <v>572</v>
      </c>
      <c r="J222" s="8" t="s">
        <v>276</v>
      </c>
      <c r="K222" s="7" t="s">
        <v>689</v>
      </c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</row>
    <row r="223" spans="1:30" hidden="1" x14ac:dyDescent="0.2">
      <c r="A223" s="3" t="str">
        <f t="shared" si="5"/>
        <v xml:space="preserve">2.1.09 </v>
      </c>
      <c r="B223" s="3" t="s">
        <v>67</v>
      </c>
      <c r="D223" s="3" t="s">
        <v>111</v>
      </c>
      <c r="E223" s="3" t="s">
        <v>19</v>
      </c>
      <c r="F223" s="8" t="s">
        <v>421</v>
      </c>
      <c r="G223" s="8" t="s">
        <v>427</v>
      </c>
      <c r="H223" s="8"/>
      <c r="I223" s="8" t="s">
        <v>575</v>
      </c>
      <c r="J223" s="8" t="s">
        <v>279</v>
      </c>
      <c r="K223" s="7" t="s">
        <v>689</v>
      </c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</row>
    <row r="224" spans="1:30" hidden="1" x14ac:dyDescent="0.2">
      <c r="A224" s="3" t="str">
        <f t="shared" si="5"/>
        <v xml:space="preserve">2.1.09 </v>
      </c>
      <c r="B224" s="3" t="s">
        <v>67</v>
      </c>
      <c r="D224" s="3" t="s">
        <v>111</v>
      </c>
      <c r="E224" s="3" t="s">
        <v>68</v>
      </c>
      <c r="F224" s="8" t="s">
        <v>421</v>
      </c>
      <c r="G224" s="8" t="s">
        <v>427</v>
      </c>
      <c r="H224" s="8"/>
      <c r="I224" s="8" t="s">
        <v>573</v>
      </c>
      <c r="J224" s="8" t="s">
        <v>277</v>
      </c>
      <c r="K224" s="7" t="s">
        <v>689</v>
      </c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</row>
    <row r="225" spans="1:30" hidden="1" x14ac:dyDescent="0.2">
      <c r="A225" s="3" t="str">
        <f t="shared" si="5"/>
        <v xml:space="preserve">2.1.09 </v>
      </c>
      <c r="B225" s="3" t="s">
        <v>67</v>
      </c>
      <c r="D225" s="3" t="s">
        <v>111</v>
      </c>
      <c r="E225" s="3" t="s">
        <v>13</v>
      </c>
      <c r="F225" s="8" t="s">
        <v>421</v>
      </c>
      <c r="G225" s="8" t="s">
        <v>427</v>
      </c>
      <c r="H225" s="8"/>
      <c r="I225" s="8" t="s">
        <v>574</v>
      </c>
      <c r="J225" s="8" t="s">
        <v>278</v>
      </c>
      <c r="K225" s="7" t="s">
        <v>689</v>
      </c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</row>
    <row r="226" spans="1:30" hidden="1" x14ac:dyDescent="0.2">
      <c r="A226" s="3" t="str">
        <f t="shared" si="5"/>
        <v xml:space="preserve">2.1.09 </v>
      </c>
      <c r="B226" s="3" t="s">
        <v>67</v>
      </c>
      <c r="D226" s="3" t="s">
        <v>110</v>
      </c>
      <c r="E226" s="3" t="s">
        <v>69</v>
      </c>
      <c r="F226" s="8" t="s">
        <v>422</v>
      </c>
      <c r="G226" s="8" t="s">
        <v>428</v>
      </c>
      <c r="H226" s="8"/>
      <c r="I226" s="8" t="s">
        <v>586</v>
      </c>
      <c r="J226" s="8" t="s">
        <v>290</v>
      </c>
      <c r="K226" s="7" t="s">
        <v>689</v>
      </c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</row>
    <row r="227" spans="1:30" hidden="1" x14ac:dyDescent="0.2">
      <c r="A227" s="3" t="str">
        <f t="shared" si="5"/>
        <v xml:space="preserve">2.1.09 </v>
      </c>
      <c r="B227" s="3" t="s">
        <v>67</v>
      </c>
      <c r="D227" s="3" t="s">
        <v>110</v>
      </c>
      <c r="E227" s="3" t="s">
        <v>8</v>
      </c>
      <c r="F227" s="8" t="s">
        <v>422</v>
      </c>
      <c r="G227" s="8" t="s">
        <v>428</v>
      </c>
      <c r="H227" s="8"/>
      <c r="I227" s="8" t="s">
        <v>582</v>
      </c>
      <c r="J227" s="8" t="s">
        <v>286</v>
      </c>
      <c r="K227" s="7" t="s">
        <v>689</v>
      </c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</row>
    <row r="228" spans="1:30" hidden="1" x14ac:dyDescent="0.2">
      <c r="A228" s="3" t="str">
        <f t="shared" si="5"/>
        <v xml:space="preserve">2.1.09 </v>
      </c>
      <c r="B228" s="3" t="s">
        <v>67</v>
      </c>
      <c r="D228" s="3" t="s">
        <v>110</v>
      </c>
      <c r="E228" s="3" t="s">
        <v>19</v>
      </c>
      <c r="F228" s="8" t="s">
        <v>422</v>
      </c>
      <c r="G228" s="8" t="s">
        <v>428</v>
      </c>
      <c r="H228" s="8"/>
      <c r="I228" s="8" t="s">
        <v>585</v>
      </c>
      <c r="J228" s="8" t="s">
        <v>289</v>
      </c>
      <c r="K228" s="7" t="s">
        <v>689</v>
      </c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</row>
    <row r="229" spans="1:30" hidden="1" x14ac:dyDescent="0.2">
      <c r="A229" s="3" t="str">
        <f t="shared" si="5"/>
        <v xml:space="preserve">2.1.09 </v>
      </c>
      <c r="B229" s="3" t="s">
        <v>67</v>
      </c>
      <c r="D229" s="3" t="s">
        <v>110</v>
      </c>
      <c r="E229" s="3" t="s">
        <v>68</v>
      </c>
      <c r="F229" s="8" t="s">
        <v>422</v>
      </c>
      <c r="G229" s="8" t="s">
        <v>428</v>
      </c>
      <c r="H229" s="8"/>
      <c r="I229" s="8" t="s">
        <v>583</v>
      </c>
      <c r="J229" s="8" t="s">
        <v>287</v>
      </c>
      <c r="K229" s="7" t="s">
        <v>689</v>
      </c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</row>
    <row r="230" spans="1:30" hidden="1" x14ac:dyDescent="0.2">
      <c r="A230" s="3" t="str">
        <f t="shared" si="5"/>
        <v xml:space="preserve">2.1.09 </v>
      </c>
      <c r="B230" s="3" t="s">
        <v>67</v>
      </c>
      <c r="D230" s="3" t="s">
        <v>110</v>
      </c>
      <c r="E230" s="3" t="s">
        <v>13</v>
      </c>
      <c r="F230" s="8" t="s">
        <v>422</v>
      </c>
      <c r="G230" s="8" t="s">
        <v>428</v>
      </c>
      <c r="H230" s="8"/>
      <c r="I230" s="8" t="s">
        <v>584</v>
      </c>
      <c r="J230" s="8" t="s">
        <v>288</v>
      </c>
      <c r="K230" s="7" t="s">
        <v>689</v>
      </c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</row>
    <row r="231" spans="1:30" hidden="1" x14ac:dyDescent="0.2">
      <c r="A231" s="3" t="str">
        <f t="shared" si="5"/>
        <v xml:space="preserve">2.1.09 </v>
      </c>
      <c r="B231" s="3" t="s">
        <v>67</v>
      </c>
      <c r="D231" s="3" t="s">
        <v>109</v>
      </c>
      <c r="E231" s="3" t="s">
        <v>69</v>
      </c>
      <c r="F231" s="8" t="s">
        <v>422</v>
      </c>
      <c r="G231" s="8" t="s">
        <v>428</v>
      </c>
      <c r="H231" s="8"/>
      <c r="I231" s="8" t="s">
        <v>581</v>
      </c>
      <c r="J231" s="8" t="s">
        <v>285</v>
      </c>
      <c r="K231" s="7" t="s">
        <v>689</v>
      </c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</row>
    <row r="232" spans="1:30" hidden="1" x14ac:dyDescent="0.2">
      <c r="A232" s="3" t="str">
        <f t="shared" si="5"/>
        <v xml:space="preserve">2.1.09 </v>
      </c>
      <c r="B232" s="3" t="s">
        <v>67</v>
      </c>
      <c r="D232" s="3" t="s">
        <v>109</v>
      </c>
      <c r="E232" s="3" t="s">
        <v>8</v>
      </c>
      <c r="F232" s="8" t="s">
        <v>422</v>
      </c>
      <c r="G232" s="8" t="s">
        <v>428</v>
      </c>
      <c r="H232" s="8"/>
      <c r="I232" s="8" t="s">
        <v>577</v>
      </c>
      <c r="J232" s="8" t="s">
        <v>281</v>
      </c>
      <c r="K232" s="7" t="s">
        <v>689</v>
      </c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</row>
    <row r="233" spans="1:30" hidden="1" x14ac:dyDescent="0.2">
      <c r="A233" s="3" t="str">
        <f t="shared" si="5"/>
        <v xml:space="preserve">2.1.09 </v>
      </c>
      <c r="B233" s="3" t="s">
        <v>67</v>
      </c>
      <c r="D233" s="3" t="s">
        <v>109</v>
      </c>
      <c r="E233" s="3" t="s">
        <v>19</v>
      </c>
      <c r="F233" s="8" t="s">
        <v>422</v>
      </c>
      <c r="G233" s="8" t="s">
        <v>428</v>
      </c>
      <c r="H233" s="8"/>
      <c r="I233" s="8" t="s">
        <v>580</v>
      </c>
      <c r="J233" s="8" t="s">
        <v>284</v>
      </c>
      <c r="K233" s="7" t="s">
        <v>689</v>
      </c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</row>
    <row r="234" spans="1:30" hidden="1" x14ac:dyDescent="0.2">
      <c r="A234" s="3" t="str">
        <f t="shared" si="5"/>
        <v xml:space="preserve">2.1.09 </v>
      </c>
      <c r="B234" s="3" t="s">
        <v>67</v>
      </c>
      <c r="D234" s="3" t="s">
        <v>109</v>
      </c>
      <c r="E234" s="3" t="s">
        <v>68</v>
      </c>
      <c r="F234" s="8" t="s">
        <v>422</v>
      </c>
      <c r="G234" s="8" t="s">
        <v>428</v>
      </c>
      <c r="H234" s="8"/>
      <c r="I234" s="8" t="s">
        <v>578</v>
      </c>
      <c r="J234" s="8" t="s">
        <v>282</v>
      </c>
      <c r="K234" s="7" t="s">
        <v>689</v>
      </c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</row>
    <row r="235" spans="1:30" hidden="1" x14ac:dyDescent="0.2">
      <c r="A235" s="3" t="str">
        <f t="shared" si="5"/>
        <v xml:space="preserve">2.1.09 </v>
      </c>
      <c r="B235" s="3" t="s">
        <v>67</v>
      </c>
      <c r="D235" s="3" t="s">
        <v>109</v>
      </c>
      <c r="E235" s="3" t="s">
        <v>13</v>
      </c>
      <c r="F235" s="8" t="s">
        <v>422</v>
      </c>
      <c r="G235" s="8" t="s">
        <v>428</v>
      </c>
      <c r="H235" s="8"/>
      <c r="I235" s="8" t="s">
        <v>579</v>
      </c>
      <c r="J235" s="8" t="s">
        <v>283</v>
      </c>
      <c r="K235" s="7" t="s">
        <v>689</v>
      </c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</row>
    <row r="236" spans="1:30" s="19" customFormat="1" hidden="1" x14ac:dyDescent="0.2">
      <c r="A236" s="19" t="str">
        <f>CONCATENATE(MID(B236,1,3),MID(B236,1,0))</f>
        <v>IOM</v>
      </c>
      <c r="B236" s="19" t="s">
        <v>699</v>
      </c>
      <c r="D236" s="19" t="s">
        <v>693</v>
      </c>
      <c r="F236" s="10" t="s">
        <v>694</v>
      </c>
      <c r="G236" s="10" t="s">
        <v>695</v>
      </c>
      <c r="H236" s="10"/>
      <c r="I236" s="10" t="s">
        <v>696</v>
      </c>
      <c r="J236" s="10" t="s">
        <v>697</v>
      </c>
      <c r="K236" s="20" t="s">
        <v>698</v>
      </c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</row>
    <row r="237" spans="1:30" s="19" customFormat="1" hidden="1" x14ac:dyDescent="0.2">
      <c r="A237" s="19" t="str">
        <f t="shared" ref="A237:A238" si="6">CONCATENATE(MID(B237,1,3),MID(B237,1,0))</f>
        <v>IOM</v>
      </c>
      <c r="B237" s="19" t="s">
        <v>700</v>
      </c>
      <c r="D237" s="19" t="s">
        <v>693</v>
      </c>
      <c r="F237" s="10" t="s">
        <v>694</v>
      </c>
      <c r="G237" s="10" t="s">
        <v>695</v>
      </c>
      <c r="H237" s="10"/>
      <c r="I237" s="10" t="s">
        <v>696</v>
      </c>
      <c r="J237" s="10" t="s">
        <v>697</v>
      </c>
      <c r="K237" s="20" t="s">
        <v>698</v>
      </c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</row>
    <row r="238" spans="1:30" s="19" customFormat="1" hidden="1" x14ac:dyDescent="0.2">
      <c r="A238" s="19" t="str">
        <f t="shared" si="6"/>
        <v>IOM</v>
      </c>
      <c r="B238" s="19" t="s">
        <v>701</v>
      </c>
      <c r="D238" s="19" t="s">
        <v>693</v>
      </c>
      <c r="F238" s="10" t="s">
        <v>694</v>
      </c>
      <c r="G238" s="10" t="s">
        <v>695</v>
      </c>
      <c r="H238" s="10"/>
      <c r="I238" s="10" t="s">
        <v>696</v>
      </c>
      <c r="J238" s="10" t="s">
        <v>697</v>
      </c>
      <c r="K238" s="20" t="s">
        <v>698</v>
      </c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</row>
    <row r="239" spans="1:30" x14ac:dyDescent="0.2">
      <c r="C239" s="2"/>
      <c r="D239" s="15"/>
      <c r="E239" s="17"/>
      <c r="F239" s="8"/>
      <c r="G239" s="8"/>
      <c r="H239" s="8"/>
      <c r="I239" s="8"/>
      <c r="J239" s="8"/>
      <c r="K239" s="8"/>
      <c r="L239" s="8"/>
      <c r="M239" s="8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</row>
    <row r="240" spans="1:30" x14ac:dyDescent="0.2">
      <c r="C240" s="2"/>
      <c r="D240" s="15"/>
      <c r="E240" s="17"/>
      <c r="F240" s="8"/>
      <c r="G240" s="8"/>
      <c r="H240" s="8"/>
      <c r="I240" s="8" t="s">
        <v>432</v>
      </c>
      <c r="J240" s="8"/>
      <c r="K240" s="8"/>
      <c r="L240" s="8"/>
      <c r="M240" s="8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</row>
    <row r="241" spans="3:30" x14ac:dyDescent="0.2">
      <c r="C241" s="2"/>
      <c r="D241" s="15"/>
      <c r="E241" s="17"/>
      <c r="F241" s="8"/>
      <c r="G241" s="8"/>
      <c r="H241" s="8"/>
      <c r="I241" s="8" t="s">
        <v>432</v>
      </c>
      <c r="J241" s="8"/>
      <c r="K241" s="8"/>
      <c r="L241" s="8"/>
      <c r="M241" s="8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</row>
    <row r="242" spans="3:30" x14ac:dyDescent="0.2">
      <c r="C242" s="2"/>
      <c r="D242" s="15"/>
      <c r="E242" s="17"/>
      <c r="F242" s="8"/>
      <c r="G242" s="8"/>
      <c r="H242" s="8"/>
      <c r="I242" s="8" t="s">
        <v>432</v>
      </c>
      <c r="J242" s="8"/>
      <c r="K242" s="8"/>
      <c r="L242" s="8"/>
      <c r="M242" s="8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</row>
    <row r="243" spans="3:30" x14ac:dyDescent="0.2">
      <c r="C243" s="2"/>
      <c r="D243" s="15"/>
      <c r="E243" s="17"/>
      <c r="F243" s="8"/>
      <c r="G243" s="8"/>
      <c r="H243" s="8"/>
      <c r="I243" s="8" t="s">
        <v>432</v>
      </c>
      <c r="J243" s="8"/>
      <c r="K243" s="8"/>
      <c r="L243" s="8"/>
      <c r="M243" s="8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</row>
    <row r="244" spans="3:30" x14ac:dyDescent="0.2">
      <c r="C244" s="2"/>
      <c r="D244" s="15"/>
      <c r="E244" s="17"/>
      <c r="F244" s="8"/>
      <c r="G244" s="8"/>
      <c r="H244" s="8"/>
      <c r="I244" s="8" t="s">
        <v>432</v>
      </c>
      <c r="J244" s="8"/>
      <c r="K244" s="8"/>
      <c r="L244" s="8"/>
      <c r="M244" s="8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</row>
    <row r="245" spans="3:30" x14ac:dyDescent="0.2">
      <c r="C245" s="2"/>
      <c r="D245" s="15"/>
      <c r="E245" s="17"/>
      <c r="F245" s="8"/>
      <c r="G245" s="8"/>
      <c r="H245" s="8"/>
      <c r="I245" s="8" t="s">
        <v>432</v>
      </c>
      <c r="J245" s="8"/>
      <c r="K245" s="8"/>
      <c r="L245" s="8"/>
      <c r="M245" s="8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</row>
    <row r="246" spans="3:30" x14ac:dyDescent="0.2">
      <c r="C246" s="2"/>
      <c r="D246" s="15"/>
      <c r="E246" s="17"/>
      <c r="F246" s="8"/>
      <c r="G246" s="8"/>
      <c r="H246" s="8"/>
      <c r="I246" s="8" t="s">
        <v>432</v>
      </c>
      <c r="J246" s="8"/>
      <c r="K246" s="8"/>
      <c r="L246" s="8"/>
      <c r="M246" s="8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</row>
    <row r="247" spans="3:30" x14ac:dyDescent="0.2">
      <c r="F247" s="8"/>
      <c r="G247" s="8"/>
      <c r="H247" s="8"/>
      <c r="I247" s="8" t="s">
        <v>432</v>
      </c>
      <c r="J247" s="8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</row>
    <row r="248" spans="3:30" x14ac:dyDescent="0.2">
      <c r="D248" s="2"/>
      <c r="E248" s="2"/>
      <c r="F248" s="8"/>
      <c r="G248" s="8"/>
      <c r="H248" s="8"/>
      <c r="I248" s="8" t="s">
        <v>432</v>
      </c>
      <c r="J248" s="8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</row>
    <row r="249" spans="3:30" x14ac:dyDescent="0.2">
      <c r="F249" s="8"/>
      <c r="G249" s="8"/>
      <c r="H249" s="8"/>
      <c r="I249" s="8" t="s">
        <v>432</v>
      </c>
      <c r="J249" s="8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</row>
    <row r="250" spans="3:30" x14ac:dyDescent="0.2">
      <c r="D250" s="2"/>
      <c r="E250" s="2"/>
      <c r="F250" s="8"/>
      <c r="G250" s="8"/>
      <c r="H250" s="8"/>
      <c r="I250" s="8" t="s">
        <v>432</v>
      </c>
      <c r="J250" s="8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</row>
    <row r="251" spans="3:30" x14ac:dyDescent="0.2">
      <c r="D251" s="2"/>
      <c r="E251" s="2"/>
      <c r="F251" s="8"/>
      <c r="G251" s="8"/>
      <c r="H251" s="8"/>
      <c r="I251" s="8" t="s">
        <v>432</v>
      </c>
      <c r="J251" s="8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</row>
    <row r="252" spans="3:30" x14ac:dyDescent="0.2">
      <c r="F252" s="8"/>
      <c r="G252" s="8"/>
      <c r="H252" s="8"/>
      <c r="I252" s="8" t="s">
        <v>432</v>
      </c>
      <c r="J252" s="8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</row>
    <row r="253" spans="3:30" x14ac:dyDescent="0.2">
      <c r="F253" s="8"/>
      <c r="G253" s="8"/>
      <c r="H253" s="8"/>
      <c r="I253" s="8" t="s">
        <v>432</v>
      </c>
      <c r="J253" s="8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</row>
    <row r="254" spans="3:30" x14ac:dyDescent="0.2">
      <c r="F254" s="8"/>
      <c r="G254" s="8"/>
      <c r="H254" s="8"/>
      <c r="I254" s="8" t="s">
        <v>432</v>
      </c>
      <c r="J254" s="8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</row>
    <row r="255" spans="3:30" x14ac:dyDescent="0.2">
      <c r="F255" s="8"/>
      <c r="G255" s="8"/>
      <c r="H255" s="8"/>
      <c r="I255" s="8" t="s">
        <v>432</v>
      </c>
      <c r="J255" s="8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</row>
    <row r="256" spans="3:30" x14ac:dyDescent="0.2">
      <c r="F256" s="8"/>
      <c r="G256" s="8"/>
      <c r="H256" s="8"/>
      <c r="I256" s="8" t="s">
        <v>432</v>
      </c>
      <c r="J256" s="8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</row>
    <row r="257" spans="4:30" x14ac:dyDescent="0.2">
      <c r="F257" s="8"/>
      <c r="G257" s="8"/>
      <c r="H257" s="8"/>
      <c r="I257" s="8" t="s">
        <v>432</v>
      </c>
      <c r="J257" s="8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</row>
    <row r="258" spans="4:30" x14ac:dyDescent="0.2">
      <c r="F258" s="8"/>
      <c r="G258" s="8"/>
      <c r="H258" s="8"/>
      <c r="I258" s="8" t="s">
        <v>432</v>
      </c>
      <c r="J258" s="8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</row>
    <row r="259" spans="4:30" x14ac:dyDescent="0.2">
      <c r="F259" s="8"/>
      <c r="G259" s="8"/>
      <c r="H259" s="8"/>
      <c r="I259" s="8" t="s">
        <v>432</v>
      </c>
      <c r="J259" s="8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</row>
    <row r="260" spans="4:30" x14ac:dyDescent="0.2">
      <c r="D260" s="2"/>
      <c r="E260" s="2"/>
      <c r="F260" s="8"/>
      <c r="G260" s="8"/>
      <c r="H260" s="8"/>
      <c r="I260" s="8" t="s">
        <v>432</v>
      </c>
      <c r="J260" s="8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</row>
    <row r="261" spans="4:30" x14ac:dyDescent="0.2">
      <c r="D261" s="2"/>
      <c r="E261" s="2"/>
      <c r="F261" s="8"/>
      <c r="G261" s="8"/>
      <c r="H261" s="8"/>
      <c r="I261" s="8" t="s">
        <v>432</v>
      </c>
      <c r="J261" s="8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</row>
    <row r="262" spans="4:30" x14ac:dyDescent="0.2">
      <c r="D262" s="2"/>
      <c r="E262" s="2"/>
      <c r="F262" s="8"/>
      <c r="G262" s="8"/>
      <c r="H262" s="8"/>
      <c r="I262" s="8" t="s">
        <v>432</v>
      </c>
      <c r="J262" s="8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</row>
    <row r="263" spans="4:30" x14ac:dyDescent="0.2">
      <c r="F263" s="8"/>
      <c r="G263" s="8"/>
      <c r="H263" s="8"/>
      <c r="I263" s="8" t="s">
        <v>432</v>
      </c>
      <c r="J263" s="8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</row>
    <row r="264" spans="4:30" x14ac:dyDescent="0.2">
      <c r="F264" s="8"/>
      <c r="G264" s="8"/>
      <c r="H264" s="8"/>
      <c r="I264" s="8" t="s">
        <v>432</v>
      </c>
      <c r="J264" s="8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</row>
    <row r="265" spans="4:30" x14ac:dyDescent="0.2">
      <c r="F265" s="8"/>
      <c r="G265" s="8"/>
      <c r="H265" s="8"/>
      <c r="I265" s="8" t="s">
        <v>432</v>
      </c>
      <c r="J265" s="8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</row>
    <row r="266" spans="4:30" x14ac:dyDescent="0.2">
      <c r="F266" s="8"/>
      <c r="G266" s="8"/>
      <c r="H266" s="8"/>
      <c r="I266" s="8" t="s">
        <v>432</v>
      </c>
      <c r="J266" s="8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</row>
    <row r="267" spans="4:30" x14ac:dyDescent="0.2">
      <c r="F267" s="8"/>
      <c r="G267" s="8"/>
      <c r="H267" s="8"/>
      <c r="I267" s="8" t="s">
        <v>432</v>
      </c>
      <c r="J267" s="8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</row>
    <row r="268" spans="4:30" x14ac:dyDescent="0.2">
      <c r="F268" s="8"/>
      <c r="G268" s="8"/>
      <c r="H268" s="8"/>
      <c r="I268" s="8" t="s">
        <v>432</v>
      </c>
      <c r="J268" s="8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</row>
    <row r="269" spans="4:30" x14ac:dyDescent="0.2">
      <c r="F269" s="8"/>
      <c r="G269" s="8"/>
      <c r="H269" s="8"/>
      <c r="I269" s="8" t="s">
        <v>432</v>
      </c>
      <c r="J269" s="8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</row>
    <row r="270" spans="4:30" x14ac:dyDescent="0.2">
      <c r="F270" s="8"/>
      <c r="G270" s="8"/>
      <c r="H270" s="8"/>
      <c r="I270" s="8" t="s">
        <v>432</v>
      </c>
      <c r="J270" s="8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</row>
    <row r="271" spans="4:30" x14ac:dyDescent="0.2">
      <c r="F271" s="8"/>
      <c r="G271" s="8"/>
      <c r="H271" s="8"/>
      <c r="I271" s="8" t="s">
        <v>432</v>
      </c>
      <c r="J271" s="8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</row>
    <row r="272" spans="4:30" x14ac:dyDescent="0.2">
      <c r="F272" s="8"/>
      <c r="G272" s="8"/>
      <c r="H272" s="8"/>
      <c r="I272" s="8" t="s">
        <v>432</v>
      </c>
      <c r="J272" s="8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</row>
    <row r="273" spans="3:30" x14ac:dyDescent="0.2">
      <c r="F273" s="8"/>
      <c r="G273" s="8"/>
      <c r="H273" s="8"/>
      <c r="I273" s="8" t="s">
        <v>432</v>
      </c>
      <c r="J273" s="8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</row>
    <row r="274" spans="3:30" x14ac:dyDescent="0.2">
      <c r="F274" s="8"/>
      <c r="G274" s="8"/>
      <c r="H274" s="8"/>
      <c r="I274" s="8" t="s">
        <v>432</v>
      </c>
      <c r="J274" s="8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</row>
    <row r="275" spans="3:30" x14ac:dyDescent="0.2">
      <c r="F275" s="8"/>
      <c r="G275" s="8"/>
      <c r="H275" s="8"/>
      <c r="I275" s="8" t="s">
        <v>432</v>
      </c>
      <c r="J275" s="8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</row>
    <row r="276" spans="3:30" x14ac:dyDescent="0.2">
      <c r="F276" s="8"/>
      <c r="G276" s="8"/>
      <c r="H276" s="8"/>
      <c r="I276" s="8" t="s">
        <v>432</v>
      </c>
      <c r="J276" s="8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</row>
    <row r="277" spans="3:30" x14ac:dyDescent="0.2">
      <c r="F277" s="8"/>
      <c r="G277" s="8"/>
      <c r="H277" s="8"/>
      <c r="I277" s="8" t="s">
        <v>432</v>
      </c>
      <c r="J277" s="8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</row>
    <row r="278" spans="3:30" x14ac:dyDescent="0.2">
      <c r="F278" s="8"/>
      <c r="G278" s="8"/>
      <c r="H278" s="8"/>
      <c r="I278" s="8" t="s">
        <v>432</v>
      </c>
      <c r="J278" s="8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</row>
    <row r="279" spans="3:30" x14ac:dyDescent="0.2">
      <c r="F279" s="8"/>
      <c r="G279" s="8"/>
      <c r="H279" s="8"/>
      <c r="I279" s="8" t="s">
        <v>432</v>
      </c>
      <c r="J279" s="8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</row>
    <row r="280" spans="3:30" x14ac:dyDescent="0.2">
      <c r="F280" s="8"/>
      <c r="G280" s="8"/>
      <c r="H280" s="8"/>
      <c r="I280" s="8" t="s">
        <v>432</v>
      </c>
      <c r="J280" s="8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</row>
    <row r="281" spans="3:30" x14ac:dyDescent="0.2">
      <c r="F281" s="8"/>
      <c r="G281" s="8"/>
      <c r="H281" s="8"/>
      <c r="I281" s="8" t="s">
        <v>432</v>
      </c>
      <c r="J281" s="8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</row>
    <row r="282" spans="3:30" x14ac:dyDescent="0.2">
      <c r="F282" s="8"/>
      <c r="G282" s="8"/>
      <c r="H282" s="8"/>
      <c r="I282" s="8" t="s">
        <v>432</v>
      </c>
      <c r="J282" s="8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</row>
    <row r="283" spans="3:30" x14ac:dyDescent="0.2">
      <c r="C283" s="2"/>
      <c r="D283" s="2"/>
      <c r="E283" s="2"/>
      <c r="F283" s="8"/>
      <c r="G283" s="8"/>
      <c r="H283" s="8"/>
      <c r="I283" s="8" t="s">
        <v>432</v>
      </c>
      <c r="J283" s="8"/>
      <c r="K283" s="8"/>
      <c r="L283" s="8"/>
      <c r="M283" s="8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</row>
    <row r="284" spans="3:30" x14ac:dyDescent="0.2">
      <c r="F284" s="8"/>
      <c r="G284" s="8"/>
      <c r="H284" s="8"/>
      <c r="I284" s="8" t="s">
        <v>432</v>
      </c>
      <c r="J284" s="8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</row>
    <row r="285" spans="3:30" x14ac:dyDescent="0.2">
      <c r="F285" s="8"/>
      <c r="G285" s="8"/>
      <c r="H285" s="8"/>
      <c r="I285" s="8" t="s">
        <v>432</v>
      </c>
      <c r="J285" s="8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</row>
    <row r="286" spans="3:30" x14ac:dyDescent="0.2">
      <c r="F286" s="8"/>
      <c r="G286" s="8"/>
      <c r="H286" s="8"/>
      <c r="I286" s="8" t="s">
        <v>432</v>
      </c>
      <c r="J286" s="8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</row>
    <row r="287" spans="3:30" x14ac:dyDescent="0.2">
      <c r="F287" s="8"/>
      <c r="G287" s="8"/>
      <c r="H287" s="8"/>
      <c r="I287" s="8" t="s">
        <v>432</v>
      </c>
      <c r="J287" s="8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</row>
    <row r="288" spans="3:30" x14ac:dyDescent="0.2">
      <c r="F288" s="8"/>
      <c r="G288" s="8"/>
      <c r="H288" s="8"/>
      <c r="I288" s="8" t="s">
        <v>432</v>
      </c>
      <c r="J288" s="8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</row>
    <row r="289" spans="6:30" x14ac:dyDescent="0.2">
      <c r="F289" s="8"/>
      <c r="G289" s="8"/>
      <c r="H289" s="8"/>
      <c r="I289" s="8" t="s">
        <v>432</v>
      </c>
      <c r="J289" s="8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</row>
    <row r="290" spans="6:30" x14ac:dyDescent="0.2">
      <c r="F290" s="8"/>
      <c r="G290" s="8"/>
      <c r="H290" s="8"/>
      <c r="I290" s="8" t="s">
        <v>432</v>
      </c>
      <c r="J290" s="8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</row>
    <row r="291" spans="6:30" x14ac:dyDescent="0.2">
      <c r="F291" s="8"/>
      <c r="G291" s="8"/>
      <c r="H291" s="8"/>
      <c r="I291" s="8" t="s">
        <v>432</v>
      </c>
      <c r="J291" s="8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</row>
    <row r="292" spans="6:30" x14ac:dyDescent="0.2">
      <c r="F292" s="8"/>
      <c r="G292" s="8"/>
      <c r="H292" s="8"/>
      <c r="I292" s="8" t="s">
        <v>432</v>
      </c>
      <c r="J292" s="8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</row>
    <row r="293" spans="6:30" x14ac:dyDescent="0.2">
      <c r="F293" s="8"/>
      <c r="G293" s="8"/>
      <c r="H293" s="8"/>
      <c r="I293" s="8" t="s">
        <v>432</v>
      </c>
      <c r="J293" s="8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</row>
    <row r="294" spans="6:30" x14ac:dyDescent="0.2">
      <c r="F294" s="8"/>
      <c r="G294" s="8"/>
      <c r="H294" s="8"/>
      <c r="I294" s="8" t="s">
        <v>432</v>
      </c>
      <c r="J294" s="8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</row>
    <row r="295" spans="6:30" x14ac:dyDescent="0.2">
      <c r="F295" s="8"/>
      <c r="G295" s="8"/>
      <c r="H295" s="8"/>
      <c r="I295" s="8" t="s">
        <v>432</v>
      </c>
      <c r="J295" s="8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</row>
    <row r="296" spans="6:30" x14ac:dyDescent="0.2">
      <c r="F296" s="8"/>
      <c r="G296" s="8"/>
      <c r="H296" s="8"/>
      <c r="I296" s="8" t="s">
        <v>432</v>
      </c>
      <c r="J296" s="8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</row>
    <row r="297" spans="6:30" x14ac:dyDescent="0.2">
      <c r="F297" s="8"/>
      <c r="G297" s="8"/>
      <c r="H297" s="8"/>
      <c r="I297" s="8" t="s">
        <v>432</v>
      </c>
      <c r="J297" s="8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</row>
    <row r="298" spans="6:30" x14ac:dyDescent="0.2">
      <c r="F298" s="8"/>
      <c r="G298" s="8"/>
      <c r="H298" s="8"/>
      <c r="I298" s="8" t="s">
        <v>432</v>
      </c>
      <c r="J298" s="8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</row>
    <row r="299" spans="6:30" x14ac:dyDescent="0.2">
      <c r="F299" s="8"/>
      <c r="G299" s="8"/>
      <c r="H299" s="8"/>
      <c r="I299" s="8" t="s">
        <v>432</v>
      </c>
      <c r="J299" s="8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</row>
    <row r="300" spans="6:30" x14ac:dyDescent="0.2">
      <c r="F300" s="8"/>
      <c r="G300" s="8"/>
      <c r="H300" s="8"/>
      <c r="I300" s="8" t="s">
        <v>432</v>
      </c>
      <c r="J300" s="8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</row>
    <row r="301" spans="6:30" x14ac:dyDescent="0.2">
      <c r="F301" s="8"/>
      <c r="G301" s="8"/>
      <c r="H301" s="8"/>
      <c r="I301" s="8" t="s">
        <v>432</v>
      </c>
      <c r="J301" s="8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</row>
    <row r="302" spans="6:30" x14ac:dyDescent="0.2">
      <c r="F302" s="8"/>
      <c r="G302" s="8"/>
      <c r="H302" s="8"/>
      <c r="I302" s="8" t="s">
        <v>432</v>
      </c>
      <c r="J302" s="8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</row>
    <row r="303" spans="6:30" x14ac:dyDescent="0.2">
      <c r="F303" s="8"/>
      <c r="G303" s="8"/>
      <c r="H303" s="8"/>
      <c r="I303" s="8" t="s">
        <v>432</v>
      </c>
      <c r="J303" s="8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</row>
    <row r="304" spans="6:30" x14ac:dyDescent="0.2">
      <c r="F304" s="8"/>
      <c r="G304" s="8"/>
      <c r="H304" s="8"/>
      <c r="I304" s="8" t="s">
        <v>432</v>
      </c>
      <c r="J304" s="8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</row>
    <row r="305" spans="6:30" x14ac:dyDescent="0.2">
      <c r="F305" s="8"/>
      <c r="G305" s="8"/>
      <c r="H305" s="8"/>
      <c r="I305" s="8" t="s">
        <v>432</v>
      </c>
      <c r="J305" s="8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</row>
    <row r="306" spans="6:30" x14ac:dyDescent="0.2">
      <c r="F306" s="8"/>
      <c r="G306" s="8"/>
      <c r="H306" s="8"/>
      <c r="I306" s="8" t="s">
        <v>432</v>
      </c>
      <c r="J306" s="8"/>
      <c r="K306" s="7"/>
      <c r="L306" s="7"/>
      <c r="M306" s="7"/>
    </row>
  </sheetData>
  <autoFilter ref="A1:AD238">
    <filterColumn colId="0">
      <filters>
        <filter val="2.1.02"/>
      </filters>
    </filterColumn>
  </autoFilter>
  <sortState ref="B4:J237">
    <sortCondition ref="B4:B237"/>
    <sortCondition ref="D4:D237"/>
    <sortCondition ref="E4:E237"/>
  </sortState>
  <dataConsolidate/>
  <pageMargins left="0.7" right="0.7" top="0.75" bottom="0.75" header="0.3" footer="0.3"/>
  <pageSetup paperSize="9" scale="22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C35"/>
  <sheetViews>
    <sheetView workbookViewId="0">
      <selection activeCell="K110" sqref="K110"/>
    </sheetView>
  </sheetViews>
  <sheetFormatPr defaultRowHeight="15" x14ac:dyDescent="0.25"/>
  <cols>
    <col min="1" max="1" width="19.42578125" bestFit="1" customWidth="1"/>
    <col min="2" max="2" width="49.85546875" bestFit="1" customWidth="1"/>
    <col min="3" max="3" width="38.5703125" bestFit="1" customWidth="1"/>
  </cols>
  <sheetData>
    <row r="1" spans="1:3" x14ac:dyDescent="0.25">
      <c r="A1" s="4" t="s">
        <v>187</v>
      </c>
      <c r="B1" s="4" t="s">
        <v>213</v>
      </c>
      <c r="C1" s="4" t="s">
        <v>188</v>
      </c>
    </row>
    <row r="2" spans="1:3" x14ac:dyDescent="0.25">
      <c r="A2" s="6" t="s">
        <v>182</v>
      </c>
      <c r="B2" t="s">
        <v>194</v>
      </c>
      <c r="C2" s="5">
        <v>31</v>
      </c>
    </row>
    <row r="3" spans="1:3" x14ac:dyDescent="0.25">
      <c r="A3" s="6" t="s">
        <v>183</v>
      </c>
      <c r="B3" t="s">
        <v>214</v>
      </c>
      <c r="C3" s="5" t="s">
        <v>189</v>
      </c>
    </row>
    <row r="4" spans="1:3" x14ac:dyDescent="0.25">
      <c r="A4" s="6" t="s">
        <v>179</v>
      </c>
      <c r="B4" t="s">
        <v>194</v>
      </c>
      <c r="C4" s="5">
        <v>942</v>
      </c>
    </row>
    <row r="5" spans="1:3" x14ac:dyDescent="0.25">
      <c r="A5" s="6" t="s">
        <v>181</v>
      </c>
      <c r="B5" t="s">
        <v>198</v>
      </c>
      <c r="C5" s="5">
        <v>992160</v>
      </c>
    </row>
    <row r="6" spans="1:3" x14ac:dyDescent="0.25">
      <c r="A6" s="6" t="s">
        <v>178</v>
      </c>
      <c r="B6" t="s">
        <v>190</v>
      </c>
      <c r="C6" s="5" t="s">
        <v>191</v>
      </c>
    </row>
    <row r="7" spans="1:3" x14ac:dyDescent="0.25">
      <c r="A7" s="6" t="s">
        <v>157</v>
      </c>
      <c r="B7" t="s">
        <v>192</v>
      </c>
      <c r="C7" s="5">
        <v>48205923</v>
      </c>
    </row>
    <row r="8" spans="1:3" x14ac:dyDescent="0.25">
      <c r="A8" s="6" t="s">
        <v>158</v>
      </c>
      <c r="B8" t="s">
        <v>193</v>
      </c>
      <c r="C8" s="5">
        <v>731797041</v>
      </c>
    </row>
    <row r="9" spans="1:3" x14ac:dyDescent="0.25">
      <c r="A9" s="6" t="s">
        <v>176</v>
      </c>
      <c r="B9" t="s">
        <v>195</v>
      </c>
      <c r="C9" s="5">
        <v>3312</v>
      </c>
    </row>
    <row r="10" spans="1:3" x14ac:dyDescent="0.25">
      <c r="A10" s="6" t="s">
        <v>169</v>
      </c>
      <c r="B10" t="s">
        <v>197</v>
      </c>
      <c r="C10" s="5">
        <v>1</v>
      </c>
    </row>
    <row r="11" spans="1:3" x14ac:dyDescent="0.25">
      <c r="A11" s="6" t="s">
        <v>166</v>
      </c>
      <c r="B11" t="s">
        <v>193</v>
      </c>
      <c r="C11" s="5">
        <v>353934994</v>
      </c>
    </row>
    <row r="12" spans="1:3" x14ac:dyDescent="0.25">
      <c r="A12" s="6" t="s">
        <v>180</v>
      </c>
      <c r="B12" t="s">
        <v>193</v>
      </c>
      <c r="C12" s="5">
        <v>17293</v>
      </c>
    </row>
    <row r="13" spans="1:3" x14ac:dyDescent="0.25">
      <c r="A13" s="6" t="s">
        <v>174</v>
      </c>
      <c r="B13" t="s">
        <v>195</v>
      </c>
      <c r="C13" s="5">
        <v>2927</v>
      </c>
    </row>
    <row r="14" spans="1:3" x14ac:dyDescent="0.25">
      <c r="A14" s="6" t="s">
        <v>172</v>
      </c>
      <c r="B14" t="s">
        <v>196</v>
      </c>
      <c r="C14" s="5">
        <v>79</v>
      </c>
    </row>
    <row r="15" spans="1:3" x14ac:dyDescent="0.25">
      <c r="A15" s="6" t="s">
        <v>161</v>
      </c>
      <c r="B15" t="s">
        <v>193</v>
      </c>
      <c r="C15" s="5">
        <v>417425375</v>
      </c>
    </row>
    <row r="16" spans="1:3" x14ac:dyDescent="0.25">
      <c r="A16" s="6" t="s">
        <v>177</v>
      </c>
      <c r="B16" t="s">
        <v>193</v>
      </c>
      <c r="C16" s="5">
        <v>15730</v>
      </c>
    </row>
    <row r="17" spans="1:3" x14ac:dyDescent="0.25">
      <c r="A17" s="6" t="s">
        <v>164</v>
      </c>
      <c r="B17" t="s">
        <v>193</v>
      </c>
      <c r="C17" s="5">
        <v>106256017</v>
      </c>
    </row>
    <row r="18" spans="1:3" x14ac:dyDescent="0.25">
      <c r="A18" s="6" t="s">
        <v>162</v>
      </c>
      <c r="B18" t="s">
        <v>193</v>
      </c>
      <c r="C18" s="5">
        <v>140141812</v>
      </c>
    </row>
    <row r="19" spans="1:3" x14ac:dyDescent="0.25">
      <c r="A19" s="6" t="s">
        <v>165</v>
      </c>
      <c r="B19" t="s">
        <v>193</v>
      </c>
      <c r="C19" s="5">
        <v>2050459039</v>
      </c>
    </row>
    <row r="20" spans="1:3" x14ac:dyDescent="0.25">
      <c r="A20" s="6" t="s">
        <v>159</v>
      </c>
      <c r="B20" t="s">
        <v>198</v>
      </c>
      <c r="C20" s="5">
        <v>992160</v>
      </c>
    </row>
    <row r="21" spans="1:3" x14ac:dyDescent="0.25">
      <c r="A21" s="6" t="s">
        <v>167</v>
      </c>
      <c r="B21" t="s">
        <v>201</v>
      </c>
      <c r="C21" s="5">
        <v>1</v>
      </c>
    </row>
    <row r="22" spans="1:3" x14ac:dyDescent="0.25">
      <c r="A22" s="6" t="s">
        <v>160</v>
      </c>
      <c r="B22" t="s">
        <v>199</v>
      </c>
      <c r="C22" s="5">
        <v>517399</v>
      </c>
    </row>
    <row r="23" spans="1:3" x14ac:dyDescent="0.25">
      <c r="A23" s="6" t="s">
        <v>170</v>
      </c>
      <c r="B23" t="s">
        <v>200</v>
      </c>
      <c r="C23" s="5">
        <v>808</v>
      </c>
    </row>
    <row r="24" spans="1:3" x14ac:dyDescent="0.25">
      <c r="A24" s="6" t="s">
        <v>216</v>
      </c>
      <c r="B24" t="s">
        <v>204</v>
      </c>
      <c r="C24" s="5" t="s">
        <v>215</v>
      </c>
    </row>
    <row r="25" spans="1:3" x14ac:dyDescent="0.25">
      <c r="A25" s="6" t="s">
        <v>175</v>
      </c>
      <c r="B25" t="s">
        <v>202</v>
      </c>
      <c r="C25" s="5" t="s">
        <v>203</v>
      </c>
    </row>
    <row r="26" spans="1:3" x14ac:dyDescent="0.25">
      <c r="A26" s="6" t="s">
        <v>168</v>
      </c>
      <c r="B26" t="s">
        <v>205</v>
      </c>
      <c r="C26" s="5" t="s">
        <v>82</v>
      </c>
    </row>
    <row r="27" spans="1:3" x14ac:dyDescent="0.25">
      <c r="A27" s="6" t="s">
        <v>173</v>
      </c>
      <c r="B27" t="s">
        <v>202</v>
      </c>
      <c r="C27" s="5" t="s">
        <v>206</v>
      </c>
    </row>
    <row r="28" spans="1:3" x14ac:dyDescent="0.25">
      <c r="A28" s="6" t="s">
        <v>171</v>
      </c>
      <c r="B28" t="s">
        <v>202</v>
      </c>
      <c r="C28" s="5" t="s">
        <v>207</v>
      </c>
    </row>
    <row r="29" spans="1:3" x14ac:dyDescent="0.25">
      <c r="A29" s="6" t="s">
        <v>217</v>
      </c>
      <c r="B29" t="s">
        <v>208</v>
      </c>
      <c r="C29" s="5" t="s">
        <v>209</v>
      </c>
    </row>
    <row r="30" spans="1:3" x14ac:dyDescent="0.25">
      <c r="A30" s="6" t="s">
        <v>185</v>
      </c>
      <c r="B30" t="s">
        <v>220</v>
      </c>
      <c r="C30" s="5" t="s">
        <v>186</v>
      </c>
    </row>
    <row r="31" spans="1:3" x14ac:dyDescent="0.25">
      <c r="A31" s="6" t="s">
        <v>184</v>
      </c>
      <c r="B31" t="s">
        <v>193</v>
      </c>
      <c r="C31" s="5">
        <v>1000</v>
      </c>
    </row>
    <row r="32" spans="1:3" x14ac:dyDescent="0.25">
      <c r="A32" s="6" t="s">
        <v>218</v>
      </c>
      <c r="B32" t="s">
        <v>210</v>
      </c>
      <c r="C32" s="5" t="s">
        <v>211</v>
      </c>
    </row>
    <row r="33" spans="1:3" x14ac:dyDescent="0.25">
      <c r="A33" s="6" t="s">
        <v>219</v>
      </c>
      <c r="B33" t="s">
        <v>212</v>
      </c>
      <c r="C33" s="1">
        <v>8512311236</v>
      </c>
    </row>
    <row r="34" spans="1:3" x14ac:dyDescent="0.25">
      <c r="A34" s="6" t="s">
        <v>163</v>
      </c>
      <c r="B34" t="s">
        <v>193</v>
      </c>
      <c r="C34" s="5">
        <v>1609</v>
      </c>
    </row>
    <row r="35" spans="1:3" x14ac:dyDescent="0.25">
      <c r="A35" s="6" t="s">
        <v>665</v>
      </c>
      <c r="B35" t="s">
        <v>666</v>
      </c>
      <c r="C35" s="9" t="s">
        <v>667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1"/>
  <sheetViews>
    <sheetView workbookViewId="0">
      <selection activeCell="K110" sqref="K110"/>
    </sheetView>
  </sheetViews>
  <sheetFormatPr defaultRowHeight="15" x14ac:dyDescent="0.25"/>
  <cols>
    <col min="1" max="1" width="22.28515625" style="21" customWidth="1"/>
    <col min="2" max="2" width="20.7109375" style="21" customWidth="1"/>
    <col min="3" max="3" width="41.5703125" style="21" customWidth="1"/>
    <col min="4" max="4" width="101.85546875" style="21" customWidth="1"/>
    <col min="5" max="16384" width="9.140625" style="21"/>
  </cols>
  <sheetData>
    <row r="3" spans="1:4" x14ac:dyDescent="0.25">
      <c r="A3" s="23" t="s">
        <v>704</v>
      </c>
      <c r="B3" s="23" t="s">
        <v>705</v>
      </c>
      <c r="C3" s="23" t="s">
        <v>706</v>
      </c>
      <c r="D3" s="23" t="s">
        <v>707</v>
      </c>
    </row>
    <row r="4" spans="1:4" x14ac:dyDescent="0.25">
      <c r="A4" s="22"/>
      <c r="B4" s="22"/>
      <c r="C4" s="22"/>
      <c r="D4" s="22"/>
    </row>
    <row r="5" spans="1:4" x14ac:dyDescent="0.25">
      <c r="A5" s="22" t="s">
        <v>702</v>
      </c>
      <c r="B5" s="22" t="s">
        <v>703</v>
      </c>
      <c r="C5" s="22"/>
      <c r="D5" s="22" t="s">
        <v>723</v>
      </c>
    </row>
    <row r="6" spans="1:4" x14ac:dyDescent="0.25">
      <c r="A6" s="22" t="s">
        <v>708</v>
      </c>
      <c r="B6" s="22" t="s">
        <v>716</v>
      </c>
      <c r="C6" s="22"/>
      <c r="D6" s="22" t="s">
        <v>719</v>
      </c>
    </row>
    <row r="7" spans="1:4" x14ac:dyDescent="0.25">
      <c r="A7" s="22" t="s">
        <v>709</v>
      </c>
      <c r="B7" s="22" t="s">
        <v>715</v>
      </c>
      <c r="C7" s="22"/>
      <c r="D7" s="22" t="s">
        <v>720</v>
      </c>
    </row>
    <row r="8" spans="1:4" x14ac:dyDescent="0.25">
      <c r="A8" s="22" t="s">
        <v>710</v>
      </c>
      <c r="B8" s="22" t="s">
        <v>714</v>
      </c>
      <c r="C8" s="22"/>
      <c r="D8" s="22" t="s">
        <v>722</v>
      </c>
    </row>
    <row r="9" spans="1:4" x14ac:dyDescent="0.25">
      <c r="A9" s="22" t="s">
        <v>711</v>
      </c>
      <c r="B9" s="22" t="s">
        <v>692</v>
      </c>
      <c r="C9" s="22"/>
      <c r="D9" s="22" t="s">
        <v>721</v>
      </c>
    </row>
    <row r="10" spans="1:4" x14ac:dyDescent="0.25">
      <c r="A10" s="22" t="s">
        <v>712</v>
      </c>
      <c r="B10" s="22" t="s">
        <v>713</v>
      </c>
      <c r="C10" s="22"/>
      <c r="D10" s="22" t="s">
        <v>719</v>
      </c>
    </row>
    <row r="11" spans="1:4" x14ac:dyDescent="0.25">
      <c r="A11" s="22" t="s">
        <v>717</v>
      </c>
      <c r="B11" s="22" t="s">
        <v>718</v>
      </c>
      <c r="C11" s="22"/>
      <c r="D11" s="22" t="s">
        <v>723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selection activeCell="K110" sqref="K110"/>
    </sheetView>
  </sheetViews>
  <sheetFormatPr defaultRowHeight="15" x14ac:dyDescent="0.25"/>
  <cols>
    <col min="1" max="1" width="35.7109375" customWidth="1"/>
    <col min="2" max="2" width="27.85546875" customWidth="1"/>
    <col min="3" max="3" width="57.7109375" customWidth="1"/>
    <col min="4" max="4" width="101" customWidth="1"/>
  </cols>
  <sheetData>
    <row r="1" spans="1:4" x14ac:dyDescent="0.25">
      <c r="A1" t="s">
        <v>724</v>
      </c>
    </row>
    <row r="5" spans="1:4" x14ac:dyDescent="0.25">
      <c r="A5" s="23" t="s">
        <v>704</v>
      </c>
      <c r="B5" s="23" t="s">
        <v>705</v>
      </c>
      <c r="C5" s="23" t="s">
        <v>706</v>
      </c>
      <c r="D5" s="23" t="s">
        <v>725</v>
      </c>
    </row>
    <row r="6" spans="1:4" x14ac:dyDescent="0.25">
      <c r="A6" s="22"/>
      <c r="B6" s="22"/>
      <c r="C6" s="22"/>
      <c r="D6" s="22"/>
    </row>
    <row r="7" spans="1:4" x14ac:dyDescent="0.25">
      <c r="A7" s="22" t="s">
        <v>702</v>
      </c>
      <c r="B7" s="22" t="s">
        <v>703</v>
      </c>
      <c r="C7" s="22"/>
      <c r="D7" s="22" t="s">
        <v>726</v>
      </c>
    </row>
    <row r="8" spans="1:4" x14ac:dyDescent="0.25">
      <c r="A8" s="22" t="s">
        <v>708</v>
      </c>
      <c r="B8" s="22" t="s">
        <v>716</v>
      </c>
      <c r="C8" s="22"/>
      <c r="D8" s="22" t="s">
        <v>726</v>
      </c>
    </row>
    <row r="9" spans="1:4" x14ac:dyDescent="0.25">
      <c r="A9" s="22" t="s">
        <v>709</v>
      </c>
      <c r="B9" s="22" t="s">
        <v>715</v>
      </c>
      <c r="C9" s="22"/>
      <c r="D9" s="22" t="s">
        <v>726</v>
      </c>
    </row>
    <row r="10" spans="1:4" x14ac:dyDescent="0.25">
      <c r="A10" s="22" t="s">
        <v>710</v>
      </c>
      <c r="B10" s="22" t="s">
        <v>714</v>
      </c>
      <c r="C10" s="22"/>
      <c r="D10" s="22" t="s">
        <v>726</v>
      </c>
    </row>
    <row r="11" spans="1:4" x14ac:dyDescent="0.25">
      <c r="A11" s="22" t="s">
        <v>711</v>
      </c>
      <c r="B11" s="22" t="s">
        <v>692</v>
      </c>
      <c r="C11" s="22"/>
      <c r="D11" s="22" t="s">
        <v>726</v>
      </c>
    </row>
    <row r="12" spans="1:4" x14ac:dyDescent="0.25">
      <c r="A12" s="22" t="s">
        <v>712</v>
      </c>
      <c r="B12" s="22" t="s">
        <v>713</v>
      </c>
      <c r="C12" s="22"/>
      <c r="D12" s="22" t="s">
        <v>727</v>
      </c>
    </row>
    <row r="13" spans="1:4" x14ac:dyDescent="0.25">
      <c r="A13" s="22" t="s">
        <v>717</v>
      </c>
      <c r="B13" s="22" t="s">
        <v>718</v>
      </c>
      <c r="C13" s="22"/>
      <c r="D13" s="22" t="s">
        <v>726</v>
      </c>
    </row>
    <row r="14" spans="1:4" x14ac:dyDescent="0.25">
      <c r="A14" s="21"/>
      <c r="B14" s="21"/>
      <c r="C14" s="21"/>
      <c r="D14" s="2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60"/>
  <sheetViews>
    <sheetView workbookViewId="0">
      <selection activeCell="K110" sqref="K110"/>
    </sheetView>
  </sheetViews>
  <sheetFormatPr defaultRowHeight="15" x14ac:dyDescent="0.25"/>
  <sheetData>
    <row r="1" spans="1:4" x14ac:dyDescent="0.25">
      <c r="A1" s="24" t="s">
        <v>1707</v>
      </c>
      <c r="B1" s="24" t="s">
        <v>4129</v>
      </c>
      <c r="C1" s="24" t="s">
        <v>4130</v>
      </c>
      <c r="D1" s="24" t="s">
        <v>4131</v>
      </c>
    </row>
    <row r="2" spans="1:4" x14ac:dyDescent="0.25">
      <c r="A2" s="24">
        <v>1253</v>
      </c>
      <c r="B2" s="24">
        <v>800015</v>
      </c>
      <c r="C2" s="24" t="s">
        <v>728</v>
      </c>
      <c r="D2" s="24">
        <v>1</v>
      </c>
    </row>
    <row r="3" spans="1:4" x14ac:dyDescent="0.25">
      <c r="A3" s="24">
        <v>1434</v>
      </c>
      <c r="B3" s="24">
        <v>834637</v>
      </c>
      <c r="C3" s="24" t="s">
        <v>2318</v>
      </c>
      <c r="D3" s="24">
        <v>1</v>
      </c>
    </row>
    <row r="4" spans="1:4" x14ac:dyDescent="0.25">
      <c r="A4" s="24">
        <v>3354</v>
      </c>
      <c r="B4" s="24">
        <v>839451</v>
      </c>
      <c r="C4" s="24" t="s">
        <v>2552</v>
      </c>
      <c r="D4" s="24">
        <v>1</v>
      </c>
    </row>
    <row r="5" spans="1:4" x14ac:dyDescent="0.25">
      <c r="A5" s="24">
        <v>2208</v>
      </c>
      <c r="B5" s="24">
        <v>800040</v>
      </c>
      <c r="C5" s="24" t="s">
        <v>729</v>
      </c>
      <c r="D5" s="24">
        <v>2</v>
      </c>
    </row>
    <row r="6" spans="1:4" x14ac:dyDescent="0.25">
      <c r="A6" s="24">
        <v>3243</v>
      </c>
      <c r="B6" s="24">
        <v>800058</v>
      </c>
      <c r="C6" s="24" t="s">
        <v>730</v>
      </c>
      <c r="D6" s="24">
        <v>3</v>
      </c>
    </row>
    <row r="7" spans="1:4" x14ac:dyDescent="0.25">
      <c r="A7" s="24">
        <v>1311</v>
      </c>
      <c r="B7" s="24">
        <v>800066</v>
      </c>
      <c r="C7" s="24" t="s">
        <v>731</v>
      </c>
      <c r="D7" s="24">
        <v>4</v>
      </c>
    </row>
    <row r="8" spans="1:4" x14ac:dyDescent="0.25">
      <c r="A8" s="24">
        <v>1944</v>
      </c>
      <c r="B8" s="24">
        <v>800074</v>
      </c>
      <c r="C8" s="24" t="s">
        <v>731</v>
      </c>
      <c r="D8" s="24">
        <v>5</v>
      </c>
    </row>
    <row r="9" spans="1:4" x14ac:dyDescent="0.25">
      <c r="A9" s="24">
        <v>1712</v>
      </c>
      <c r="B9" s="24">
        <v>800091</v>
      </c>
      <c r="C9" s="24" t="s">
        <v>732</v>
      </c>
      <c r="D9" s="24">
        <v>6</v>
      </c>
    </row>
    <row r="10" spans="1:4" x14ac:dyDescent="0.25">
      <c r="A10" s="24">
        <v>2970</v>
      </c>
      <c r="B10" s="24">
        <v>847909</v>
      </c>
      <c r="C10" s="24" t="s">
        <v>2896</v>
      </c>
      <c r="D10" s="24">
        <v>6</v>
      </c>
    </row>
    <row r="11" spans="1:4" x14ac:dyDescent="0.25">
      <c r="A11" s="24">
        <v>1511</v>
      </c>
      <c r="B11" s="24">
        <v>800112</v>
      </c>
      <c r="C11" s="24" t="s">
        <v>733</v>
      </c>
      <c r="D11" s="24">
        <v>7</v>
      </c>
    </row>
    <row r="12" spans="1:4" x14ac:dyDescent="0.25">
      <c r="A12" s="24">
        <v>2207</v>
      </c>
      <c r="B12" s="24">
        <v>800121</v>
      </c>
      <c r="C12" s="24" t="s">
        <v>734</v>
      </c>
      <c r="D12" s="24">
        <v>8</v>
      </c>
    </row>
    <row r="13" spans="1:4" x14ac:dyDescent="0.25">
      <c r="A13" s="24">
        <v>1922</v>
      </c>
      <c r="B13" s="24">
        <v>800155</v>
      </c>
      <c r="C13" s="24" t="s">
        <v>735</v>
      </c>
      <c r="D13" s="24">
        <v>9</v>
      </c>
    </row>
    <row r="14" spans="1:4" x14ac:dyDescent="0.25">
      <c r="A14" s="24">
        <v>1747</v>
      </c>
      <c r="B14" s="24">
        <v>800163</v>
      </c>
      <c r="C14" s="24" t="s">
        <v>736</v>
      </c>
      <c r="D14" s="24">
        <v>10</v>
      </c>
    </row>
    <row r="15" spans="1:4" x14ac:dyDescent="0.25">
      <c r="A15" s="24">
        <v>477</v>
      </c>
      <c r="B15" s="24">
        <v>800198</v>
      </c>
      <c r="C15" s="24" t="s">
        <v>738</v>
      </c>
      <c r="D15" s="24">
        <v>11</v>
      </c>
    </row>
    <row r="16" spans="1:4" x14ac:dyDescent="0.25">
      <c r="A16" s="24">
        <v>2222</v>
      </c>
      <c r="B16" s="24">
        <v>800201</v>
      </c>
      <c r="C16" s="24" t="s">
        <v>739</v>
      </c>
      <c r="D16" s="24">
        <v>12</v>
      </c>
    </row>
    <row r="17" spans="1:4" x14ac:dyDescent="0.25">
      <c r="A17" s="24">
        <v>3499</v>
      </c>
      <c r="B17" s="24">
        <v>800236</v>
      </c>
      <c r="C17" s="24" t="s">
        <v>741</v>
      </c>
      <c r="D17" s="24">
        <v>13</v>
      </c>
    </row>
    <row r="18" spans="1:4" x14ac:dyDescent="0.25">
      <c r="A18" s="24">
        <v>253</v>
      </c>
      <c r="B18" s="24">
        <v>800252</v>
      </c>
      <c r="C18" s="24" t="s">
        <v>742</v>
      </c>
      <c r="D18" s="24">
        <v>14</v>
      </c>
    </row>
    <row r="19" spans="1:4" x14ac:dyDescent="0.25">
      <c r="A19" s="24">
        <v>490</v>
      </c>
      <c r="B19" s="24">
        <v>800261</v>
      </c>
      <c r="C19" s="24" t="s">
        <v>743</v>
      </c>
      <c r="D19" s="24">
        <v>15</v>
      </c>
    </row>
    <row r="20" spans="1:4" x14ac:dyDescent="0.25">
      <c r="A20" s="24">
        <v>699</v>
      </c>
      <c r="B20" s="24">
        <v>800287</v>
      </c>
      <c r="C20" s="24" t="s">
        <v>744</v>
      </c>
      <c r="D20" s="24">
        <v>16</v>
      </c>
    </row>
    <row r="21" spans="1:4" x14ac:dyDescent="0.25">
      <c r="A21" s="24">
        <v>1708</v>
      </c>
      <c r="B21" s="24">
        <v>800295</v>
      </c>
      <c r="C21" s="24" t="s">
        <v>745</v>
      </c>
      <c r="D21" s="24">
        <v>16</v>
      </c>
    </row>
    <row r="22" spans="1:4" x14ac:dyDescent="0.25">
      <c r="A22" s="24">
        <v>850</v>
      </c>
      <c r="B22" s="24">
        <v>800309</v>
      </c>
      <c r="C22" s="24" t="s">
        <v>746</v>
      </c>
      <c r="D22" s="24">
        <v>17</v>
      </c>
    </row>
    <row r="23" spans="1:4" x14ac:dyDescent="0.25">
      <c r="A23" s="24">
        <v>3110</v>
      </c>
      <c r="B23" s="24">
        <v>800317</v>
      </c>
      <c r="C23" s="24" t="s">
        <v>747</v>
      </c>
      <c r="D23" s="24">
        <v>18</v>
      </c>
    </row>
    <row r="24" spans="1:4" x14ac:dyDescent="0.25">
      <c r="A24" s="24">
        <v>3087</v>
      </c>
      <c r="B24" s="24">
        <v>800333</v>
      </c>
      <c r="C24" s="24" t="s">
        <v>749</v>
      </c>
      <c r="D24" s="24">
        <v>19</v>
      </c>
    </row>
    <row r="25" spans="1:4" x14ac:dyDescent="0.25">
      <c r="A25" s="24">
        <v>488</v>
      </c>
      <c r="B25" s="24">
        <v>800341</v>
      </c>
      <c r="C25" s="24" t="s">
        <v>750</v>
      </c>
      <c r="D25" s="24">
        <v>20</v>
      </c>
    </row>
    <row r="26" spans="1:4" x14ac:dyDescent="0.25">
      <c r="A26" s="24">
        <v>1874</v>
      </c>
      <c r="B26" s="24">
        <v>800350</v>
      </c>
      <c r="C26" s="24" t="s">
        <v>751</v>
      </c>
      <c r="D26" s="24">
        <v>21</v>
      </c>
    </row>
    <row r="27" spans="1:4" x14ac:dyDescent="0.25">
      <c r="A27" s="24">
        <v>2940</v>
      </c>
      <c r="B27" s="24">
        <v>800384</v>
      </c>
      <c r="C27" s="24" t="s">
        <v>753</v>
      </c>
      <c r="D27" s="24">
        <v>22</v>
      </c>
    </row>
    <row r="28" spans="1:4" x14ac:dyDescent="0.25">
      <c r="A28" s="24">
        <v>2675</v>
      </c>
      <c r="B28" s="24">
        <v>800392</v>
      </c>
      <c r="C28" s="24" t="s">
        <v>754</v>
      </c>
      <c r="D28" s="24">
        <v>23</v>
      </c>
    </row>
    <row r="29" spans="1:4" x14ac:dyDescent="0.25">
      <c r="A29" s="24">
        <v>3441</v>
      </c>
      <c r="B29" s="24">
        <v>800406</v>
      </c>
      <c r="C29" s="24" t="s">
        <v>755</v>
      </c>
      <c r="D29" s="24">
        <v>24</v>
      </c>
    </row>
    <row r="30" spans="1:4" x14ac:dyDescent="0.25">
      <c r="A30" s="24">
        <v>1393</v>
      </c>
      <c r="B30" s="24">
        <v>800414</v>
      </c>
      <c r="C30" s="24" t="s">
        <v>756</v>
      </c>
      <c r="D30" s="24">
        <v>25</v>
      </c>
    </row>
    <row r="31" spans="1:4" x14ac:dyDescent="0.25">
      <c r="A31" s="24">
        <v>1421</v>
      </c>
      <c r="B31" s="24">
        <v>800422</v>
      </c>
      <c r="C31" s="24" t="s">
        <v>757</v>
      </c>
      <c r="D31" s="24">
        <v>26</v>
      </c>
    </row>
    <row r="32" spans="1:4" x14ac:dyDescent="0.25">
      <c r="A32" s="24">
        <v>1382</v>
      </c>
      <c r="B32" s="24">
        <v>800431</v>
      </c>
      <c r="C32" s="24" t="s">
        <v>758</v>
      </c>
      <c r="D32" s="24">
        <v>27</v>
      </c>
    </row>
    <row r="33" spans="1:4" x14ac:dyDescent="0.25">
      <c r="A33" s="24">
        <v>667</v>
      </c>
      <c r="B33" s="24">
        <v>824062</v>
      </c>
      <c r="C33" s="24" t="s">
        <v>1859</v>
      </c>
      <c r="D33" s="24">
        <v>28</v>
      </c>
    </row>
    <row r="34" spans="1:4" x14ac:dyDescent="0.25">
      <c r="A34" s="24">
        <v>1500</v>
      </c>
      <c r="B34" s="24">
        <v>800465</v>
      </c>
      <c r="C34" s="24" t="s">
        <v>760</v>
      </c>
      <c r="D34" s="24">
        <v>28</v>
      </c>
    </row>
    <row r="35" spans="1:4" x14ac:dyDescent="0.25">
      <c r="A35" s="24">
        <v>3545</v>
      </c>
      <c r="B35" s="24">
        <v>847267</v>
      </c>
      <c r="C35" s="24" t="s">
        <v>2861</v>
      </c>
      <c r="D35" s="24">
        <v>29</v>
      </c>
    </row>
    <row r="36" spans="1:4" x14ac:dyDescent="0.25">
      <c r="A36" s="24">
        <v>938</v>
      </c>
      <c r="B36" s="24">
        <v>800473</v>
      </c>
      <c r="C36" s="24" t="s">
        <v>761</v>
      </c>
      <c r="D36" s="24">
        <v>30</v>
      </c>
    </row>
    <row r="37" spans="1:4" x14ac:dyDescent="0.25">
      <c r="A37" s="24">
        <v>2226</v>
      </c>
      <c r="B37" s="24">
        <v>800481</v>
      </c>
      <c r="C37" s="24" t="s">
        <v>762</v>
      </c>
      <c r="D37" s="24">
        <v>31</v>
      </c>
    </row>
    <row r="38" spans="1:4" x14ac:dyDescent="0.25">
      <c r="A38" s="24">
        <v>1679</v>
      </c>
      <c r="B38" s="24">
        <v>800490</v>
      </c>
      <c r="C38" s="24" t="s">
        <v>763</v>
      </c>
      <c r="D38" s="24">
        <v>32</v>
      </c>
    </row>
    <row r="39" spans="1:4" x14ac:dyDescent="0.25">
      <c r="A39" s="24">
        <v>1942</v>
      </c>
      <c r="B39" s="24">
        <v>800503</v>
      </c>
      <c r="C39" s="24" t="s">
        <v>764</v>
      </c>
      <c r="D39" s="24">
        <v>33</v>
      </c>
    </row>
    <row r="40" spans="1:4" x14ac:dyDescent="0.25">
      <c r="A40" s="24">
        <v>2093</v>
      </c>
      <c r="B40" s="24">
        <v>800554</v>
      </c>
      <c r="C40" s="24" t="s">
        <v>765</v>
      </c>
      <c r="D40" s="24">
        <v>34</v>
      </c>
    </row>
    <row r="41" spans="1:4" x14ac:dyDescent="0.25">
      <c r="A41" s="24">
        <v>635</v>
      </c>
      <c r="B41" s="24">
        <v>800562</v>
      </c>
      <c r="C41" s="24" t="s">
        <v>766</v>
      </c>
      <c r="D41" s="24">
        <v>35</v>
      </c>
    </row>
    <row r="42" spans="1:4" x14ac:dyDescent="0.25">
      <c r="A42" s="24">
        <v>575</v>
      </c>
      <c r="B42" s="24">
        <v>800571</v>
      </c>
      <c r="C42" s="24" t="s">
        <v>767</v>
      </c>
      <c r="D42" s="24">
        <v>36</v>
      </c>
    </row>
    <row r="43" spans="1:4" x14ac:dyDescent="0.25">
      <c r="A43" s="24">
        <v>1316</v>
      </c>
      <c r="B43" s="24">
        <v>800589</v>
      </c>
      <c r="C43" s="24" t="s">
        <v>768</v>
      </c>
      <c r="D43" s="24">
        <v>37</v>
      </c>
    </row>
    <row r="44" spans="1:4" x14ac:dyDescent="0.25">
      <c r="A44" s="24">
        <v>1648</v>
      </c>
      <c r="B44" s="24">
        <v>800597</v>
      </c>
      <c r="C44" s="24" t="s">
        <v>769</v>
      </c>
      <c r="D44" s="24">
        <v>38</v>
      </c>
    </row>
    <row r="45" spans="1:4" x14ac:dyDescent="0.25">
      <c r="A45" s="24">
        <v>46</v>
      </c>
      <c r="B45" s="24">
        <v>800619</v>
      </c>
      <c r="C45" s="24" t="s">
        <v>771</v>
      </c>
      <c r="D45" s="24">
        <v>39</v>
      </c>
    </row>
    <row r="46" spans="1:4" x14ac:dyDescent="0.25">
      <c r="A46" s="24">
        <v>3065</v>
      </c>
      <c r="B46" s="24">
        <v>800627</v>
      </c>
      <c r="C46" s="24" t="s">
        <v>772</v>
      </c>
      <c r="D46" s="24">
        <v>40</v>
      </c>
    </row>
    <row r="47" spans="1:4" x14ac:dyDescent="0.25">
      <c r="A47" s="24">
        <v>1955</v>
      </c>
      <c r="B47" s="24">
        <v>800635</v>
      </c>
      <c r="C47" s="24" t="s">
        <v>773</v>
      </c>
      <c r="D47" s="24">
        <v>41</v>
      </c>
    </row>
    <row r="48" spans="1:4" x14ac:dyDescent="0.25">
      <c r="A48" s="24">
        <v>767</v>
      </c>
      <c r="B48" s="24">
        <v>800643</v>
      </c>
      <c r="C48" s="24" t="s">
        <v>774</v>
      </c>
      <c r="D48" s="24">
        <v>42</v>
      </c>
    </row>
    <row r="49" spans="1:4" x14ac:dyDescent="0.25">
      <c r="A49" s="24">
        <v>2017</v>
      </c>
      <c r="B49" s="24">
        <v>800651</v>
      </c>
      <c r="C49" s="24" t="s">
        <v>775</v>
      </c>
      <c r="D49" s="24">
        <v>43</v>
      </c>
    </row>
    <row r="50" spans="1:4" x14ac:dyDescent="0.25">
      <c r="A50" s="24">
        <v>519</v>
      </c>
      <c r="B50" s="24">
        <v>800678</v>
      </c>
      <c r="C50" s="24" t="s">
        <v>776</v>
      </c>
      <c r="D50" s="24">
        <v>44</v>
      </c>
    </row>
    <row r="51" spans="1:4" x14ac:dyDescent="0.25">
      <c r="A51" s="24">
        <v>611</v>
      </c>
      <c r="B51" s="24">
        <v>800724</v>
      </c>
      <c r="C51" s="24" t="s">
        <v>778</v>
      </c>
      <c r="D51" s="24">
        <v>45</v>
      </c>
    </row>
    <row r="52" spans="1:4" x14ac:dyDescent="0.25">
      <c r="A52" s="24">
        <v>2694</v>
      </c>
      <c r="B52" s="24">
        <v>800732</v>
      </c>
      <c r="C52" s="24" t="s">
        <v>779</v>
      </c>
      <c r="D52" s="24">
        <v>45</v>
      </c>
    </row>
    <row r="53" spans="1:4" x14ac:dyDescent="0.25">
      <c r="A53" s="24">
        <v>756</v>
      </c>
      <c r="B53" s="24">
        <v>818135</v>
      </c>
      <c r="C53" s="24" t="s">
        <v>1528</v>
      </c>
      <c r="D53" s="24">
        <v>46</v>
      </c>
    </row>
    <row r="54" spans="1:4" x14ac:dyDescent="0.25">
      <c r="A54" s="24">
        <v>1116</v>
      </c>
      <c r="B54" s="24">
        <v>835528</v>
      </c>
      <c r="C54" s="24" t="s">
        <v>2351</v>
      </c>
      <c r="D54" s="24">
        <v>46</v>
      </c>
    </row>
    <row r="55" spans="1:4" x14ac:dyDescent="0.25">
      <c r="A55" s="24">
        <v>2155</v>
      </c>
      <c r="B55" s="24">
        <v>802981</v>
      </c>
      <c r="C55" s="24" t="s">
        <v>861</v>
      </c>
      <c r="D55" s="24">
        <v>46</v>
      </c>
    </row>
    <row r="56" spans="1:4" x14ac:dyDescent="0.25">
      <c r="A56" s="24">
        <v>2117</v>
      </c>
      <c r="B56" s="24">
        <v>800805</v>
      </c>
      <c r="C56" s="24" t="s">
        <v>781</v>
      </c>
      <c r="D56" s="24">
        <v>46</v>
      </c>
    </row>
    <row r="57" spans="1:4" x14ac:dyDescent="0.25">
      <c r="A57" s="24">
        <v>1544</v>
      </c>
      <c r="B57" s="24">
        <v>801011</v>
      </c>
      <c r="C57" s="24" t="s">
        <v>782</v>
      </c>
      <c r="D57" s="24">
        <v>47</v>
      </c>
    </row>
    <row r="58" spans="1:4" x14ac:dyDescent="0.25">
      <c r="A58" s="24">
        <v>1111</v>
      </c>
      <c r="B58" s="24">
        <v>801038</v>
      </c>
      <c r="C58" s="24" t="s">
        <v>783</v>
      </c>
      <c r="D58" s="24">
        <v>48</v>
      </c>
    </row>
    <row r="59" spans="1:4" x14ac:dyDescent="0.25">
      <c r="A59" s="24">
        <v>966</v>
      </c>
      <c r="B59" s="24">
        <v>801381</v>
      </c>
      <c r="C59" s="24" t="s">
        <v>789</v>
      </c>
      <c r="D59" s="24">
        <v>49</v>
      </c>
    </row>
    <row r="60" spans="1:4" x14ac:dyDescent="0.25">
      <c r="A60" s="24">
        <v>954</v>
      </c>
      <c r="B60" s="24">
        <v>801411</v>
      </c>
      <c r="C60" s="24" t="s">
        <v>791</v>
      </c>
      <c r="D60" s="24">
        <v>49</v>
      </c>
    </row>
    <row r="61" spans="1:4" x14ac:dyDescent="0.25">
      <c r="A61" s="24">
        <v>1756</v>
      </c>
      <c r="B61" s="24">
        <v>801062</v>
      </c>
      <c r="C61" s="24" t="s">
        <v>784</v>
      </c>
      <c r="D61" s="24">
        <v>49</v>
      </c>
    </row>
    <row r="62" spans="1:4" x14ac:dyDescent="0.25">
      <c r="A62" s="24">
        <v>980</v>
      </c>
      <c r="B62" s="24">
        <v>801402</v>
      </c>
      <c r="C62" s="24" t="s">
        <v>790</v>
      </c>
      <c r="D62" s="24">
        <v>49</v>
      </c>
    </row>
    <row r="63" spans="1:4" x14ac:dyDescent="0.25">
      <c r="A63" s="24">
        <v>2089</v>
      </c>
      <c r="B63" s="24">
        <v>866423</v>
      </c>
      <c r="C63" s="24" t="s">
        <v>3666</v>
      </c>
      <c r="D63" s="24">
        <v>49</v>
      </c>
    </row>
    <row r="64" spans="1:4" x14ac:dyDescent="0.25">
      <c r="A64" s="24">
        <v>2008</v>
      </c>
      <c r="B64" s="24">
        <v>801101</v>
      </c>
      <c r="C64" s="24" t="s">
        <v>785</v>
      </c>
      <c r="D64" s="24">
        <v>49</v>
      </c>
    </row>
    <row r="65" spans="1:4" x14ac:dyDescent="0.25">
      <c r="A65" s="24">
        <v>1464</v>
      </c>
      <c r="B65" s="24">
        <v>801241</v>
      </c>
      <c r="C65" s="24" t="s">
        <v>786</v>
      </c>
      <c r="D65" s="24">
        <v>49</v>
      </c>
    </row>
    <row r="66" spans="1:4" x14ac:dyDescent="0.25">
      <c r="A66" s="24">
        <v>1938</v>
      </c>
      <c r="B66" s="24">
        <v>801283</v>
      </c>
      <c r="C66" s="24" t="s">
        <v>787</v>
      </c>
      <c r="D66" s="24">
        <v>49</v>
      </c>
    </row>
    <row r="67" spans="1:4" x14ac:dyDescent="0.25">
      <c r="A67" s="24">
        <v>2882</v>
      </c>
      <c r="B67" s="24">
        <v>801453</v>
      </c>
      <c r="C67" s="24" t="s">
        <v>794</v>
      </c>
      <c r="D67" s="24">
        <v>49</v>
      </c>
    </row>
    <row r="68" spans="1:4" x14ac:dyDescent="0.25">
      <c r="A68" s="24">
        <v>3195</v>
      </c>
      <c r="B68" s="24">
        <v>801470</v>
      </c>
      <c r="C68" s="24" t="s">
        <v>796</v>
      </c>
      <c r="D68" s="24">
        <v>50</v>
      </c>
    </row>
    <row r="69" spans="1:4" x14ac:dyDescent="0.25">
      <c r="A69" s="24">
        <v>2392</v>
      </c>
      <c r="B69" s="24">
        <v>800708</v>
      </c>
      <c r="C69" s="24" t="s">
        <v>777</v>
      </c>
      <c r="D69" s="24">
        <v>50</v>
      </c>
    </row>
    <row r="70" spans="1:4" x14ac:dyDescent="0.25">
      <c r="A70" s="24">
        <v>3550</v>
      </c>
      <c r="B70" s="24">
        <v>801640</v>
      </c>
      <c r="C70" s="24" t="s">
        <v>797</v>
      </c>
      <c r="D70" s="24">
        <v>51</v>
      </c>
    </row>
    <row r="71" spans="1:4" x14ac:dyDescent="0.25">
      <c r="A71" s="24">
        <v>712</v>
      </c>
      <c r="B71" s="24">
        <v>801658</v>
      </c>
      <c r="C71" s="24" t="s">
        <v>798</v>
      </c>
      <c r="D71" s="24">
        <v>52</v>
      </c>
    </row>
    <row r="72" spans="1:4" x14ac:dyDescent="0.25">
      <c r="A72" s="24">
        <v>526</v>
      </c>
      <c r="B72" s="24">
        <v>801682</v>
      </c>
      <c r="C72" s="24" t="s">
        <v>800</v>
      </c>
      <c r="D72" s="24">
        <v>53</v>
      </c>
    </row>
    <row r="73" spans="1:4" x14ac:dyDescent="0.25">
      <c r="A73" s="24">
        <v>2583</v>
      </c>
      <c r="B73" s="24">
        <v>801674</v>
      </c>
      <c r="C73" s="24" t="s">
        <v>799</v>
      </c>
      <c r="D73" s="24">
        <v>53</v>
      </c>
    </row>
    <row r="74" spans="1:4" x14ac:dyDescent="0.25">
      <c r="A74" s="24">
        <v>3439</v>
      </c>
      <c r="B74" s="24">
        <v>801691</v>
      </c>
      <c r="C74" s="24" t="s">
        <v>801</v>
      </c>
      <c r="D74" s="24">
        <v>54</v>
      </c>
    </row>
    <row r="75" spans="1:4" x14ac:dyDescent="0.25">
      <c r="A75" s="24">
        <v>18</v>
      </c>
      <c r="B75" s="24">
        <v>802077</v>
      </c>
      <c r="C75" s="24" t="s">
        <v>803</v>
      </c>
      <c r="D75" s="24">
        <v>55</v>
      </c>
    </row>
    <row r="76" spans="1:4" x14ac:dyDescent="0.25">
      <c r="A76" s="24">
        <v>603</v>
      </c>
      <c r="B76" s="24">
        <v>810886</v>
      </c>
      <c r="C76" s="24" t="s">
        <v>1183</v>
      </c>
      <c r="D76" s="24">
        <v>55</v>
      </c>
    </row>
    <row r="77" spans="1:4" x14ac:dyDescent="0.25">
      <c r="A77" s="24">
        <v>3481</v>
      </c>
      <c r="B77" s="24">
        <v>801712</v>
      </c>
      <c r="C77" s="24" t="s">
        <v>802</v>
      </c>
      <c r="D77" s="24">
        <v>55</v>
      </c>
    </row>
    <row r="78" spans="1:4" x14ac:dyDescent="0.25">
      <c r="A78" s="24">
        <v>1921</v>
      </c>
      <c r="B78" s="24">
        <v>802093</v>
      </c>
      <c r="C78" s="24" t="s">
        <v>804</v>
      </c>
      <c r="D78" s="24">
        <v>56</v>
      </c>
    </row>
    <row r="79" spans="1:4" x14ac:dyDescent="0.25">
      <c r="A79" s="24">
        <v>1595</v>
      </c>
      <c r="B79" s="24">
        <v>802107</v>
      </c>
      <c r="C79" s="24" t="s">
        <v>805</v>
      </c>
      <c r="D79" s="24">
        <v>57</v>
      </c>
    </row>
    <row r="80" spans="1:4" x14ac:dyDescent="0.25">
      <c r="A80" s="24">
        <v>764</v>
      </c>
      <c r="B80" s="24">
        <v>802115</v>
      </c>
      <c r="C80" s="24" t="s">
        <v>806</v>
      </c>
      <c r="D80" s="24">
        <v>58</v>
      </c>
    </row>
    <row r="81" spans="1:4" x14ac:dyDescent="0.25">
      <c r="A81" s="24">
        <v>1702</v>
      </c>
      <c r="B81" s="24">
        <v>802123</v>
      </c>
      <c r="C81" s="24" t="s">
        <v>807</v>
      </c>
      <c r="D81" s="24">
        <v>59</v>
      </c>
    </row>
    <row r="82" spans="1:4" x14ac:dyDescent="0.25">
      <c r="A82" s="24">
        <v>2581</v>
      </c>
      <c r="B82" s="24">
        <v>802140</v>
      </c>
      <c r="C82" s="24" t="s">
        <v>808</v>
      </c>
      <c r="D82" s="24">
        <v>60</v>
      </c>
    </row>
    <row r="83" spans="1:4" x14ac:dyDescent="0.25">
      <c r="A83" s="24">
        <v>2526</v>
      </c>
      <c r="B83" s="24">
        <v>802158</v>
      </c>
      <c r="C83" s="24" t="s">
        <v>808</v>
      </c>
      <c r="D83" s="24">
        <v>61</v>
      </c>
    </row>
    <row r="84" spans="1:4" x14ac:dyDescent="0.25">
      <c r="A84" s="24">
        <v>2404</v>
      </c>
      <c r="B84" s="24">
        <v>802166</v>
      </c>
      <c r="C84" s="24" t="s">
        <v>809</v>
      </c>
      <c r="D84" s="24">
        <v>62</v>
      </c>
    </row>
    <row r="85" spans="1:4" x14ac:dyDescent="0.25">
      <c r="A85" s="24">
        <v>2379</v>
      </c>
      <c r="B85" s="24">
        <v>802174</v>
      </c>
      <c r="C85" s="24" t="s">
        <v>810</v>
      </c>
      <c r="D85" s="24">
        <v>63</v>
      </c>
    </row>
    <row r="86" spans="1:4" x14ac:dyDescent="0.25">
      <c r="A86" s="24">
        <v>760</v>
      </c>
      <c r="B86" s="24">
        <v>802191</v>
      </c>
      <c r="C86" s="24" t="s">
        <v>811</v>
      </c>
      <c r="D86" s="24">
        <v>64</v>
      </c>
    </row>
    <row r="87" spans="1:4" x14ac:dyDescent="0.25">
      <c r="A87" s="24">
        <v>2233</v>
      </c>
      <c r="B87" s="24">
        <v>802212</v>
      </c>
      <c r="C87" s="24" t="s">
        <v>813</v>
      </c>
      <c r="D87" s="24">
        <v>65</v>
      </c>
    </row>
    <row r="88" spans="1:4" x14ac:dyDescent="0.25">
      <c r="A88" s="24">
        <v>1467</v>
      </c>
      <c r="B88" s="24">
        <v>870081</v>
      </c>
      <c r="C88" s="24" t="s">
        <v>3858</v>
      </c>
      <c r="D88" s="24">
        <v>66</v>
      </c>
    </row>
    <row r="89" spans="1:4" x14ac:dyDescent="0.25">
      <c r="A89" s="24">
        <v>561</v>
      </c>
      <c r="B89" s="24">
        <v>802239</v>
      </c>
      <c r="C89" s="24" t="s">
        <v>815</v>
      </c>
      <c r="D89" s="24">
        <v>67</v>
      </c>
    </row>
    <row r="90" spans="1:4" x14ac:dyDescent="0.25">
      <c r="A90" s="24">
        <v>3198</v>
      </c>
      <c r="B90" s="24">
        <v>802221</v>
      </c>
      <c r="C90" s="24" t="s">
        <v>814</v>
      </c>
      <c r="D90" s="24">
        <v>67</v>
      </c>
    </row>
    <row r="91" spans="1:4" x14ac:dyDescent="0.25">
      <c r="A91" s="24">
        <v>1859</v>
      </c>
      <c r="B91" s="24">
        <v>802255</v>
      </c>
      <c r="C91" s="24" t="s">
        <v>817</v>
      </c>
      <c r="D91" s="24">
        <v>68</v>
      </c>
    </row>
    <row r="92" spans="1:4" x14ac:dyDescent="0.25">
      <c r="A92" s="24">
        <v>2019</v>
      </c>
      <c r="B92" s="24">
        <v>802263</v>
      </c>
      <c r="C92" s="24" t="s">
        <v>818</v>
      </c>
      <c r="D92" s="24">
        <v>69</v>
      </c>
    </row>
    <row r="93" spans="1:4" x14ac:dyDescent="0.25">
      <c r="A93" s="24">
        <v>2638</v>
      </c>
      <c r="B93" s="24">
        <v>802298</v>
      </c>
      <c r="C93" s="24" t="s">
        <v>820</v>
      </c>
      <c r="D93" s="24">
        <v>70</v>
      </c>
    </row>
    <row r="94" spans="1:4" x14ac:dyDescent="0.25">
      <c r="A94" s="24">
        <v>2979</v>
      </c>
      <c r="B94" s="24">
        <v>802301</v>
      </c>
      <c r="C94" s="24" t="s">
        <v>821</v>
      </c>
      <c r="D94" s="24">
        <v>71</v>
      </c>
    </row>
    <row r="95" spans="1:4" x14ac:dyDescent="0.25">
      <c r="A95" s="24">
        <v>2426</v>
      </c>
      <c r="B95" s="24">
        <v>802336</v>
      </c>
      <c r="C95" s="24" t="s">
        <v>821</v>
      </c>
      <c r="D95" s="24">
        <v>72</v>
      </c>
    </row>
    <row r="96" spans="1:4" x14ac:dyDescent="0.25">
      <c r="A96" s="24">
        <v>1013</v>
      </c>
      <c r="B96" s="24">
        <v>802328</v>
      </c>
      <c r="C96" s="24" t="s">
        <v>821</v>
      </c>
      <c r="D96" s="24">
        <v>73</v>
      </c>
    </row>
    <row r="97" spans="1:4" x14ac:dyDescent="0.25">
      <c r="A97" s="24">
        <v>3282</v>
      </c>
      <c r="B97" s="24">
        <v>813575</v>
      </c>
      <c r="C97" s="24" t="s">
        <v>1315</v>
      </c>
      <c r="D97" s="24">
        <v>73</v>
      </c>
    </row>
    <row r="98" spans="1:4" x14ac:dyDescent="0.25">
      <c r="A98" s="24">
        <v>2751</v>
      </c>
      <c r="B98" s="24">
        <v>802395</v>
      </c>
      <c r="C98" s="24" t="s">
        <v>822</v>
      </c>
      <c r="D98" s="24">
        <v>74</v>
      </c>
    </row>
    <row r="99" spans="1:4" x14ac:dyDescent="0.25">
      <c r="A99" s="24">
        <v>24</v>
      </c>
      <c r="B99" s="24">
        <v>820962</v>
      </c>
      <c r="C99" s="24" t="s">
        <v>1674</v>
      </c>
      <c r="D99" s="24">
        <v>75</v>
      </c>
    </row>
    <row r="100" spans="1:4" x14ac:dyDescent="0.25">
      <c r="A100" s="24">
        <v>169</v>
      </c>
      <c r="B100" s="24">
        <v>875210</v>
      </c>
      <c r="C100" s="24" t="s">
        <v>4083</v>
      </c>
      <c r="D100" s="24">
        <v>75</v>
      </c>
    </row>
    <row r="101" spans="1:4" x14ac:dyDescent="0.25">
      <c r="A101" s="24">
        <v>2221</v>
      </c>
      <c r="B101" s="24">
        <v>820971</v>
      </c>
      <c r="C101" s="24" t="s">
        <v>1675</v>
      </c>
      <c r="D101" s="24">
        <v>75</v>
      </c>
    </row>
    <row r="102" spans="1:4" x14ac:dyDescent="0.25">
      <c r="A102" s="24">
        <v>2230</v>
      </c>
      <c r="B102" s="24">
        <v>802417</v>
      </c>
      <c r="C102" s="24" t="s">
        <v>824</v>
      </c>
      <c r="D102" s="24">
        <v>75</v>
      </c>
    </row>
    <row r="103" spans="1:4" x14ac:dyDescent="0.25">
      <c r="A103" s="24">
        <v>2913</v>
      </c>
      <c r="B103" s="24">
        <v>802409</v>
      </c>
      <c r="C103" s="24" t="s">
        <v>823</v>
      </c>
      <c r="D103" s="24">
        <v>75</v>
      </c>
    </row>
    <row r="104" spans="1:4" x14ac:dyDescent="0.25">
      <c r="A104" s="24">
        <v>2920</v>
      </c>
      <c r="B104" s="24">
        <v>802425</v>
      </c>
      <c r="C104" s="24" t="s">
        <v>825</v>
      </c>
      <c r="D104" s="24">
        <v>76</v>
      </c>
    </row>
    <row r="105" spans="1:4" x14ac:dyDescent="0.25">
      <c r="A105" s="24">
        <v>2672</v>
      </c>
      <c r="B105" s="24">
        <v>802433</v>
      </c>
      <c r="C105" s="24" t="s">
        <v>826</v>
      </c>
      <c r="D105" s="24">
        <v>77</v>
      </c>
    </row>
    <row r="106" spans="1:4" x14ac:dyDescent="0.25">
      <c r="A106" s="24">
        <v>3017</v>
      </c>
      <c r="B106" s="24">
        <v>802450</v>
      </c>
      <c r="C106" s="24" t="s">
        <v>827</v>
      </c>
      <c r="D106" s="24">
        <v>78</v>
      </c>
    </row>
    <row r="107" spans="1:4" x14ac:dyDescent="0.25">
      <c r="A107" s="24">
        <v>789</v>
      </c>
      <c r="B107" s="24">
        <v>802468</v>
      </c>
      <c r="C107" s="24" t="s">
        <v>828</v>
      </c>
      <c r="D107" s="24">
        <v>79</v>
      </c>
    </row>
    <row r="108" spans="1:4" x14ac:dyDescent="0.25">
      <c r="A108" s="24">
        <v>3194</v>
      </c>
      <c r="B108" s="24">
        <v>802476</v>
      </c>
      <c r="C108" s="24" t="s">
        <v>829</v>
      </c>
      <c r="D108" s="24">
        <v>80</v>
      </c>
    </row>
    <row r="109" spans="1:4" x14ac:dyDescent="0.25">
      <c r="A109" s="24">
        <v>2838</v>
      </c>
      <c r="B109" s="24">
        <v>802484</v>
      </c>
      <c r="C109" s="24" t="s">
        <v>830</v>
      </c>
      <c r="D109" s="24">
        <v>81</v>
      </c>
    </row>
    <row r="110" spans="1:4" x14ac:dyDescent="0.25">
      <c r="A110" s="24">
        <v>2754</v>
      </c>
      <c r="B110" s="24">
        <v>802492</v>
      </c>
      <c r="C110" s="24" t="s">
        <v>831</v>
      </c>
      <c r="D110" s="24">
        <v>82</v>
      </c>
    </row>
    <row r="111" spans="1:4" x14ac:dyDescent="0.25">
      <c r="A111" s="24">
        <v>2942</v>
      </c>
      <c r="B111" s="24">
        <v>802506</v>
      </c>
      <c r="C111" s="24" t="s">
        <v>832</v>
      </c>
      <c r="D111" s="24">
        <v>83</v>
      </c>
    </row>
    <row r="112" spans="1:4" x14ac:dyDescent="0.25">
      <c r="A112" s="24">
        <v>2716</v>
      </c>
      <c r="B112" s="24">
        <v>816400</v>
      </c>
      <c r="C112" s="24" t="s">
        <v>1459</v>
      </c>
      <c r="D112" s="24">
        <v>83</v>
      </c>
    </row>
    <row r="113" spans="1:4" x14ac:dyDescent="0.25">
      <c r="A113" s="24">
        <v>1206</v>
      </c>
      <c r="B113" s="24">
        <v>802565</v>
      </c>
      <c r="C113" s="24" t="s">
        <v>833</v>
      </c>
      <c r="D113" s="24">
        <v>84</v>
      </c>
    </row>
    <row r="114" spans="1:4" x14ac:dyDescent="0.25">
      <c r="A114" s="24">
        <v>201</v>
      </c>
      <c r="B114" s="24">
        <v>802573</v>
      </c>
      <c r="C114" s="24" t="s">
        <v>834</v>
      </c>
      <c r="D114" s="24">
        <v>85</v>
      </c>
    </row>
    <row r="115" spans="1:4" x14ac:dyDescent="0.25">
      <c r="A115" s="24">
        <v>1845</v>
      </c>
      <c r="B115" s="24">
        <v>802581</v>
      </c>
      <c r="C115" s="24" t="s">
        <v>835</v>
      </c>
      <c r="D115" s="24">
        <v>86</v>
      </c>
    </row>
    <row r="116" spans="1:4" x14ac:dyDescent="0.25">
      <c r="A116" s="24">
        <v>309</v>
      </c>
      <c r="B116" s="24">
        <v>802590</v>
      </c>
      <c r="C116" s="24" t="s">
        <v>836</v>
      </c>
      <c r="D116" s="24">
        <v>87</v>
      </c>
    </row>
    <row r="117" spans="1:4" x14ac:dyDescent="0.25">
      <c r="A117" s="24">
        <v>1819</v>
      </c>
      <c r="B117" s="24">
        <v>802603</v>
      </c>
      <c r="C117" s="24" t="s">
        <v>837</v>
      </c>
      <c r="D117" s="24">
        <v>88</v>
      </c>
    </row>
    <row r="118" spans="1:4" x14ac:dyDescent="0.25">
      <c r="A118" s="24">
        <v>1726</v>
      </c>
      <c r="B118" s="24">
        <v>802611</v>
      </c>
      <c r="C118" s="24" t="s">
        <v>838</v>
      </c>
      <c r="D118" s="24">
        <v>89</v>
      </c>
    </row>
    <row r="119" spans="1:4" x14ac:dyDescent="0.25">
      <c r="A119" s="24">
        <v>567</v>
      </c>
      <c r="B119" s="24">
        <v>802654</v>
      </c>
      <c r="C119" s="24" t="s">
        <v>839</v>
      </c>
      <c r="D119" s="24">
        <v>90</v>
      </c>
    </row>
    <row r="120" spans="1:4" x14ac:dyDescent="0.25">
      <c r="A120" s="24">
        <v>2674</v>
      </c>
      <c r="B120" s="24">
        <v>802662</v>
      </c>
      <c r="C120" s="24" t="s">
        <v>840</v>
      </c>
      <c r="D120" s="24">
        <v>91</v>
      </c>
    </row>
    <row r="121" spans="1:4" x14ac:dyDescent="0.25">
      <c r="A121" s="24">
        <v>801</v>
      </c>
      <c r="B121" s="24">
        <v>802689</v>
      </c>
      <c r="C121" s="24" t="s">
        <v>842</v>
      </c>
      <c r="D121" s="24">
        <v>92</v>
      </c>
    </row>
    <row r="122" spans="1:4" x14ac:dyDescent="0.25">
      <c r="A122" s="24">
        <v>2771</v>
      </c>
      <c r="B122" s="24">
        <v>802735</v>
      </c>
      <c r="C122" s="24" t="s">
        <v>844</v>
      </c>
      <c r="D122" s="24">
        <v>93</v>
      </c>
    </row>
    <row r="123" spans="1:4" x14ac:dyDescent="0.25">
      <c r="A123" s="24">
        <v>1555</v>
      </c>
      <c r="B123" s="24">
        <v>802743</v>
      </c>
      <c r="C123" s="24" t="s">
        <v>845</v>
      </c>
      <c r="D123" s="24">
        <v>94</v>
      </c>
    </row>
    <row r="124" spans="1:4" x14ac:dyDescent="0.25">
      <c r="A124" s="24">
        <v>3043</v>
      </c>
      <c r="B124" s="24">
        <v>802760</v>
      </c>
      <c r="C124" s="24" t="s">
        <v>846</v>
      </c>
      <c r="D124" s="24">
        <v>95</v>
      </c>
    </row>
    <row r="125" spans="1:4" x14ac:dyDescent="0.25">
      <c r="A125" s="24">
        <v>2315</v>
      </c>
      <c r="B125" s="24">
        <v>802794</v>
      </c>
      <c r="C125" s="24" t="s">
        <v>846</v>
      </c>
      <c r="D125" s="24">
        <v>96</v>
      </c>
    </row>
    <row r="126" spans="1:4" x14ac:dyDescent="0.25">
      <c r="A126" s="24">
        <v>2011</v>
      </c>
      <c r="B126" s="24">
        <v>802808</v>
      </c>
      <c r="C126" s="24" t="s">
        <v>848</v>
      </c>
      <c r="D126" s="24">
        <v>97</v>
      </c>
    </row>
    <row r="127" spans="1:4" x14ac:dyDescent="0.25">
      <c r="A127" s="24">
        <v>2171</v>
      </c>
      <c r="B127" s="24">
        <v>802816</v>
      </c>
      <c r="C127" s="24" t="s">
        <v>849</v>
      </c>
      <c r="D127" s="24">
        <v>98</v>
      </c>
    </row>
    <row r="128" spans="1:4" x14ac:dyDescent="0.25">
      <c r="A128" s="24">
        <v>2165</v>
      </c>
      <c r="B128" s="24">
        <v>802824</v>
      </c>
      <c r="C128" s="24" t="s">
        <v>850</v>
      </c>
      <c r="D128" s="24">
        <v>99</v>
      </c>
    </row>
    <row r="129" spans="1:4" x14ac:dyDescent="0.25">
      <c r="A129" s="24">
        <v>2945</v>
      </c>
      <c r="B129" s="24">
        <v>802841</v>
      </c>
      <c r="C129" s="24" t="s">
        <v>851</v>
      </c>
      <c r="D129" s="24">
        <v>100</v>
      </c>
    </row>
    <row r="130" spans="1:4" x14ac:dyDescent="0.25">
      <c r="A130" s="24">
        <v>958</v>
      </c>
      <c r="B130" s="24">
        <v>802867</v>
      </c>
      <c r="C130" s="24" t="s">
        <v>852</v>
      </c>
      <c r="D130" s="24">
        <v>101</v>
      </c>
    </row>
    <row r="131" spans="1:4" x14ac:dyDescent="0.25">
      <c r="A131" s="24">
        <v>1155</v>
      </c>
      <c r="B131" s="24">
        <v>802875</v>
      </c>
      <c r="C131" s="24" t="s">
        <v>853</v>
      </c>
      <c r="D131" s="24">
        <v>102</v>
      </c>
    </row>
    <row r="132" spans="1:4" x14ac:dyDescent="0.25">
      <c r="A132" s="24">
        <v>1479</v>
      </c>
      <c r="B132" s="24">
        <v>802905</v>
      </c>
      <c r="C132" s="24" t="s">
        <v>854</v>
      </c>
      <c r="D132" s="24">
        <v>103</v>
      </c>
    </row>
    <row r="133" spans="1:4" x14ac:dyDescent="0.25">
      <c r="A133" s="24">
        <v>674</v>
      </c>
      <c r="B133" s="24">
        <v>802913</v>
      </c>
      <c r="C133" s="24" t="s">
        <v>855</v>
      </c>
      <c r="D133" s="24">
        <v>104</v>
      </c>
    </row>
    <row r="134" spans="1:4" x14ac:dyDescent="0.25">
      <c r="A134" s="24">
        <v>1238</v>
      </c>
      <c r="B134" s="24">
        <v>802921</v>
      </c>
      <c r="C134" s="24" t="s">
        <v>856</v>
      </c>
      <c r="D134" s="24">
        <v>105</v>
      </c>
    </row>
    <row r="135" spans="1:4" x14ac:dyDescent="0.25">
      <c r="A135" s="24">
        <v>273</v>
      </c>
      <c r="B135" s="24">
        <v>802930</v>
      </c>
      <c r="C135" s="24" t="s">
        <v>857</v>
      </c>
      <c r="D135" s="24">
        <v>106</v>
      </c>
    </row>
    <row r="136" spans="1:4" x14ac:dyDescent="0.25">
      <c r="A136" s="24">
        <v>2054</v>
      </c>
      <c r="B136" s="24">
        <v>802948</v>
      </c>
      <c r="C136" s="24" t="s">
        <v>858</v>
      </c>
      <c r="D136" s="24">
        <v>107</v>
      </c>
    </row>
    <row r="137" spans="1:4" x14ac:dyDescent="0.25">
      <c r="A137" s="24">
        <v>2312</v>
      </c>
      <c r="B137" s="24">
        <v>802956</v>
      </c>
      <c r="C137" s="24" t="s">
        <v>859</v>
      </c>
      <c r="D137" s="24">
        <v>108</v>
      </c>
    </row>
    <row r="138" spans="1:4" x14ac:dyDescent="0.25">
      <c r="A138" s="24">
        <v>552</v>
      </c>
      <c r="B138" s="24">
        <v>802972</v>
      </c>
      <c r="C138" s="24" t="s">
        <v>860</v>
      </c>
      <c r="D138" s="24">
        <v>109</v>
      </c>
    </row>
    <row r="139" spans="1:4" x14ac:dyDescent="0.25">
      <c r="A139" s="24">
        <v>835</v>
      </c>
      <c r="B139" s="24">
        <v>802999</v>
      </c>
      <c r="C139" s="24" t="s">
        <v>861</v>
      </c>
      <c r="D139" s="24">
        <v>110</v>
      </c>
    </row>
    <row r="140" spans="1:4" x14ac:dyDescent="0.25">
      <c r="A140" s="24">
        <v>19</v>
      </c>
      <c r="B140" s="24">
        <v>803006</v>
      </c>
      <c r="C140" s="24" t="s">
        <v>862</v>
      </c>
      <c r="D140" s="24">
        <v>111</v>
      </c>
    </row>
    <row r="141" spans="1:4" x14ac:dyDescent="0.25">
      <c r="A141" s="24">
        <v>1959</v>
      </c>
      <c r="B141" s="24">
        <v>803014</v>
      </c>
      <c r="C141" s="24" t="s">
        <v>863</v>
      </c>
      <c r="D141" s="24">
        <v>112</v>
      </c>
    </row>
    <row r="142" spans="1:4" x14ac:dyDescent="0.25">
      <c r="A142" s="24">
        <v>2852</v>
      </c>
      <c r="B142" s="24">
        <v>803022</v>
      </c>
      <c r="C142" s="24" t="s">
        <v>864</v>
      </c>
      <c r="D142" s="24">
        <v>113</v>
      </c>
    </row>
    <row r="143" spans="1:4" x14ac:dyDescent="0.25">
      <c r="A143" s="24">
        <v>2112</v>
      </c>
      <c r="B143" s="24">
        <v>803031</v>
      </c>
      <c r="C143" s="24" t="s">
        <v>865</v>
      </c>
      <c r="D143" s="24">
        <v>114</v>
      </c>
    </row>
    <row r="144" spans="1:4" x14ac:dyDescent="0.25">
      <c r="A144" s="24">
        <v>2087</v>
      </c>
      <c r="B144" s="24">
        <v>803057</v>
      </c>
      <c r="C144" s="24" t="s">
        <v>866</v>
      </c>
      <c r="D144" s="24">
        <v>115</v>
      </c>
    </row>
    <row r="145" spans="1:4" x14ac:dyDescent="0.25">
      <c r="A145" s="24">
        <v>3372</v>
      </c>
      <c r="B145" s="24">
        <v>803065</v>
      </c>
      <c r="C145" s="24" t="s">
        <v>867</v>
      </c>
      <c r="D145" s="24">
        <v>116</v>
      </c>
    </row>
    <row r="146" spans="1:4" x14ac:dyDescent="0.25">
      <c r="A146" s="24">
        <v>557</v>
      </c>
      <c r="B146" s="24">
        <v>803073</v>
      </c>
      <c r="C146" s="24" t="s">
        <v>868</v>
      </c>
      <c r="D146" s="24">
        <v>117</v>
      </c>
    </row>
    <row r="147" spans="1:4" x14ac:dyDescent="0.25">
      <c r="A147" s="24">
        <v>1428</v>
      </c>
      <c r="B147" s="24">
        <v>803090</v>
      </c>
      <c r="C147" s="24" t="s">
        <v>869</v>
      </c>
      <c r="D147" s="24">
        <v>118</v>
      </c>
    </row>
    <row r="148" spans="1:4" x14ac:dyDescent="0.25">
      <c r="A148" s="24">
        <v>1995</v>
      </c>
      <c r="B148" s="24">
        <v>803103</v>
      </c>
      <c r="C148" s="24" t="s">
        <v>870</v>
      </c>
      <c r="D148" s="24">
        <v>119</v>
      </c>
    </row>
    <row r="149" spans="1:4" x14ac:dyDescent="0.25">
      <c r="A149" s="24">
        <v>1340</v>
      </c>
      <c r="B149" s="24">
        <v>803111</v>
      </c>
      <c r="C149" s="24" t="s">
        <v>871</v>
      </c>
      <c r="D149" s="24">
        <v>120</v>
      </c>
    </row>
    <row r="150" spans="1:4" x14ac:dyDescent="0.25">
      <c r="A150" s="24">
        <v>660</v>
      </c>
      <c r="B150" s="24">
        <v>803146</v>
      </c>
      <c r="C150" s="24" t="s">
        <v>872</v>
      </c>
      <c r="D150" s="24">
        <v>121</v>
      </c>
    </row>
    <row r="151" spans="1:4" x14ac:dyDescent="0.25">
      <c r="A151" s="24">
        <v>1301</v>
      </c>
      <c r="B151" s="24">
        <v>803162</v>
      </c>
      <c r="C151" s="24" t="s">
        <v>873</v>
      </c>
      <c r="D151" s="24">
        <v>122</v>
      </c>
    </row>
    <row r="152" spans="1:4" x14ac:dyDescent="0.25">
      <c r="A152" s="24">
        <v>1563</v>
      </c>
      <c r="B152" s="24">
        <v>803171</v>
      </c>
      <c r="C152" s="24" t="s">
        <v>874</v>
      </c>
      <c r="D152" s="24">
        <v>123</v>
      </c>
    </row>
    <row r="153" spans="1:4" x14ac:dyDescent="0.25">
      <c r="A153" s="24">
        <v>2251</v>
      </c>
      <c r="B153" s="24">
        <v>803201</v>
      </c>
      <c r="C153" s="24" t="s">
        <v>876</v>
      </c>
      <c r="D153" s="24">
        <v>124</v>
      </c>
    </row>
    <row r="154" spans="1:4" x14ac:dyDescent="0.25">
      <c r="A154" s="24">
        <v>2378</v>
      </c>
      <c r="B154" s="24">
        <v>803197</v>
      </c>
      <c r="C154" s="24" t="s">
        <v>875</v>
      </c>
      <c r="D154" s="24">
        <v>124</v>
      </c>
    </row>
    <row r="155" spans="1:4" x14ac:dyDescent="0.25">
      <c r="A155" s="24">
        <v>2215</v>
      </c>
      <c r="B155" s="24">
        <v>803219</v>
      </c>
      <c r="C155" s="24" t="s">
        <v>877</v>
      </c>
      <c r="D155" s="24">
        <v>125</v>
      </c>
    </row>
    <row r="156" spans="1:4" x14ac:dyDescent="0.25">
      <c r="A156" s="24">
        <v>2094</v>
      </c>
      <c r="B156" s="24">
        <v>803227</v>
      </c>
      <c r="C156" s="24" t="s">
        <v>878</v>
      </c>
      <c r="D156" s="24">
        <v>126</v>
      </c>
    </row>
    <row r="157" spans="1:4" x14ac:dyDescent="0.25">
      <c r="A157" s="24">
        <v>3078</v>
      </c>
      <c r="B157" s="24">
        <v>803235</v>
      </c>
      <c r="C157" s="24" t="s">
        <v>879</v>
      </c>
      <c r="D157" s="24">
        <v>127</v>
      </c>
    </row>
    <row r="158" spans="1:4" x14ac:dyDescent="0.25">
      <c r="A158" s="24">
        <v>1839</v>
      </c>
      <c r="B158" s="24">
        <v>803243</v>
      </c>
      <c r="C158" s="24" t="s">
        <v>880</v>
      </c>
      <c r="D158" s="24">
        <v>128</v>
      </c>
    </row>
    <row r="159" spans="1:4" x14ac:dyDescent="0.25">
      <c r="A159" s="24">
        <v>761</v>
      </c>
      <c r="B159" s="24">
        <v>820547</v>
      </c>
      <c r="C159" s="24" t="s">
        <v>1645</v>
      </c>
      <c r="D159" s="24">
        <v>129</v>
      </c>
    </row>
    <row r="160" spans="1:4" x14ac:dyDescent="0.25">
      <c r="A160" s="24">
        <v>642</v>
      </c>
      <c r="B160" s="24">
        <v>818330</v>
      </c>
      <c r="C160" s="24" t="s">
        <v>1542</v>
      </c>
      <c r="D160" s="24">
        <v>130</v>
      </c>
    </row>
    <row r="161" spans="1:4" x14ac:dyDescent="0.25">
      <c r="A161" s="24">
        <v>403</v>
      </c>
      <c r="B161" s="24">
        <v>803294</v>
      </c>
      <c r="C161" s="24" t="s">
        <v>882</v>
      </c>
      <c r="D161" s="24">
        <v>131</v>
      </c>
    </row>
    <row r="162" spans="1:4" x14ac:dyDescent="0.25">
      <c r="A162" s="24">
        <v>487</v>
      </c>
      <c r="B162" s="24">
        <v>803308</v>
      </c>
      <c r="C162" s="24" t="s">
        <v>883</v>
      </c>
      <c r="D162" s="24">
        <v>132</v>
      </c>
    </row>
    <row r="163" spans="1:4" x14ac:dyDescent="0.25">
      <c r="A163" s="24">
        <v>2108</v>
      </c>
      <c r="B163" s="24">
        <v>803316</v>
      </c>
      <c r="C163" s="24" t="s">
        <v>884</v>
      </c>
      <c r="D163" s="24">
        <v>132</v>
      </c>
    </row>
    <row r="164" spans="1:4" x14ac:dyDescent="0.25">
      <c r="A164" s="24">
        <v>3153</v>
      </c>
      <c r="B164" s="24">
        <v>803324</v>
      </c>
      <c r="C164" s="24" t="s">
        <v>885</v>
      </c>
      <c r="D164" s="24">
        <v>133</v>
      </c>
    </row>
    <row r="165" spans="1:4" x14ac:dyDescent="0.25">
      <c r="A165" s="24">
        <v>2689</v>
      </c>
      <c r="B165" s="24">
        <v>803341</v>
      </c>
      <c r="C165" s="24" t="s">
        <v>887</v>
      </c>
      <c r="D165" s="24">
        <v>134</v>
      </c>
    </row>
    <row r="166" spans="1:4" x14ac:dyDescent="0.25">
      <c r="A166" s="24">
        <v>155</v>
      </c>
      <c r="B166" s="24">
        <v>803359</v>
      </c>
      <c r="C166" s="24" t="s">
        <v>888</v>
      </c>
      <c r="D166" s="24">
        <v>135</v>
      </c>
    </row>
    <row r="167" spans="1:4" x14ac:dyDescent="0.25">
      <c r="A167" s="24">
        <v>2869</v>
      </c>
      <c r="B167" s="24">
        <v>803367</v>
      </c>
      <c r="C167" s="24" t="s">
        <v>889</v>
      </c>
      <c r="D167" s="24">
        <v>136</v>
      </c>
    </row>
    <row r="168" spans="1:4" x14ac:dyDescent="0.25">
      <c r="A168" s="24">
        <v>2032</v>
      </c>
      <c r="B168" s="24">
        <v>803375</v>
      </c>
      <c r="C168" s="24" t="s">
        <v>890</v>
      </c>
      <c r="D168" s="24">
        <v>137</v>
      </c>
    </row>
    <row r="169" spans="1:4" x14ac:dyDescent="0.25">
      <c r="A169" s="24">
        <v>668</v>
      </c>
      <c r="B169" s="24">
        <v>803413</v>
      </c>
      <c r="C169" s="24" t="s">
        <v>892</v>
      </c>
      <c r="D169" s="24">
        <v>138</v>
      </c>
    </row>
    <row r="170" spans="1:4" x14ac:dyDescent="0.25">
      <c r="A170" s="24">
        <v>597</v>
      </c>
      <c r="B170" s="24">
        <v>803421</v>
      </c>
      <c r="C170" s="24" t="s">
        <v>893</v>
      </c>
      <c r="D170" s="24">
        <v>139</v>
      </c>
    </row>
    <row r="171" spans="1:4" x14ac:dyDescent="0.25">
      <c r="A171" s="24">
        <v>1882</v>
      </c>
      <c r="B171" s="24">
        <v>803430</v>
      </c>
      <c r="C171" s="24" t="s">
        <v>894</v>
      </c>
      <c r="D171" s="24">
        <v>140</v>
      </c>
    </row>
    <row r="172" spans="1:4" x14ac:dyDescent="0.25">
      <c r="A172" s="24">
        <v>2068</v>
      </c>
      <c r="B172" s="24">
        <v>803448</v>
      </c>
      <c r="C172" s="24" t="s">
        <v>895</v>
      </c>
      <c r="D172" s="24">
        <v>141</v>
      </c>
    </row>
    <row r="173" spans="1:4" x14ac:dyDescent="0.25">
      <c r="A173" s="24">
        <v>1797</v>
      </c>
      <c r="B173" s="24">
        <v>803456</v>
      </c>
      <c r="C173" s="24" t="s">
        <v>895</v>
      </c>
      <c r="D173" s="24">
        <v>142</v>
      </c>
    </row>
    <row r="174" spans="1:4" x14ac:dyDescent="0.25">
      <c r="A174" s="24">
        <v>250</v>
      </c>
      <c r="B174" s="24">
        <v>803472</v>
      </c>
      <c r="C174" s="24" t="s">
        <v>897</v>
      </c>
      <c r="D174" s="24">
        <v>143</v>
      </c>
    </row>
    <row r="175" spans="1:4" x14ac:dyDescent="0.25">
      <c r="A175" s="24">
        <v>350</v>
      </c>
      <c r="B175" s="24">
        <v>803464</v>
      </c>
      <c r="C175" s="24" t="s">
        <v>896</v>
      </c>
      <c r="D175" s="24">
        <v>143</v>
      </c>
    </row>
    <row r="176" spans="1:4" x14ac:dyDescent="0.25">
      <c r="A176" s="24">
        <v>2544</v>
      </c>
      <c r="B176" s="24">
        <v>803481</v>
      </c>
      <c r="C176" s="24" t="s">
        <v>898</v>
      </c>
      <c r="D176" s="24">
        <v>144</v>
      </c>
    </row>
    <row r="177" spans="1:4" x14ac:dyDescent="0.25">
      <c r="A177" s="24">
        <v>2299</v>
      </c>
      <c r="B177" s="24">
        <v>803499</v>
      </c>
      <c r="C177" s="24" t="s">
        <v>899</v>
      </c>
      <c r="D177" s="24">
        <v>144</v>
      </c>
    </row>
    <row r="178" spans="1:4" x14ac:dyDescent="0.25">
      <c r="A178" s="24">
        <v>870</v>
      </c>
      <c r="B178" s="24">
        <v>803511</v>
      </c>
      <c r="C178" s="24" t="s">
        <v>900</v>
      </c>
      <c r="D178" s="24">
        <v>145</v>
      </c>
    </row>
    <row r="179" spans="1:4" x14ac:dyDescent="0.25">
      <c r="A179" s="24">
        <v>1752</v>
      </c>
      <c r="B179" s="24">
        <v>803537</v>
      </c>
      <c r="C179" s="24" t="s">
        <v>901</v>
      </c>
      <c r="D179" s="24">
        <v>145</v>
      </c>
    </row>
    <row r="180" spans="1:4" x14ac:dyDescent="0.25">
      <c r="A180" s="24">
        <v>1780</v>
      </c>
      <c r="B180" s="24">
        <v>803553</v>
      </c>
      <c r="C180" s="24" t="s">
        <v>902</v>
      </c>
      <c r="D180" s="24">
        <v>146</v>
      </c>
    </row>
    <row r="181" spans="1:4" x14ac:dyDescent="0.25">
      <c r="A181" s="24">
        <v>1822</v>
      </c>
      <c r="B181" s="24">
        <v>803561</v>
      </c>
      <c r="C181" s="24" t="s">
        <v>903</v>
      </c>
      <c r="D181" s="24">
        <v>147</v>
      </c>
    </row>
    <row r="182" spans="1:4" x14ac:dyDescent="0.25">
      <c r="A182" s="24">
        <v>2566</v>
      </c>
      <c r="B182" s="24">
        <v>803570</v>
      </c>
      <c r="C182" s="24" t="s">
        <v>904</v>
      </c>
      <c r="D182" s="24">
        <v>148</v>
      </c>
    </row>
    <row r="183" spans="1:4" x14ac:dyDescent="0.25">
      <c r="A183" s="24">
        <v>2609</v>
      </c>
      <c r="B183" s="24">
        <v>803588</v>
      </c>
      <c r="C183" s="24" t="s">
        <v>905</v>
      </c>
      <c r="D183" s="24">
        <v>149</v>
      </c>
    </row>
    <row r="184" spans="1:4" x14ac:dyDescent="0.25">
      <c r="A184" s="24">
        <v>3228</v>
      </c>
      <c r="B184" s="24">
        <v>803596</v>
      </c>
      <c r="C184" s="24" t="s">
        <v>906</v>
      </c>
      <c r="D184" s="24">
        <v>149</v>
      </c>
    </row>
    <row r="185" spans="1:4" x14ac:dyDescent="0.25">
      <c r="A185" s="24">
        <v>3001</v>
      </c>
      <c r="B185" s="24">
        <v>803600</v>
      </c>
      <c r="C185" s="24" t="s">
        <v>907</v>
      </c>
      <c r="D185" s="24">
        <v>150</v>
      </c>
    </row>
    <row r="186" spans="1:4" x14ac:dyDescent="0.25">
      <c r="A186" s="24">
        <v>566</v>
      </c>
      <c r="B186" s="24">
        <v>803626</v>
      </c>
      <c r="C186" s="24" t="s">
        <v>908</v>
      </c>
      <c r="D186" s="24">
        <v>151</v>
      </c>
    </row>
    <row r="187" spans="1:4" x14ac:dyDescent="0.25">
      <c r="A187" s="24">
        <v>1814</v>
      </c>
      <c r="B187" s="24">
        <v>803642</v>
      </c>
      <c r="C187" s="24" t="s">
        <v>909</v>
      </c>
      <c r="D187" s="24">
        <v>152</v>
      </c>
    </row>
    <row r="188" spans="1:4" x14ac:dyDescent="0.25">
      <c r="A188" s="24">
        <v>1812</v>
      </c>
      <c r="B188" s="24">
        <v>803669</v>
      </c>
      <c r="C188" s="24" t="s">
        <v>910</v>
      </c>
      <c r="D188" s="24">
        <v>153</v>
      </c>
    </row>
    <row r="189" spans="1:4" x14ac:dyDescent="0.25">
      <c r="A189" s="24">
        <v>89</v>
      </c>
      <c r="B189" s="24">
        <v>803677</v>
      </c>
      <c r="C189" s="24" t="s">
        <v>911</v>
      </c>
      <c r="D189" s="24">
        <v>154</v>
      </c>
    </row>
    <row r="190" spans="1:4" x14ac:dyDescent="0.25">
      <c r="A190" s="24">
        <v>942</v>
      </c>
      <c r="B190" s="24">
        <v>803685</v>
      </c>
      <c r="C190" s="24" t="s">
        <v>912</v>
      </c>
      <c r="D190" s="24">
        <v>155</v>
      </c>
    </row>
    <row r="191" spans="1:4" x14ac:dyDescent="0.25">
      <c r="A191" s="24">
        <v>833</v>
      </c>
      <c r="B191" s="24">
        <v>803707</v>
      </c>
      <c r="C191" s="24" t="s">
        <v>914</v>
      </c>
      <c r="D191" s="24">
        <v>156</v>
      </c>
    </row>
    <row r="192" spans="1:4" x14ac:dyDescent="0.25">
      <c r="A192" s="24">
        <v>485</v>
      </c>
      <c r="B192" s="24">
        <v>803693</v>
      </c>
      <c r="C192" s="24" t="s">
        <v>913</v>
      </c>
      <c r="D192" s="24">
        <v>156</v>
      </c>
    </row>
    <row r="193" spans="1:4" x14ac:dyDescent="0.25">
      <c r="A193" s="24">
        <v>1543</v>
      </c>
      <c r="B193" s="24">
        <v>803740</v>
      </c>
      <c r="C193" s="24" t="s">
        <v>917</v>
      </c>
      <c r="D193" s="24">
        <v>157</v>
      </c>
    </row>
    <row r="194" spans="1:4" x14ac:dyDescent="0.25">
      <c r="A194" s="24">
        <v>3419</v>
      </c>
      <c r="B194" s="24">
        <v>803758</v>
      </c>
      <c r="C194" s="24" t="s">
        <v>918</v>
      </c>
      <c r="D194" s="24">
        <v>158</v>
      </c>
    </row>
    <row r="195" spans="1:4" x14ac:dyDescent="0.25">
      <c r="A195" s="24">
        <v>1654</v>
      </c>
      <c r="B195" s="24">
        <v>803821</v>
      </c>
      <c r="C195" s="24" t="s">
        <v>921</v>
      </c>
      <c r="D195" s="24">
        <v>159</v>
      </c>
    </row>
    <row r="196" spans="1:4" x14ac:dyDescent="0.25">
      <c r="A196" s="24">
        <v>2647</v>
      </c>
      <c r="B196" s="24">
        <v>803804</v>
      </c>
      <c r="C196" s="24" t="s">
        <v>920</v>
      </c>
      <c r="D196" s="24">
        <v>159</v>
      </c>
    </row>
    <row r="197" spans="1:4" x14ac:dyDescent="0.25">
      <c r="A197" s="24">
        <v>2169</v>
      </c>
      <c r="B197" s="24">
        <v>803766</v>
      </c>
      <c r="C197" s="24" t="s">
        <v>919</v>
      </c>
      <c r="D197" s="24">
        <v>160</v>
      </c>
    </row>
    <row r="198" spans="1:4" x14ac:dyDescent="0.25">
      <c r="A198" s="24">
        <v>1043</v>
      </c>
      <c r="B198" s="24">
        <v>803847</v>
      </c>
      <c r="C198" s="24" t="s">
        <v>922</v>
      </c>
      <c r="D198" s="24">
        <v>161</v>
      </c>
    </row>
    <row r="199" spans="1:4" x14ac:dyDescent="0.25">
      <c r="A199" s="24">
        <v>750</v>
      </c>
      <c r="B199" s="24">
        <v>803855</v>
      </c>
      <c r="C199" s="24" t="s">
        <v>923</v>
      </c>
      <c r="D199" s="24">
        <v>162</v>
      </c>
    </row>
    <row r="200" spans="1:4" x14ac:dyDescent="0.25">
      <c r="A200" s="24">
        <v>657</v>
      </c>
      <c r="B200" s="24">
        <v>803863</v>
      </c>
      <c r="C200" s="24" t="s">
        <v>924</v>
      </c>
      <c r="D200" s="24">
        <v>163</v>
      </c>
    </row>
    <row r="201" spans="1:4" x14ac:dyDescent="0.25">
      <c r="A201" s="24">
        <v>678</v>
      </c>
      <c r="B201" s="24">
        <v>803936</v>
      </c>
      <c r="C201" s="24" t="s">
        <v>928</v>
      </c>
      <c r="D201" s="24">
        <v>164</v>
      </c>
    </row>
    <row r="202" spans="1:4" x14ac:dyDescent="0.25">
      <c r="A202" s="24">
        <v>3268</v>
      </c>
      <c r="B202" s="24">
        <v>803910</v>
      </c>
      <c r="C202" s="24" t="s">
        <v>927</v>
      </c>
      <c r="D202" s="24">
        <v>164</v>
      </c>
    </row>
    <row r="203" spans="1:4" x14ac:dyDescent="0.25">
      <c r="A203" s="24">
        <v>3487</v>
      </c>
      <c r="B203" s="24">
        <v>803901</v>
      </c>
      <c r="C203" s="24" t="s">
        <v>926</v>
      </c>
      <c r="D203" s="24">
        <v>164</v>
      </c>
    </row>
    <row r="204" spans="1:4" x14ac:dyDescent="0.25">
      <c r="A204" s="24">
        <v>751</v>
      </c>
      <c r="B204" s="24">
        <v>803944</v>
      </c>
      <c r="C204" s="24" t="s">
        <v>929</v>
      </c>
      <c r="D204" s="24">
        <v>165</v>
      </c>
    </row>
    <row r="205" spans="1:4" x14ac:dyDescent="0.25">
      <c r="A205" s="24">
        <v>2340</v>
      </c>
      <c r="B205" s="24">
        <v>803961</v>
      </c>
      <c r="C205" s="24" t="s">
        <v>930</v>
      </c>
      <c r="D205" s="24">
        <v>166</v>
      </c>
    </row>
    <row r="206" spans="1:4" x14ac:dyDescent="0.25">
      <c r="A206" s="24">
        <v>690</v>
      </c>
      <c r="B206" s="24">
        <v>803715</v>
      </c>
      <c r="C206" s="24" t="s">
        <v>915</v>
      </c>
      <c r="D206" s="24">
        <v>167</v>
      </c>
    </row>
    <row r="207" spans="1:4" x14ac:dyDescent="0.25">
      <c r="A207" s="24">
        <v>2209</v>
      </c>
      <c r="B207" s="24">
        <v>804002</v>
      </c>
      <c r="C207" s="24" t="s">
        <v>932</v>
      </c>
      <c r="D207" s="24">
        <v>168</v>
      </c>
    </row>
    <row r="208" spans="1:4" x14ac:dyDescent="0.25">
      <c r="A208" s="24">
        <v>960</v>
      </c>
      <c r="B208" s="24">
        <v>804029</v>
      </c>
      <c r="C208" s="24" t="s">
        <v>934</v>
      </c>
      <c r="D208" s="24">
        <v>169</v>
      </c>
    </row>
    <row r="209" spans="1:4" x14ac:dyDescent="0.25">
      <c r="A209" s="24">
        <v>2245</v>
      </c>
      <c r="B209" s="24">
        <v>804037</v>
      </c>
      <c r="C209" s="24" t="s">
        <v>935</v>
      </c>
      <c r="D209" s="24">
        <v>169</v>
      </c>
    </row>
    <row r="210" spans="1:4" x14ac:dyDescent="0.25">
      <c r="A210" s="24">
        <v>881</v>
      </c>
      <c r="B210" s="24">
        <v>804045</v>
      </c>
      <c r="C210" s="24" t="s">
        <v>936</v>
      </c>
      <c r="D210" s="24">
        <v>170</v>
      </c>
    </row>
    <row r="211" spans="1:4" x14ac:dyDescent="0.25">
      <c r="A211" s="24">
        <v>2912</v>
      </c>
      <c r="B211" s="24">
        <v>809985</v>
      </c>
      <c r="C211" s="24" t="s">
        <v>1141</v>
      </c>
      <c r="D211" s="24">
        <v>171</v>
      </c>
    </row>
    <row r="212" spans="1:4" x14ac:dyDescent="0.25">
      <c r="A212" s="24">
        <v>2399</v>
      </c>
      <c r="B212" s="24">
        <v>805301</v>
      </c>
      <c r="C212" s="24" t="s">
        <v>943</v>
      </c>
      <c r="D212" s="24">
        <v>172</v>
      </c>
    </row>
    <row r="213" spans="1:4" x14ac:dyDescent="0.25">
      <c r="A213" s="24">
        <v>2761</v>
      </c>
      <c r="B213" s="24">
        <v>810649</v>
      </c>
      <c r="C213" s="24" t="s">
        <v>1169</v>
      </c>
      <c r="D213" s="24">
        <v>173</v>
      </c>
    </row>
    <row r="214" spans="1:4" x14ac:dyDescent="0.25">
      <c r="A214" s="24">
        <v>2978</v>
      </c>
      <c r="B214" s="24">
        <v>806099</v>
      </c>
      <c r="C214" s="24" t="s">
        <v>949</v>
      </c>
      <c r="D214" s="24">
        <v>174</v>
      </c>
    </row>
    <row r="215" spans="1:4" x14ac:dyDescent="0.25">
      <c r="A215" s="24">
        <v>329</v>
      </c>
      <c r="B215" s="24">
        <v>822256</v>
      </c>
      <c r="C215" s="24" t="s">
        <v>1757</v>
      </c>
      <c r="D215" s="24">
        <v>175</v>
      </c>
    </row>
    <row r="216" spans="1:4" x14ac:dyDescent="0.25">
      <c r="A216" s="24">
        <v>1762</v>
      </c>
      <c r="B216" s="24">
        <v>805211</v>
      </c>
      <c r="C216" s="24" t="s">
        <v>942</v>
      </c>
      <c r="D216" s="24">
        <v>176</v>
      </c>
    </row>
    <row r="217" spans="1:4" x14ac:dyDescent="0.25">
      <c r="A217" s="24">
        <v>2967</v>
      </c>
      <c r="B217" s="24">
        <v>806005</v>
      </c>
      <c r="C217" s="24" t="s">
        <v>948</v>
      </c>
      <c r="D217" s="24">
        <v>177</v>
      </c>
    </row>
    <row r="218" spans="1:4" x14ac:dyDescent="0.25">
      <c r="A218" s="24">
        <v>912</v>
      </c>
      <c r="B218" s="24">
        <v>804690</v>
      </c>
      <c r="C218" s="24" t="s">
        <v>940</v>
      </c>
      <c r="D218" s="24">
        <v>178</v>
      </c>
    </row>
    <row r="219" spans="1:4" x14ac:dyDescent="0.25">
      <c r="A219" s="24">
        <v>2264</v>
      </c>
      <c r="B219" s="24">
        <v>804380</v>
      </c>
      <c r="C219" s="24" t="s">
        <v>939</v>
      </c>
      <c r="D219" s="24">
        <v>178</v>
      </c>
    </row>
    <row r="220" spans="1:4" x14ac:dyDescent="0.25">
      <c r="A220" s="24">
        <v>754</v>
      </c>
      <c r="B220" s="24">
        <v>804959</v>
      </c>
      <c r="C220" s="24" t="s">
        <v>941</v>
      </c>
      <c r="D220" s="24">
        <v>179</v>
      </c>
    </row>
    <row r="221" spans="1:4" x14ac:dyDescent="0.25">
      <c r="A221" s="24">
        <v>2377</v>
      </c>
      <c r="B221" s="24">
        <v>847755</v>
      </c>
      <c r="C221" s="24" t="s">
        <v>2882</v>
      </c>
      <c r="D221" s="24">
        <v>180</v>
      </c>
    </row>
    <row r="222" spans="1:4" x14ac:dyDescent="0.25">
      <c r="A222" s="24">
        <v>2193</v>
      </c>
      <c r="B222" s="24">
        <v>805866</v>
      </c>
      <c r="C222" s="24" t="s">
        <v>947</v>
      </c>
      <c r="D222" s="24">
        <v>181</v>
      </c>
    </row>
    <row r="223" spans="1:4" x14ac:dyDescent="0.25">
      <c r="A223" s="24">
        <v>436</v>
      </c>
      <c r="B223" s="24">
        <v>853771</v>
      </c>
      <c r="C223" s="24" t="s">
        <v>3138</v>
      </c>
      <c r="D223" s="24">
        <v>182</v>
      </c>
    </row>
    <row r="224" spans="1:4" x14ac:dyDescent="0.25">
      <c r="A224" s="24">
        <v>701</v>
      </c>
      <c r="B224" s="24">
        <v>805556</v>
      </c>
      <c r="C224" s="24" t="s">
        <v>945</v>
      </c>
      <c r="D224" s="24">
        <v>183</v>
      </c>
    </row>
    <row r="225" spans="1:4" x14ac:dyDescent="0.25">
      <c r="A225" s="24">
        <v>3004</v>
      </c>
      <c r="B225" s="24">
        <v>804274</v>
      </c>
      <c r="C225" s="24" t="s">
        <v>938</v>
      </c>
      <c r="D225" s="24">
        <v>183</v>
      </c>
    </row>
    <row r="226" spans="1:4" x14ac:dyDescent="0.25">
      <c r="A226" s="24">
        <v>2928</v>
      </c>
      <c r="B226" s="24">
        <v>805343</v>
      </c>
      <c r="C226" s="24" t="s">
        <v>944</v>
      </c>
      <c r="D226" s="24">
        <v>183</v>
      </c>
    </row>
    <row r="227" spans="1:4" x14ac:dyDescent="0.25">
      <c r="A227" s="24">
        <v>2933</v>
      </c>
      <c r="B227" s="24">
        <v>804096</v>
      </c>
      <c r="C227" s="24" t="s">
        <v>937</v>
      </c>
      <c r="D227" s="24">
        <v>184</v>
      </c>
    </row>
    <row r="228" spans="1:4" x14ac:dyDescent="0.25">
      <c r="A228" s="24">
        <v>1472</v>
      </c>
      <c r="B228" s="24">
        <v>805700</v>
      </c>
      <c r="C228" s="24" t="s">
        <v>946</v>
      </c>
      <c r="D228" s="24">
        <v>185</v>
      </c>
    </row>
    <row r="229" spans="1:4" x14ac:dyDescent="0.25">
      <c r="A229" s="24">
        <v>815</v>
      </c>
      <c r="B229" s="24">
        <v>870293</v>
      </c>
      <c r="C229" s="24" t="s">
        <v>3870</v>
      </c>
      <c r="D229" s="24">
        <v>186</v>
      </c>
    </row>
    <row r="230" spans="1:4" x14ac:dyDescent="0.25">
      <c r="A230" s="24">
        <v>420</v>
      </c>
      <c r="B230" s="24">
        <v>871796</v>
      </c>
      <c r="C230" s="24" t="s">
        <v>3949</v>
      </c>
      <c r="D230" s="24">
        <v>187</v>
      </c>
    </row>
    <row r="231" spans="1:4" x14ac:dyDescent="0.25">
      <c r="A231" s="24">
        <v>1910</v>
      </c>
      <c r="B231" s="24">
        <v>806145</v>
      </c>
      <c r="C231" s="24" t="s">
        <v>950</v>
      </c>
      <c r="D231" s="24">
        <v>188</v>
      </c>
    </row>
    <row r="232" spans="1:4" x14ac:dyDescent="0.25">
      <c r="A232" s="24">
        <v>1365</v>
      </c>
      <c r="B232" s="24">
        <v>806161</v>
      </c>
      <c r="C232" s="24" t="s">
        <v>951</v>
      </c>
      <c r="D232" s="24">
        <v>189</v>
      </c>
    </row>
    <row r="233" spans="1:4" x14ac:dyDescent="0.25">
      <c r="A233" s="24">
        <v>3344</v>
      </c>
      <c r="B233" s="24">
        <v>806170</v>
      </c>
      <c r="C233" s="24" t="s">
        <v>952</v>
      </c>
      <c r="D233" s="24">
        <v>190</v>
      </c>
    </row>
    <row r="234" spans="1:4" x14ac:dyDescent="0.25">
      <c r="A234" s="24">
        <v>3035</v>
      </c>
      <c r="B234" s="24">
        <v>806188</v>
      </c>
      <c r="C234" s="24" t="s">
        <v>953</v>
      </c>
      <c r="D234" s="24">
        <v>191</v>
      </c>
    </row>
    <row r="235" spans="1:4" x14ac:dyDescent="0.25">
      <c r="A235" s="24">
        <v>1783</v>
      </c>
      <c r="B235" s="24">
        <v>806196</v>
      </c>
      <c r="C235" s="24" t="s">
        <v>954</v>
      </c>
      <c r="D235" s="24">
        <v>192</v>
      </c>
    </row>
    <row r="236" spans="1:4" x14ac:dyDescent="0.25">
      <c r="A236" s="24">
        <v>78</v>
      </c>
      <c r="B236" s="24">
        <v>806218</v>
      </c>
      <c r="C236" s="24" t="s">
        <v>955</v>
      </c>
      <c r="D236" s="24">
        <v>193</v>
      </c>
    </row>
    <row r="237" spans="1:4" x14ac:dyDescent="0.25">
      <c r="A237" s="24">
        <v>2187</v>
      </c>
      <c r="B237" s="24">
        <v>806226</v>
      </c>
      <c r="C237" s="24" t="s">
        <v>955</v>
      </c>
      <c r="D237" s="24">
        <v>194</v>
      </c>
    </row>
    <row r="238" spans="1:4" x14ac:dyDescent="0.25">
      <c r="A238" s="24">
        <v>3067</v>
      </c>
      <c r="B238" s="24">
        <v>806234</v>
      </c>
      <c r="C238" s="24" t="s">
        <v>956</v>
      </c>
      <c r="D238" s="24">
        <v>195</v>
      </c>
    </row>
    <row r="239" spans="1:4" x14ac:dyDescent="0.25">
      <c r="A239" s="24">
        <v>87</v>
      </c>
      <c r="B239" s="24">
        <v>833193</v>
      </c>
      <c r="C239" s="24" t="s">
        <v>2260</v>
      </c>
      <c r="D239" s="24">
        <v>196</v>
      </c>
    </row>
    <row r="240" spans="1:4" x14ac:dyDescent="0.25">
      <c r="A240" s="24">
        <v>888</v>
      </c>
      <c r="B240" s="24">
        <v>806251</v>
      </c>
      <c r="C240" s="24" t="s">
        <v>958</v>
      </c>
      <c r="D240" s="24">
        <v>196</v>
      </c>
    </row>
    <row r="241" spans="1:4" x14ac:dyDescent="0.25">
      <c r="A241" s="24">
        <v>1325</v>
      </c>
      <c r="B241" s="24">
        <v>806242</v>
      </c>
      <c r="C241" s="24" t="s">
        <v>957</v>
      </c>
      <c r="D241" s="24">
        <v>196</v>
      </c>
    </row>
    <row r="242" spans="1:4" x14ac:dyDescent="0.25">
      <c r="A242" s="24">
        <v>3217</v>
      </c>
      <c r="B242" s="24">
        <v>806269</v>
      </c>
      <c r="C242" s="24" t="s">
        <v>959</v>
      </c>
      <c r="D242" s="24">
        <v>197</v>
      </c>
    </row>
    <row r="243" spans="1:4" x14ac:dyDescent="0.25">
      <c r="A243" s="24">
        <v>1256</v>
      </c>
      <c r="B243" s="24">
        <v>806277</v>
      </c>
      <c r="C243" s="24" t="s">
        <v>959</v>
      </c>
      <c r="D243" s="24">
        <v>198</v>
      </c>
    </row>
    <row r="244" spans="1:4" x14ac:dyDescent="0.25">
      <c r="A244" s="24">
        <v>2874</v>
      </c>
      <c r="B244" s="24">
        <v>806382</v>
      </c>
      <c r="C244" s="24" t="s">
        <v>960</v>
      </c>
      <c r="D244" s="24">
        <v>199</v>
      </c>
    </row>
    <row r="245" spans="1:4" x14ac:dyDescent="0.25">
      <c r="A245" s="24">
        <v>2937</v>
      </c>
      <c r="B245" s="24">
        <v>806391</v>
      </c>
      <c r="C245" s="24" t="s">
        <v>961</v>
      </c>
      <c r="D245" s="24">
        <v>200</v>
      </c>
    </row>
    <row r="246" spans="1:4" x14ac:dyDescent="0.25">
      <c r="A246" s="24">
        <v>2329</v>
      </c>
      <c r="B246" s="24">
        <v>806404</v>
      </c>
      <c r="C246" s="24" t="s">
        <v>962</v>
      </c>
      <c r="D246" s="24">
        <v>201</v>
      </c>
    </row>
    <row r="247" spans="1:4" x14ac:dyDescent="0.25">
      <c r="A247" s="24">
        <v>2860</v>
      </c>
      <c r="B247" s="24">
        <v>806412</v>
      </c>
      <c r="C247" s="24" t="s">
        <v>963</v>
      </c>
      <c r="D247" s="24">
        <v>202</v>
      </c>
    </row>
    <row r="248" spans="1:4" x14ac:dyDescent="0.25">
      <c r="A248" s="24">
        <v>315</v>
      </c>
      <c r="B248" s="24">
        <v>806421</v>
      </c>
      <c r="C248" s="24" t="s">
        <v>964</v>
      </c>
      <c r="D248" s="24">
        <v>203</v>
      </c>
    </row>
    <row r="249" spans="1:4" x14ac:dyDescent="0.25">
      <c r="A249" s="24">
        <v>946</v>
      </c>
      <c r="B249" s="24">
        <v>806447</v>
      </c>
      <c r="C249" s="24" t="s">
        <v>965</v>
      </c>
      <c r="D249" s="24">
        <v>204</v>
      </c>
    </row>
    <row r="250" spans="1:4" x14ac:dyDescent="0.25">
      <c r="A250" s="24">
        <v>2740</v>
      </c>
      <c r="B250" s="24">
        <v>806463</v>
      </c>
      <c r="C250" s="24" t="s">
        <v>966</v>
      </c>
      <c r="D250" s="24">
        <v>205</v>
      </c>
    </row>
    <row r="251" spans="1:4" x14ac:dyDescent="0.25">
      <c r="A251" s="24">
        <v>1270</v>
      </c>
      <c r="B251" s="24">
        <v>806480</v>
      </c>
      <c r="C251" s="24" t="s">
        <v>967</v>
      </c>
      <c r="D251" s="24">
        <v>206</v>
      </c>
    </row>
    <row r="252" spans="1:4" x14ac:dyDescent="0.25">
      <c r="A252" s="24">
        <v>2657</v>
      </c>
      <c r="B252" s="24">
        <v>806510</v>
      </c>
      <c r="C252" s="24" t="s">
        <v>967</v>
      </c>
      <c r="D252" s="24">
        <v>207</v>
      </c>
    </row>
    <row r="253" spans="1:4" x14ac:dyDescent="0.25">
      <c r="A253" s="24">
        <v>1808</v>
      </c>
      <c r="B253" s="24">
        <v>806528</v>
      </c>
      <c r="C253" s="24" t="s">
        <v>968</v>
      </c>
      <c r="D253" s="24">
        <v>208</v>
      </c>
    </row>
    <row r="254" spans="1:4" x14ac:dyDescent="0.25">
      <c r="A254" s="24">
        <v>962</v>
      </c>
      <c r="B254" s="24">
        <v>806722</v>
      </c>
      <c r="C254" s="24" t="s">
        <v>969</v>
      </c>
      <c r="D254" s="24">
        <v>209</v>
      </c>
    </row>
    <row r="255" spans="1:4" x14ac:dyDescent="0.25">
      <c r="A255" s="24">
        <v>2186</v>
      </c>
      <c r="B255" s="24">
        <v>806731</v>
      </c>
      <c r="C255" s="24" t="s">
        <v>970</v>
      </c>
      <c r="D255" s="24">
        <v>210</v>
      </c>
    </row>
    <row r="256" spans="1:4" x14ac:dyDescent="0.25">
      <c r="A256" s="24">
        <v>2931</v>
      </c>
      <c r="B256" s="24">
        <v>806749</v>
      </c>
      <c r="C256" s="24" t="s">
        <v>971</v>
      </c>
      <c r="D256" s="24">
        <v>211</v>
      </c>
    </row>
    <row r="257" spans="1:4" x14ac:dyDescent="0.25">
      <c r="A257" s="24">
        <v>588</v>
      </c>
      <c r="B257" s="24">
        <v>806820</v>
      </c>
      <c r="C257" s="24" t="s">
        <v>972</v>
      </c>
      <c r="D257" s="24">
        <v>212</v>
      </c>
    </row>
    <row r="258" spans="1:4" x14ac:dyDescent="0.25">
      <c r="A258" s="24">
        <v>3080</v>
      </c>
      <c r="B258" s="24">
        <v>806838</v>
      </c>
      <c r="C258" s="24" t="s">
        <v>973</v>
      </c>
      <c r="D258" s="24">
        <v>213</v>
      </c>
    </row>
    <row r="259" spans="1:4" x14ac:dyDescent="0.25">
      <c r="A259" s="24">
        <v>3089</v>
      </c>
      <c r="B259" s="24">
        <v>806846</v>
      </c>
      <c r="C259" s="24" t="s">
        <v>973</v>
      </c>
      <c r="D259" s="24">
        <v>214</v>
      </c>
    </row>
    <row r="260" spans="1:4" x14ac:dyDescent="0.25">
      <c r="A260" s="24">
        <v>282</v>
      </c>
      <c r="B260" s="24">
        <v>806862</v>
      </c>
      <c r="C260" s="24" t="s">
        <v>974</v>
      </c>
      <c r="D260" s="24">
        <v>215</v>
      </c>
    </row>
    <row r="261" spans="1:4" x14ac:dyDescent="0.25">
      <c r="A261" s="24">
        <v>1162</v>
      </c>
      <c r="B261" s="24">
        <v>806871</v>
      </c>
      <c r="C261" s="24" t="s">
        <v>975</v>
      </c>
      <c r="D261" s="24">
        <v>216</v>
      </c>
    </row>
    <row r="262" spans="1:4" x14ac:dyDescent="0.25">
      <c r="A262" s="24">
        <v>1470</v>
      </c>
      <c r="B262" s="24">
        <v>806889</v>
      </c>
      <c r="C262" s="24" t="s">
        <v>976</v>
      </c>
      <c r="D262" s="24">
        <v>217</v>
      </c>
    </row>
    <row r="263" spans="1:4" x14ac:dyDescent="0.25">
      <c r="A263" s="24">
        <v>1056</v>
      </c>
      <c r="B263" s="24">
        <v>806897</v>
      </c>
      <c r="C263" s="24" t="s">
        <v>977</v>
      </c>
      <c r="D263" s="24">
        <v>218</v>
      </c>
    </row>
    <row r="264" spans="1:4" x14ac:dyDescent="0.25">
      <c r="A264" s="24">
        <v>3283</v>
      </c>
      <c r="B264" s="24">
        <v>806901</v>
      </c>
      <c r="C264" s="24" t="s">
        <v>978</v>
      </c>
      <c r="D264" s="24">
        <v>218</v>
      </c>
    </row>
    <row r="265" spans="1:4" x14ac:dyDescent="0.25">
      <c r="A265" s="24">
        <v>2853</v>
      </c>
      <c r="B265" s="24">
        <v>806935</v>
      </c>
      <c r="C265" s="24" t="s">
        <v>980</v>
      </c>
      <c r="D265" s="24">
        <v>219</v>
      </c>
    </row>
    <row r="266" spans="1:4" x14ac:dyDescent="0.25">
      <c r="A266" s="24">
        <v>1459</v>
      </c>
      <c r="B266" s="24">
        <v>806960</v>
      </c>
      <c r="C266" s="24" t="s">
        <v>982</v>
      </c>
      <c r="D266" s="24">
        <v>220</v>
      </c>
    </row>
    <row r="267" spans="1:4" x14ac:dyDescent="0.25">
      <c r="A267" s="24">
        <v>858</v>
      </c>
      <c r="B267" s="24">
        <v>806978</v>
      </c>
      <c r="C267" s="24" t="s">
        <v>983</v>
      </c>
      <c r="D267" s="24">
        <v>221</v>
      </c>
    </row>
    <row r="268" spans="1:4" x14ac:dyDescent="0.25">
      <c r="A268" s="24">
        <v>1521</v>
      </c>
      <c r="B268" s="24">
        <v>806986</v>
      </c>
      <c r="C268" s="24" t="s">
        <v>984</v>
      </c>
      <c r="D268" s="24">
        <v>222</v>
      </c>
    </row>
    <row r="269" spans="1:4" x14ac:dyDescent="0.25">
      <c r="A269" s="24">
        <v>1513</v>
      </c>
      <c r="B269" s="24">
        <v>807001</v>
      </c>
      <c r="C269" s="24" t="s">
        <v>985</v>
      </c>
      <c r="D269" s="24">
        <v>223</v>
      </c>
    </row>
    <row r="270" spans="1:4" x14ac:dyDescent="0.25">
      <c r="A270" s="24">
        <v>1493</v>
      </c>
      <c r="B270" s="24">
        <v>807010</v>
      </c>
      <c r="C270" s="24" t="s">
        <v>986</v>
      </c>
      <c r="D270" s="24">
        <v>224</v>
      </c>
    </row>
    <row r="271" spans="1:4" x14ac:dyDescent="0.25">
      <c r="A271" s="24">
        <v>996</v>
      </c>
      <c r="B271" s="24">
        <v>819671</v>
      </c>
      <c r="C271" s="24" t="s">
        <v>1607</v>
      </c>
      <c r="D271" s="24">
        <v>225</v>
      </c>
    </row>
    <row r="272" spans="1:4" x14ac:dyDescent="0.25">
      <c r="A272" s="24">
        <v>1929</v>
      </c>
      <c r="B272" s="24">
        <v>807028</v>
      </c>
      <c r="C272" s="24" t="s">
        <v>987</v>
      </c>
      <c r="D272" s="24">
        <v>226</v>
      </c>
    </row>
    <row r="273" spans="1:4" x14ac:dyDescent="0.25">
      <c r="A273" s="24">
        <v>2143</v>
      </c>
      <c r="B273" s="24">
        <v>807036</v>
      </c>
      <c r="C273" s="24" t="s">
        <v>988</v>
      </c>
      <c r="D273" s="24">
        <v>227</v>
      </c>
    </row>
    <row r="274" spans="1:4" x14ac:dyDescent="0.25">
      <c r="A274" s="24">
        <v>3201</v>
      </c>
      <c r="B274" s="24">
        <v>807044</v>
      </c>
      <c r="C274" s="24" t="s">
        <v>989</v>
      </c>
      <c r="D274" s="24">
        <v>228</v>
      </c>
    </row>
    <row r="275" spans="1:4" x14ac:dyDescent="0.25">
      <c r="A275" s="24">
        <v>3348</v>
      </c>
      <c r="B275" s="24">
        <v>807052</v>
      </c>
      <c r="C275" s="24" t="s">
        <v>990</v>
      </c>
      <c r="D275" s="24">
        <v>229</v>
      </c>
    </row>
    <row r="276" spans="1:4" x14ac:dyDescent="0.25">
      <c r="A276" s="24">
        <v>1120</v>
      </c>
      <c r="B276" s="24">
        <v>807061</v>
      </c>
      <c r="C276" s="24" t="s">
        <v>991</v>
      </c>
      <c r="D276" s="24">
        <v>230</v>
      </c>
    </row>
    <row r="277" spans="1:4" x14ac:dyDescent="0.25">
      <c r="A277" s="24">
        <v>2022</v>
      </c>
      <c r="B277" s="24">
        <v>807079</v>
      </c>
      <c r="C277" s="24" t="s">
        <v>992</v>
      </c>
      <c r="D277" s="24">
        <v>231</v>
      </c>
    </row>
    <row r="278" spans="1:4" x14ac:dyDescent="0.25">
      <c r="A278" s="24">
        <v>344</v>
      </c>
      <c r="B278" s="24">
        <v>807109</v>
      </c>
      <c r="C278" s="24" t="s">
        <v>993</v>
      </c>
      <c r="D278" s="24">
        <v>232</v>
      </c>
    </row>
    <row r="279" spans="1:4" x14ac:dyDescent="0.25">
      <c r="A279" s="24">
        <v>978</v>
      </c>
      <c r="B279" s="24">
        <v>807125</v>
      </c>
      <c r="C279" s="24" t="s">
        <v>995</v>
      </c>
      <c r="D279" s="24">
        <v>233</v>
      </c>
    </row>
    <row r="280" spans="1:4" x14ac:dyDescent="0.25">
      <c r="A280" s="24">
        <v>104</v>
      </c>
      <c r="B280" s="24">
        <v>807141</v>
      </c>
      <c r="C280" s="24" t="s">
        <v>996</v>
      </c>
      <c r="D280" s="24">
        <v>234</v>
      </c>
    </row>
    <row r="281" spans="1:4" x14ac:dyDescent="0.25">
      <c r="A281" s="24">
        <v>3494</v>
      </c>
      <c r="B281" s="24">
        <v>807150</v>
      </c>
      <c r="C281" s="24" t="s">
        <v>997</v>
      </c>
      <c r="D281" s="24">
        <v>235</v>
      </c>
    </row>
    <row r="282" spans="1:4" x14ac:dyDescent="0.25">
      <c r="A282" s="24">
        <v>57</v>
      </c>
      <c r="B282" s="24">
        <v>807176</v>
      </c>
      <c r="C282" s="24" t="s">
        <v>998</v>
      </c>
      <c r="D282" s="24">
        <v>236</v>
      </c>
    </row>
    <row r="283" spans="1:4" x14ac:dyDescent="0.25">
      <c r="A283" s="24">
        <v>3338</v>
      </c>
      <c r="B283" s="24">
        <v>853585</v>
      </c>
      <c r="C283" s="24" t="s">
        <v>3122</v>
      </c>
      <c r="D283" s="24">
        <v>237</v>
      </c>
    </row>
    <row r="284" spans="1:4" x14ac:dyDescent="0.25">
      <c r="A284" s="24">
        <v>2080</v>
      </c>
      <c r="B284" s="24">
        <v>807222</v>
      </c>
      <c r="C284" s="24" t="s">
        <v>999</v>
      </c>
      <c r="D284" s="24">
        <v>238</v>
      </c>
    </row>
    <row r="285" spans="1:4" x14ac:dyDescent="0.25">
      <c r="A285" s="24">
        <v>935</v>
      </c>
      <c r="B285" s="24">
        <v>807231</v>
      </c>
      <c r="C285" s="24" t="s">
        <v>1000</v>
      </c>
      <c r="D285" s="24">
        <v>239</v>
      </c>
    </row>
    <row r="286" spans="1:4" x14ac:dyDescent="0.25">
      <c r="A286" s="24">
        <v>854</v>
      </c>
      <c r="B286" s="24">
        <v>807265</v>
      </c>
      <c r="C286" s="24" t="s">
        <v>1001</v>
      </c>
      <c r="D286" s="24">
        <v>240</v>
      </c>
    </row>
    <row r="287" spans="1:4" x14ac:dyDescent="0.25">
      <c r="A287" s="24">
        <v>3008</v>
      </c>
      <c r="B287" s="24">
        <v>807290</v>
      </c>
      <c r="C287" s="24" t="s">
        <v>1003</v>
      </c>
      <c r="D287" s="24">
        <v>241</v>
      </c>
    </row>
    <row r="288" spans="1:4" x14ac:dyDescent="0.25">
      <c r="A288" s="24">
        <v>3398</v>
      </c>
      <c r="B288" s="24">
        <v>807303</v>
      </c>
      <c r="C288" s="24" t="s">
        <v>1004</v>
      </c>
      <c r="D288" s="24">
        <v>242</v>
      </c>
    </row>
    <row r="289" spans="1:4" x14ac:dyDescent="0.25">
      <c r="A289" s="24">
        <v>1717</v>
      </c>
      <c r="B289" s="24">
        <v>807320</v>
      </c>
      <c r="C289" s="24" t="s">
        <v>1005</v>
      </c>
      <c r="D289" s="24">
        <v>243</v>
      </c>
    </row>
    <row r="290" spans="1:4" x14ac:dyDescent="0.25">
      <c r="A290" s="24">
        <v>1644</v>
      </c>
      <c r="B290" s="24">
        <v>807354</v>
      </c>
      <c r="C290" s="24" t="s">
        <v>1006</v>
      </c>
      <c r="D290" s="24">
        <v>244</v>
      </c>
    </row>
    <row r="291" spans="1:4" x14ac:dyDescent="0.25">
      <c r="A291" s="24">
        <v>1948</v>
      </c>
      <c r="B291" s="24">
        <v>807389</v>
      </c>
      <c r="C291" s="24" t="s">
        <v>1006</v>
      </c>
      <c r="D291" s="24">
        <v>245</v>
      </c>
    </row>
    <row r="292" spans="1:4" x14ac:dyDescent="0.25">
      <c r="A292" s="24">
        <v>892</v>
      </c>
      <c r="B292" s="24">
        <v>807401</v>
      </c>
      <c r="C292" s="24" t="s">
        <v>1007</v>
      </c>
      <c r="D292" s="24">
        <v>246</v>
      </c>
    </row>
    <row r="293" spans="1:4" x14ac:dyDescent="0.25">
      <c r="A293" s="24">
        <v>646</v>
      </c>
      <c r="B293" s="24">
        <v>807427</v>
      </c>
      <c r="C293" s="24" t="s">
        <v>1008</v>
      </c>
      <c r="D293" s="24">
        <v>247</v>
      </c>
    </row>
    <row r="294" spans="1:4" x14ac:dyDescent="0.25">
      <c r="A294" s="24">
        <v>2285</v>
      </c>
      <c r="B294" s="24">
        <v>807435</v>
      </c>
      <c r="C294" s="24" t="s">
        <v>1009</v>
      </c>
      <c r="D294" s="24">
        <v>248</v>
      </c>
    </row>
    <row r="295" spans="1:4" x14ac:dyDescent="0.25">
      <c r="A295" s="24">
        <v>1608</v>
      </c>
      <c r="B295" s="24">
        <v>807443</v>
      </c>
      <c r="C295" s="24" t="s">
        <v>1010</v>
      </c>
      <c r="D295" s="24">
        <v>249</v>
      </c>
    </row>
    <row r="296" spans="1:4" x14ac:dyDescent="0.25">
      <c r="A296" s="24">
        <v>874</v>
      </c>
      <c r="B296" s="24">
        <v>807451</v>
      </c>
      <c r="C296" s="24" t="s">
        <v>1011</v>
      </c>
      <c r="D296" s="24">
        <v>250</v>
      </c>
    </row>
    <row r="297" spans="1:4" x14ac:dyDescent="0.25">
      <c r="A297" s="24">
        <v>3081</v>
      </c>
      <c r="B297" s="24">
        <v>807478</v>
      </c>
      <c r="C297" s="24" t="s">
        <v>1012</v>
      </c>
      <c r="D297" s="24">
        <v>251</v>
      </c>
    </row>
    <row r="298" spans="1:4" x14ac:dyDescent="0.25">
      <c r="A298" s="24">
        <v>2200</v>
      </c>
      <c r="B298" s="24">
        <v>807486</v>
      </c>
      <c r="C298" s="24" t="s">
        <v>1013</v>
      </c>
      <c r="D298" s="24">
        <v>252</v>
      </c>
    </row>
    <row r="299" spans="1:4" x14ac:dyDescent="0.25">
      <c r="A299" s="24">
        <v>41</v>
      </c>
      <c r="B299" s="24">
        <v>807508</v>
      </c>
      <c r="C299" s="24" t="s">
        <v>1014</v>
      </c>
      <c r="D299" s="24">
        <v>253</v>
      </c>
    </row>
    <row r="300" spans="1:4" x14ac:dyDescent="0.25">
      <c r="A300" s="24">
        <v>689</v>
      </c>
      <c r="B300" s="24">
        <v>807567</v>
      </c>
      <c r="C300" s="24" t="s">
        <v>1015</v>
      </c>
      <c r="D300" s="24">
        <v>254</v>
      </c>
    </row>
    <row r="301" spans="1:4" x14ac:dyDescent="0.25">
      <c r="A301" s="24">
        <v>974</v>
      </c>
      <c r="B301" s="24">
        <v>839159</v>
      </c>
      <c r="C301" s="24" t="s">
        <v>1015</v>
      </c>
      <c r="D301" s="24">
        <v>255</v>
      </c>
    </row>
    <row r="302" spans="1:4" x14ac:dyDescent="0.25">
      <c r="A302" s="24">
        <v>1418</v>
      </c>
      <c r="B302" s="24">
        <v>807575</v>
      </c>
      <c r="C302" s="24" t="s">
        <v>1016</v>
      </c>
      <c r="D302" s="24">
        <v>256</v>
      </c>
    </row>
    <row r="303" spans="1:4" x14ac:dyDescent="0.25">
      <c r="A303" s="24">
        <v>3018</v>
      </c>
      <c r="B303" s="24">
        <v>807591</v>
      </c>
      <c r="C303" s="24" t="s">
        <v>1017</v>
      </c>
      <c r="D303" s="24">
        <v>257</v>
      </c>
    </row>
    <row r="304" spans="1:4" x14ac:dyDescent="0.25">
      <c r="A304" s="24">
        <v>456</v>
      </c>
      <c r="B304" s="24">
        <v>807630</v>
      </c>
      <c r="C304" s="24" t="s">
        <v>1019</v>
      </c>
      <c r="D304" s="24">
        <v>258</v>
      </c>
    </row>
    <row r="305" spans="1:4" x14ac:dyDescent="0.25">
      <c r="A305" s="24">
        <v>2512</v>
      </c>
      <c r="B305" s="24">
        <v>807613</v>
      </c>
      <c r="C305" s="24" t="s">
        <v>1018</v>
      </c>
      <c r="D305" s="24">
        <v>258</v>
      </c>
    </row>
    <row r="306" spans="1:4" x14ac:dyDescent="0.25">
      <c r="A306" s="24">
        <v>2807</v>
      </c>
      <c r="B306" s="24">
        <v>807648</v>
      </c>
      <c r="C306" s="24" t="s">
        <v>1020</v>
      </c>
      <c r="D306" s="24">
        <v>258</v>
      </c>
    </row>
    <row r="307" spans="1:4" x14ac:dyDescent="0.25">
      <c r="A307" s="24">
        <v>647</v>
      </c>
      <c r="B307" s="24">
        <v>807664</v>
      </c>
      <c r="C307" s="24" t="s">
        <v>1021</v>
      </c>
      <c r="D307" s="24">
        <v>259</v>
      </c>
    </row>
    <row r="308" spans="1:4" x14ac:dyDescent="0.25">
      <c r="A308" s="24">
        <v>2027</v>
      </c>
      <c r="B308" s="24">
        <v>807681</v>
      </c>
      <c r="C308" s="24" t="s">
        <v>1022</v>
      </c>
      <c r="D308" s="24">
        <v>260</v>
      </c>
    </row>
    <row r="309" spans="1:4" x14ac:dyDescent="0.25">
      <c r="A309" s="24">
        <v>1376</v>
      </c>
      <c r="B309" s="24">
        <v>807737</v>
      </c>
      <c r="C309" s="24" t="s">
        <v>1025</v>
      </c>
      <c r="D309" s="24">
        <v>261</v>
      </c>
    </row>
    <row r="310" spans="1:4" x14ac:dyDescent="0.25">
      <c r="A310" s="24">
        <v>923</v>
      </c>
      <c r="B310" s="24">
        <v>807729</v>
      </c>
      <c r="C310" s="24" t="s">
        <v>1024</v>
      </c>
      <c r="D310" s="24">
        <v>261</v>
      </c>
    </row>
    <row r="311" spans="1:4" x14ac:dyDescent="0.25">
      <c r="A311" s="24">
        <v>2014</v>
      </c>
      <c r="B311" s="24">
        <v>807745</v>
      </c>
      <c r="C311" s="24" t="s">
        <v>1026</v>
      </c>
      <c r="D311" s="24">
        <v>261</v>
      </c>
    </row>
    <row r="312" spans="1:4" x14ac:dyDescent="0.25">
      <c r="A312" s="24">
        <v>2875</v>
      </c>
      <c r="B312" s="24">
        <v>807711</v>
      </c>
      <c r="C312" s="24" t="s">
        <v>1023</v>
      </c>
      <c r="D312" s="24">
        <v>261</v>
      </c>
    </row>
    <row r="313" spans="1:4" x14ac:dyDescent="0.25">
      <c r="A313" s="24">
        <v>3163</v>
      </c>
      <c r="B313" s="24">
        <v>818836</v>
      </c>
      <c r="C313" s="24" t="s">
        <v>1569</v>
      </c>
      <c r="D313" s="24">
        <v>261</v>
      </c>
    </row>
    <row r="314" spans="1:4" x14ac:dyDescent="0.25">
      <c r="A314" s="24">
        <v>3375</v>
      </c>
      <c r="B314" s="24">
        <v>850420</v>
      </c>
      <c r="C314" s="24" t="s">
        <v>2990</v>
      </c>
      <c r="D314" s="24">
        <v>261</v>
      </c>
    </row>
    <row r="315" spans="1:4" x14ac:dyDescent="0.25">
      <c r="A315" s="24">
        <v>3267</v>
      </c>
      <c r="B315" s="24">
        <v>807419</v>
      </c>
      <c r="C315" s="24" t="s">
        <v>1007</v>
      </c>
      <c r="D315" s="24">
        <v>262</v>
      </c>
    </row>
    <row r="316" spans="1:4" x14ac:dyDescent="0.25">
      <c r="A316" s="24">
        <v>3232</v>
      </c>
      <c r="B316" s="24">
        <v>807761</v>
      </c>
      <c r="C316" s="24" t="s">
        <v>1028</v>
      </c>
      <c r="D316" s="24">
        <v>262</v>
      </c>
    </row>
    <row r="317" spans="1:4" x14ac:dyDescent="0.25">
      <c r="A317" s="24">
        <v>1577</v>
      </c>
      <c r="B317" s="24">
        <v>807788</v>
      </c>
      <c r="C317" s="24" t="s">
        <v>1029</v>
      </c>
      <c r="D317" s="24">
        <v>263</v>
      </c>
    </row>
    <row r="318" spans="1:4" x14ac:dyDescent="0.25">
      <c r="A318" s="24">
        <v>768</v>
      </c>
      <c r="B318" s="24">
        <v>807834</v>
      </c>
      <c r="C318" s="24" t="s">
        <v>1033</v>
      </c>
      <c r="D318" s="24">
        <v>264</v>
      </c>
    </row>
    <row r="319" spans="1:4" x14ac:dyDescent="0.25">
      <c r="A319" s="24">
        <v>3290</v>
      </c>
      <c r="B319" s="24">
        <v>807826</v>
      </c>
      <c r="C319" s="24" t="s">
        <v>1032</v>
      </c>
      <c r="D319" s="24">
        <v>264</v>
      </c>
    </row>
    <row r="320" spans="1:4" x14ac:dyDescent="0.25">
      <c r="A320" s="24">
        <v>3552</v>
      </c>
      <c r="B320" s="24">
        <v>807818</v>
      </c>
      <c r="C320" s="24" t="s">
        <v>1031</v>
      </c>
      <c r="D320" s="24">
        <v>264</v>
      </c>
    </row>
    <row r="321" spans="1:4" x14ac:dyDescent="0.25">
      <c r="A321" s="24">
        <v>3222</v>
      </c>
      <c r="B321" s="24">
        <v>807842</v>
      </c>
      <c r="C321" s="24" t="s">
        <v>1034</v>
      </c>
      <c r="D321" s="24">
        <v>264</v>
      </c>
    </row>
    <row r="322" spans="1:4" x14ac:dyDescent="0.25">
      <c r="A322" s="24">
        <v>293</v>
      </c>
      <c r="B322" s="24">
        <v>807885</v>
      </c>
      <c r="C322" s="24" t="s">
        <v>1035</v>
      </c>
      <c r="D322" s="24">
        <v>265</v>
      </c>
    </row>
    <row r="323" spans="1:4" x14ac:dyDescent="0.25">
      <c r="A323" s="24">
        <v>170</v>
      </c>
      <c r="B323" s="24">
        <v>807893</v>
      </c>
      <c r="C323" s="24" t="s">
        <v>1036</v>
      </c>
      <c r="D323" s="24">
        <v>266</v>
      </c>
    </row>
    <row r="324" spans="1:4" x14ac:dyDescent="0.25">
      <c r="A324" s="24">
        <v>1368</v>
      </c>
      <c r="B324" s="24">
        <v>807915</v>
      </c>
      <c r="C324" s="24" t="s">
        <v>1037</v>
      </c>
      <c r="D324" s="24">
        <v>267</v>
      </c>
    </row>
    <row r="325" spans="1:4" x14ac:dyDescent="0.25">
      <c r="A325" s="24">
        <v>218</v>
      </c>
      <c r="B325" s="24">
        <v>807923</v>
      </c>
      <c r="C325" s="24" t="s">
        <v>1038</v>
      </c>
      <c r="D325" s="24">
        <v>268</v>
      </c>
    </row>
    <row r="326" spans="1:4" x14ac:dyDescent="0.25">
      <c r="A326" s="24">
        <v>1788</v>
      </c>
      <c r="B326" s="24">
        <v>875333</v>
      </c>
      <c r="C326" s="24" t="s">
        <v>4087</v>
      </c>
      <c r="D326" s="24">
        <v>268</v>
      </c>
    </row>
    <row r="327" spans="1:4" x14ac:dyDescent="0.25">
      <c r="A327" s="24">
        <v>2537</v>
      </c>
      <c r="B327" s="24">
        <v>807931</v>
      </c>
      <c r="C327" s="24" t="s">
        <v>1039</v>
      </c>
      <c r="D327" s="24">
        <v>269</v>
      </c>
    </row>
    <row r="328" spans="1:4" x14ac:dyDescent="0.25">
      <c r="A328" s="24">
        <v>2396</v>
      </c>
      <c r="B328" s="24">
        <v>808776</v>
      </c>
      <c r="C328" s="24" t="s">
        <v>1073</v>
      </c>
      <c r="D328" s="24">
        <v>269</v>
      </c>
    </row>
    <row r="329" spans="1:4" x14ac:dyDescent="0.25">
      <c r="A329" s="24">
        <v>2616</v>
      </c>
      <c r="B329" s="24">
        <v>807974</v>
      </c>
      <c r="C329" s="24" t="s">
        <v>1040</v>
      </c>
      <c r="D329" s="24">
        <v>270</v>
      </c>
    </row>
    <row r="330" spans="1:4" x14ac:dyDescent="0.25">
      <c r="A330" s="24">
        <v>348</v>
      </c>
      <c r="B330" s="24">
        <v>807982</v>
      </c>
      <c r="C330" s="24" t="s">
        <v>1041</v>
      </c>
      <c r="D330" s="24">
        <v>271</v>
      </c>
    </row>
    <row r="331" spans="1:4" x14ac:dyDescent="0.25">
      <c r="A331" s="24">
        <v>1776</v>
      </c>
      <c r="B331" s="24">
        <v>807991</v>
      </c>
      <c r="C331" s="24" t="s">
        <v>1042</v>
      </c>
      <c r="D331" s="24">
        <v>272</v>
      </c>
    </row>
    <row r="332" spans="1:4" x14ac:dyDescent="0.25">
      <c r="A332" s="24">
        <v>1977</v>
      </c>
      <c r="B332" s="24">
        <v>808008</v>
      </c>
      <c r="C332" s="24" t="s">
        <v>1043</v>
      </c>
      <c r="D332" s="24">
        <v>273</v>
      </c>
    </row>
    <row r="333" spans="1:4" x14ac:dyDescent="0.25">
      <c r="A333" s="24">
        <v>651</v>
      </c>
      <c r="B333" s="24">
        <v>808024</v>
      </c>
      <c r="C333" s="24" t="s">
        <v>1044</v>
      </c>
      <c r="D333" s="24">
        <v>274</v>
      </c>
    </row>
    <row r="334" spans="1:4" x14ac:dyDescent="0.25">
      <c r="A334" s="24">
        <v>2924</v>
      </c>
      <c r="B334" s="24">
        <v>852881</v>
      </c>
      <c r="C334" s="24" t="s">
        <v>3098</v>
      </c>
      <c r="D334" s="24">
        <v>274</v>
      </c>
    </row>
    <row r="335" spans="1:4" x14ac:dyDescent="0.25">
      <c r="A335" s="24">
        <v>2632</v>
      </c>
      <c r="B335" s="24">
        <v>808032</v>
      </c>
      <c r="C335" s="24" t="s">
        <v>1045</v>
      </c>
      <c r="D335" s="24">
        <v>275</v>
      </c>
    </row>
    <row r="336" spans="1:4" x14ac:dyDescent="0.25">
      <c r="A336" s="24">
        <v>1570</v>
      </c>
      <c r="B336" s="24">
        <v>808113</v>
      </c>
      <c r="C336" s="24" t="s">
        <v>1046</v>
      </c>
      <c r="D336" s="24">
        <v>276</v>
      </c>
    </row>
    <row r="337" spans="1:4" x14ac:dyDescent="0.25">
      <c r="A337" s="24">
        <v>134</v>
      </c>
      <c r="B337" s="24">
        <v>822230</v>
      </c>
      <c r="C337" s="24" t="s">
        <v>1755</v>
      </c>
      <c r="D337" s="24">
        <v>277</v>
      </c>
    </row>
    <row r="338" spans="1:4" x14ac:dyDescent="0.25">
      <c r="A338" s="24">
        <v>1332</v>
      </c>
      <c r="B338" s="24">
        <v>808130</v>
      </c>
      <c r="C338" s="24" t="s">
        <v>1047</v>
      </c>
      <c r="D338" s="24">
        <v>277</v>
      </c>
    </row>
    <row r="339" spans="1:4" x14ac:dyDescent="0.25">
      <c r="A339" s="24">
        <v>1361</v>
      </c>
      <c r="B339" s="24">
        <v>844926</v>
      </c>
      <c r="C339" s="24" t="s">
        <v>2769</v>
      </c>
      <c r="D339" s="24">
        <v>277</v>
      </c>
    </row>
    <row r="340" spans="1:4" x14ac:dyDescent="0.25">
      <c r="A340" s="24">
        <v>361</v>
      </c>
      <c r="B340" s="24">
        <v>808156</v>
      </c>
      <c r="C340" s="24" t="s">
        <v>1048</v>
      </c>
      <c r="D340" s="24">
        <v>278</v>
      </c>
    </row>
    <row r="341" spans="1:4" x14ac:dyDescent="0.25">
      <c r="A341" s="24">
        <v>2964</v>
      </c>
      <c r="B341" s="24">
        <v>808172</v>
      </c>
      <c r="C341" s="24" t="s">
        <v>1049</v>
      </c>
      <c r="D341" s="24">
        <v>279</v>
      </c>
    </row>
    <row r="342" spans="1:4" x14ac:dyDescent="0.25">
      <c r="A342" s="24">
        <v>2826</v>
      </c>
      <c r="B342" s="24">
        <v>808199</v>
      </c>
      <c r="C342" s="24" t="s">
        <v>1050</v>
      </c>
      <c r="D342" s="24">
        <v>280</v>
      </c>
    </row>
    <row r="343" spans="1:4" x14ac:dyDescent="0.25">
      <c r="A343" s="24">
        <v>919</v>
      </c>
      <c r="B343" s="24">
        <v>808202</v>
      </c>
      <c r="C343" s="24" t="s">
        <v>1051</v>
      </c>
      <c r="D343" s="24">
        <v>281</v>
      </c>
    </row>
    <row r="344" spans="1:4" x14ac:dyDescent="0.25">
      <c r="A344" s="24">
        <v>2276</v>
      </c>
      <c r="B344" s="24">
        <v>865974</v>
      </c>
      <c r="C344" s="24" t="s">
        <v>3637</v>
      </c>
      <c r="D344" s="24">
        <v>282</v>
      </c>
    </row>
    <row r="345" spans="1:4" x14ac:dyDescent="0.25">
      <c r="A345" s="24">
        <v>3467</v>
      </c>
      <c r="B345" s="24">
        <v>808211</v>
      </c>
      <c r="C345" s="24" t="s">
        <v>1052</v>
      </c>
      <c r="D345" s="24">
        <v>282</v>
      </c>
    </row>
    <row r="346" spans="1:4" x14ac:dyDescent="0.25">
      <c r="A346" s="24">
        <v>2395</v>
      </c>
      <c r="B346" s="24">
        <v>808253</v>
      </c>
      <c r="C346" s="24" t="s">
        <v>1053</v>
      </c>
      <c r="D346" s="24">
        <v>283</v>
      </c>
    </row>
    <row r="347" spans="1:4" x14ac:dyDescent="0.25">
      <c r="A347" s="24">
        <v>311</v>
      </c>
      <c r="B347" s="24">
        <v>808288</v>
      </c>
      <c r="C347" s="24" t="s">
        <v>1055</v>
      </c>
      <c r="D347" s="24">
        <v>284</v>
      </c>
    </row>
    <row r="348" spans="1:4" x14ac:dyDescent="0.25">
      <c r="A348" s="24">
        <v>1618</v>
      </c>
      <c r="B348" s="24">
        <v>808300</v>
      </c>
      <c r="C348" s="24" t="s">
        <v>1056</v>
      </c>
      <c r="D348" s="24">
        <v>285</v>
      </c>
    </row>
    <row r="349" spans="1:4" x14ac:dyDescent="0.25">
      <c r="A349" s="24">
        <v>871</v>
      </c>
      <c r="B349" s="24">
        <v>808318</v>
      </c>
      <c r="C349" s="24" t="s">
        <v>1057</v>
      </c>
      <c r="D349" s="24">
        <v>286</v>
      </c>
    </row>
    <row r="350" spans="1:4" x14ac:dyDescent="0.25">
      <c r="A350" s="24">
        <v>1033</v>
      </c>
      <c r="B350" s="24">
        <v>808393</v>
      </c>
      <c r="C350" s="24" t="s">
        <v>1059</v>
      </c>
      <c r="D350" s="24">
        <v>287</v>
      </c>
    </row>
    <row r="351" spans="1:4" x14ac:dyDescent="0.25">
      <c r="A351" s="24">
        <v>1211</v>
      </c>
      <c r="B351" s="24">
        <v>808512</v>
      </c>
      <c r="C351" s="24" t="s">
        <v>1060</v>
      </c>
      <c r="D351" s="24">
        <v>287</v>
      </c>
    </row>
    <row r="352" spans="1:4" x14ac:dyDescent="0.25">
      <c r="A352" s="24">
        <v>563</v>
      </c>
      <c r="B352" s="24">
        <v>808555</v>
      </c>
      <c r="C352" s="24" t="s">
        <v>1061</v>
      </c>
      <c r="D352" s="24">
        <v>288</v>
      </c>
    </row>
    <row r="353" spans="1:4" x14ac:dyDescent="0.25">
      <c r="A353" s="24">
        <v>2104</v>
      </c>
      <c r="B353" s="24">
        <v>808571</v>
      </c>
      <c r="C353" s="24" t="s">
        <v>1062</v>
      </c>
      <c r="D353" s="24">
        <v>289</v>
      </c>
    </row>
    <row r="354" spans="1:4" x14ac:dyDescent="0.25">
      <c r="A354" s="24">
        <v>262</v>
      </c>
      <c r="B354" s="24">
        <v>808580</v>
      </c>
      <c r="C354" s="24" t="s">
        <v>1063</v>
      </c>
      <c r="D354" s="24">
        <v>290</v>
      </c>
    </row>
    <row r="355" spans="1:4" x14ac:dyDescent="0.25">
      <c r="A355" s="24">
        <v>40</v>
      </c>
      <c r="B355" s="24">
        <v>808598</v>
      </c>
      <c r="C355" s="24" t="s">
        <v>1064</v>
      </c>
      <c r="D355" s="24">
        <v>291</v>
      </c>
    </row>
    <row r="356" spans="1:4" x14ac:dyDescent="0.25">
      <c r="A356" s="24">
        <v>160</v>
      </c>
      <c r="B356" s="24">
        <v>808601</v>
      </c>
      <c r="C356" s="24" t="s">
        <v>1065</v>
      </c>
      <c r="D356" s="24">
        <v>292</v>
      </c>
    </row>
    <row r="357" spans="1:4" x14ac:dyDescent="0.25">
      <c r="A357" s="24">
        <v>121</v>
      </c>
      <c r="B357" s="24">
        <v>808636</v>
      </c>
      <c r="C357" s="24" t="s">
        <v>1065</v>
      </c>
      <c r="D357" s="24">
        <v>293</v>
      </c>
    </row>
    <row r="358" spans="1:4" x14ac:dyDescent="0.25">
      <c r="A358" s="24">
        <v>2868</v>
      </c>
      <c r="B358" s="24">
        <v>808644</v>
      </c>
      <c r="C358" s="24" t="s">
        <v>1066</v>
      </c>
      <c r="D358" s="24">
        <v>294</v>
      </c>
    </row>
    <row r="359" spans="1:4" x14ac:dyDescent="0.25">
      <c r="A359" s="24">
        <v>1862</v>
      </c>
      <c r="B359" s="24">
        <v>808661</v>
      </c>
      <c r="C359" s="24" t="s">
        <v>1067</v>
      </c>
      <c r="D359" s="24">
        <v>295</v>
      </c>
    </row>
    <row r="360" spans="1:4" x14ac:dyDescent="0.25">
      <c r="A360" s="24">
        <v>2066</v>
      </c>
      <c r="B360" s="24">
        <v>808679</v>
      </c>
      <c r="C360" s="24" t="s">
        <v>1068</v>
      </c>
      <c r="D360" s="24">
        <v>296</v>
      </c>
    </row>
    <row r="361" spans="1:4" x14ac:dyDescent="0.25">
      <c r="A361" s="24">
        <v>83</v>
      </c>
      <c r="B361" s="24">
        <v>808733</v>
      </c>
      <c r="C361" s="24" t="s">
        <v>1070</v>
      </c>
      <c r="D361" s="24">
        <v>297</v>
      </c>
    </row>
    <row r="362" spans="1:4" x14ac:dyDescent="0.25">
      <c r="A362" s="24">
        <v>620</v>
      </c>
      <c r="B362" s="24">
        <v>808750</v>
      </c>
      <c r="C362" s="24" t="s">
        <v>1071</v>
      </c>
      <c r="D362" s="24">
        <v>298</v>
      </c>
    </row>
    <row r="363" spans="1:4" x14ac:dyDescent="0.25">
      <c r="A363" s="24">
        <v>2290</v>
      </c>
      <c r="B363" s="24">
        <v>808792</v>
      </c>
      <c r="C363" s="24" t="s">
        <v>1074</v>
      </c>
      <c r="D363" s="24">
        <v>299</v>
      </c>
    </row>
    <row r="364" spans="1:4" x14ac:dyDescent="0.25">
      <c r="A364" s="24">
        <v>3260</v>
      </c>
      <c r="B364" s="24">
        <v>808806</v>
      </c>
      <c r="C364" s="24" t="s">
        <v>1075</v>
      </c>
      <c r="D364" s="24">
        <v>300</v>
      </c>
    </row>
    <row r="365" spans="1:4" x14ac:dyDescent="0.25">
      <c r="A365" s="24">
        <v>3502</v>
      </c>
      <c r="B365" s="24">
        <v>808814</v>
      </c>
      <c r="C365" s="24" t="s">
        <v>1076</v>
      </c>
      <c r="D365" s="24">
        <v>301</v>
      </c>
    </row>
    <row r="366" spans="1:4" x14ac:dyDescent="0.25">
      <c r="A366" s="24">
        <v>1331</v>
      </c>
      <c r="B366" s="24">
        <v>808831</v>
      </c>
      <c r="C366" s="24" t="s">
        <v>1077</v>
      </c>
      <c r="D366" s="24">
        <v>302</v>
      </c>
    </row>
    <row r="367" spans="1:4" x14ac:dyDescent="0.25">
      <c r="A367" s="24">
        <v>3407</v>
      </c>
      <c r="B367" s="24">
        <v>808857</v>
      </c>
      <c r="C367" s="24" t="s">
        <v>1078</v>
      </c>
      <c r="D367" s="24">
        <v>303</v>
      </c>
    </row>
    <row r="368" spans="1:4" x14ac:dyDescent="0.25">
      <c r="A368" s="24">
        <v>384</v>
      </c>
      <c r="B368" s="24">
        <v>808873</v>
      </c>
      <c r="C368" s="24" t="s">
        <v>1079</v>
      </c>
      <c r="D368" s="24">
        <v>304</v>
      </c>
    </row>
    <row r="369" spans="1:4" x14ac:dyDescent="0.25">
      <c r="A369" s="24">
        <v>3150</v>
      </c>
      <c r="B369" s="24">
        <v>808881</v>
      </c>
      <c r="C369" s="24" t="s">
        <v>1080</v>
      </c>
      <c r="D369" s="24">
        <v>305</v>
      </c>
    </row>
    <row r="370" spans="1:4" x14ac:dyDescent="0.25">
      <c r="A370" s="24">
        <v>3240</v>
      </c>
      <c r="B370" s="24">
        <v>808911</v>
      </c>
      <c r="C370" s="24" t="s">
        <v>1081</v>
      </c>
      <c r="D370" s="24">
        <v>306</v>
      </c>
    </row>
    <row r="371" spans="1:4" x14ac:dyDescent="0.25">
      <c r="A371" s="24">
        <v>828</v>
      </c>
      <c r="B371" s="24">
        <v>808971</v>
      </c>
      <c r="C371" s="24" t="s">
        <v>1082</v>
      </c>
      <c r="D371" s="24">
        <v>307</v>
      </c>
    </row>
    <row r="372" spans="1:4" x14ac:dyDescent="0.25">
      <c r="A372" s="24">
        <v>2263</v>
      </c>
      <c r="B372" s="24">
        <v>808997</v>
      </c>
      <c r="C372" s="24" t="s">
        <v>1083</v>
      </c>
      <c r="D372" s="24">
        <v>308</v>
      </c>
    </row>
    <row r="373" spans="1:4" x14ac:dyDescent="0.25">
      <c r="A373" s="24">
        <v>1925</v>
      </c>
      <c r="B373" s="24">
        <v>809004</v>
      </c>
      <c r="C373" s="24" t="s">
        <v>1084</v>
      </c>
      <c r="D373" s="24">
        <v>309</v>
      </c>
    </row>
    <row r="374" spans="1:4" x14ac:dyDescent="0.25">
      <c r="A374" s="24">
        <v>1461</v>
      </c>
      <c r="B374" s="24">
        <v>809021</v>
      </c>
      <c r="C374" s="24" t="s">
        <v>1085</v>
      </c>
      <c r="D374" s="24">
        <v>310</v>
      </c>
    </row>
    <row r="375" spans="1:4" x14ac:dyDescent="0.25">
      <c r="A375" s="24">
        <v>3220</v>
      </c>
      <c r="B375" s="24">
        <v>840581</v>
      </c>
      <c r="C375" s="24" t="s">
        <v>2582</v>
      </c>
      <c r="D375" s="24">
        <v>311</v>
      </c>
    </row>
    <row r="376" spans="1:4" x14ac:dyDescent="0.25">
      <c r="A376" s="24">
        <v>2287</v>
      </c>
      <c r="B376" s="24">
        <v>809047</v>
      </c>
      <c r="C376" s="24" t="s">
        <v>1086</v>
      </c>
      <c r="D376" s="24">
        <v>312</v>
      </c>
    </row>
    <row r="377" spans="1:4" x14ac:dyDescent="0.25">
      <c r="A377" s="24">
        <v>17</v>
      </c>
      <c r="B377" s="24">
        <v>809098</v>
      </c>
      <c r="C377" s="24" t="s">
        <v>1087</v>
      </c>
      <c r="D377" s="24">
        <v>313</v>
      </c>
    </row>
    <row r="378" spans="1:4" x14ac:dyDescent="0.25">
      <c r="A378" s="24">
        <v>1272</v>
      </c>
      <c r="B378" s="24">
        <v>809101</v>
      </c>
      <c r="C378" s="24" t="s">
        <v>1088</v>
      </c>
      <c r="D378" s="24">
        <v>314</v>
      </c>
    </row>
    <row r="379" spans="1:4" x14ac:dyDescent="0.25">
      <c r="A379" s="24">
        <v>2800</v>
      </c>
      <c r="B379" s="24">
        <v>809110</v>
      </c>
      <c r="C379" s="24" t="s">
        <v>1089</v>
      </c>
      <c r="D379" s="24">
        <v>315</v>
      </c>
    </row>
    <row r="380" spans="1:4" x14ac:dyDescent="0.25">
      <c r="A380" s="24">
        <v>921</v>
      </c>
      <c r="B380" s="24">
        <v>809144</v>
      </c>
      <c r="C380" s="24" t="s">
        <v>1090</v>
      </c>
      <c r="D380" s="24">
        <v>316</v>
      </c>
    </row>
    <row r="381" spans="1:4" x14ac:dyDescent="0.25">
      <c r="A381" s="24">
        <v>2702</v>
      </c>
      <c r="B381" s="24">
        <v>809161</v>
      </c>
      <c r="C381" s="24" t="s">
        <v>1091</v>
      </c>
      <c r="D381" s="24">
        <v>317</v>
      </c>
    </row>
    <row r="382" spans="1:4" x14ac:dyDescent="0.25">
      <c r="A382" s="24">
        <v>827</v>
      </c>
      <c r="B382" s="24">
        <v>809187</v>
      </c>
      <c r="C382" s="24" t="s">
        <v>1091</v>
      </c>
      <c r="D382" s="24">
        <v>318</v>
      </c>
    </row>
    <row r="383" spans="1:4" x14ac:dyDescent="0.25">
      <c r="A383" s="24">
        <v>1742</v>
      </c>
      <c r="B383" s="24">
        <v>809195</v>
      </c>
      <c r="C383" s="24" t="s">
        <v>1092</v>
      </c>
      <c r="D383" s="24">
        <v>319</v>
      </c>
    </row>
    <row r="384" spans="1:4" x14ac:dyDescent="0.25">
      <c r="A384" s="24">
        <v>3066</v>
      </c>
      <c r="B384" s="24">
        <v>873373</v>
      </c>
      <c r="C384" s="24" t="s">
        <v>4014</v>
      </c>
      <c r="D384" s="24">
        <v>320</v>
      </c>
    </row>
    <row r="385" spans="1:4" x14ac:dyDescent="0.25">
      <c r="A385" s="24">
        <v>3091</v>
      </c>
      <c r="B385" s="24">
        <v>873365</v>
      </c>
      <c r="C385" s="24" t="s">
        <v>4013</v>
      </c>
      <c r="D385" s="24">
        <v>320</v>
      </c>
    </row>
    <row r="386" spans="1:4" x14ac:dyDescent="0.25">
      <c r="A386" s="24">
        <v>231</v>
      </c>
      <c r="B386" s="24">
        <v>809241</v>
      </c>
      <c r="C386" s="24" t="s">
        <v>1094</v>
      </c>
      <c r="D386" s="24">
        <v>321</v>
      </c>
    </row>
    <row r="387" spans="1:4" x14ac:dyDescent="0.25">
      <c r="A387" s="24">
        <v>1163</v>
      </c>
      <c r="B387" s="24">
        <v>809268</v>
      </c>
      <c r="C387" s="24" t="s">
        <v>1095</v>
      </c>
      <c r="D387" s="24">
        <v>322</v>
      </c>
    </row>
    <row r="388" spans="1:4" x14ac:dyDescent="0.25">
      <c r="A388" s="24">
        <v>1898</v>
      </c>
      <c r="B388" s="24">
        <v>809276</v>
      </c>
      <c r="C388" s="24" t="s">
        <v>1096</v>
      </c>
      <c r="D388" s="24">
        <v>323</v>
      </c>
    </row>
    <row r="389" spans="1:4" x14ac:dyDescent="0.25">
      <c r="A389" s="24">
        <v>1327</v>
      </c>
      <c r="B389" s="24">
        <v>808334</v>
      </c>
      <c r="C389" s="24" t="s">
        <v>1058</v>
      </c>
      <c r="D389" s="24">
        <v>324</v>
      </c>
    </row>
    <row r="390" spans="1:4" x14ac:dyDescent="0.25">
      <c r="A390" s="24">
        <v>2372</v>
      </c>
      <c r="B390" s="24">
        <v>809284</v>
      </c>
      <c r="C390" s="24" t="s">
        <v>1097</v>
      </c>
      <c r="D390" s="24">
        <v>324</v>
      </c>
    </row>
    <row r="391" spans="1:4" x14ac:dyDescent="0.25">
      <c r="A391" s="24">
        <v>1426</v>
      </c>
      <c r="B391" s="24">
        <v>809292</v>
      </c>
      <c r="C391" s="24" t="s">
        <v>1098</v>
      </c>
      <c r="D391" s="24">
        <v>325</v>
      </c>
    </row>
    <row r="392" spans="1:4" x14ac:dyDescent="0.25">
      <c r="A392" s="24">
        <v>2729</v>
      </c>
      <c r="B392" s="24">
        <v>809314</v>
      </c>
      <c r="C392" s="24" t="s">
        <v>1099</v>
      </c>
      <c r="D392" s="24">
        <v>326</v>
      </c>
    </row>
    <row r="393" spans="1:4" x14ac:dyDescent="0.25">
      <c r="A393" s="24">
        <v>1353</v>
      </c>
      <c r="B393" s="24">
        <v>809322</v>
      </c>
      <c r="C393" s="24" t="s">
        <v>1100</v>
      </c>
      <c r="D393" s="24">
        <v>327</v>
      </c>
    </row>
    <row r="394" spans="1:4" x14ac:dyDescent="0.25">
      <c r="A394" s="24">
        <v>192</v>
      </c>
      <c r="B394" s="24">
        <v>809331</v>
      </c>
      <c r="C394" s="24" t="s">
        <v>1101</v>
      </c>
      <c r="D394" s="24">
        <v>328</v>
      </c>
    </row>
    <row r="395" spans="1:4" x14ac:dyDescent="0.25">
      <c r="A395" s="24">
        <v>1667</v>
      </c>
      <c r="B395" s="24">
        <v>809349</v>
      </c>
      <c r="C395" s="24" t="s">
        <v>1102</v>
      </c>
      <c r="D395" s="24">
        <v>329</v>
      </c>
    </row>
    <row r="396" spans="1:4" x14ac:dyDescent="0.25">
      <c r="A396" s="24">
        <v>208</v>
      </c>
      <c r="B396" s="24">
        <v>809357</v>
      </c>
      <c r="C396" s="24" t="s">
        <v>1103</v>
      </c>
      <c r="D396" s="24">
        <v>330</v>
      </c>
    </row>
    <row r="397" spans="1:4" x14ac:dyDescent="0.25">
      <c r="A397" s="24">
        <v>1965</v>
      </c>
      <c r="B397" s="24">
        <v>809365</v>
      </c>
      <c r="C397" s="24" t="s">
        <v>1104</v>
      </c>
      <c r="D397" s="24">
        <v>331</v>
      </c>
    </row>
    <row r="398" spans="1:4" x14ac:dyDescent="0.25">
      <c r="A398" s="24">
        <v>2790</v>
      </c>
      <c r="B398" s="24">
        <v>809381</v>
      </c>
      <c r="C398" s="24" t="s">
        <v>1105</v>
      </c>
      <c r="D398" s="24">
        <v>332</v>
      </c>
    </row>
    <row r="399" spans="1:4" x14ac:dyDescent="0.25">
      <c r="A399" s="24">
        <v>3158</v>
      </c>
      <c r="B399" s="24">
        <v>809403</v>
      </c>
      <c r="C399" s="24" t="s">
        <v>1106</v>
      </c>
      <c r="D399" s="24">
        <v>333</v>
      </c>
    </row>
    <row r="400" spans="1:4" x14ac:dyDescent="0.25">
      <c r="A400" s="24">
        <v>1722</v>
      </c>
      <c r="B400" s="24">
        <v>809411</v>
      </c>
      <c r="C400" s="24" t="s">
        <v>1107</v>
      </c>
      <c r="D400" s="24">
        <v>334</v>
      </c>
    </row>
    <row r="401" spans="1:4" x14ac:dyDescent="0.25">
      <c r="A401" s="24">
        <v>1011</v>
      </c>
      <c r="B401" s="24">
        <v>809420</v>
      </c>
      <c r="C401" s="24" t="s">
        <v>1108</v>
      </c>
      <c r="D401" s="24">
        <v>335</v>
      </c>
    </row>
    <row r="402" spans="1:4" x14ac:dyDescent="0.25">
      <c r="A402" s="24">
        <v>728</v>
      </c>
      <c r="B402" s="24">
        <v>809438</v>
      </c>
      <c r="C402" s="24" t="s">
        <v>1109</v>
      </c>
      <c r="D402" s="24">
        <v>336</v>
      </c>
    </row>
    <row r="403" spans="1:4" x14ac:dyDescent="0.25">
      <c r="A403" s="24">
        <v>2438</v>
      </c>
      <c r="B403" s="24">
        <v>809446</v>
      </c>
      <c r="C403" s="24" t="s">
        <v>1110</v>
      </c>
      <c r="D403" s="24">
        <v>337</v>
      </c>
    </row>
    <row r="404" spans="1:4" x14ac:dyDescent="0.25">
      <c r="A404" s="24">
        <v>848</v>
      </c>
      <c r="B404" s="24">
        <v>867331</v>
      </c>
      <c r="C404" s="24" t="s">
        <v>3695</v>
      </c>
      <c r="D404" s="24">
        <v>338</v>
      </c>
    </row>
    <row r="405" spans="1:4" x14ac:dyDescent="0.25">
      <c r="A405" s="24">
        <v>1344</v>
      </c>
      <c r="B405" s="24">
        <v>809462</v>
      </c>
      <c r="C405" s="24" t="s">
        <v>1111</v>
      </c>
      <c r="D405" s="24">
        <v>338</v>
      </c>
    </row>
    <row r="406" spans="1:4" x14ac:dyDescent="0.25">
      <c r="A406" s="24">
        <v>3542</v>
      </c>
      <c r="B406" s="24">
        <v>809497</v>
      </c>
      <c r="C406" s="24" t="s">
        <v>1113</v>
      </c>
      <c r="D406" s="24">
        <v>339</v>
      </c>
    </row>
    <row r="407" spans="1:4" x14ac:dyDescent="0.25">
      <c r="A407" s="24">
        <v>2812</v>
      </c>
      <c r="B407" s="24">
        <v>809501</v>
      </c>
      <c r="C407" s="24" t="s">
        <v>1114</v>
      </c>
      <c r="D407" s="24">
        <v>340</v>
      </c>
    </row>
    <row r="408" spans="1:4" x14ac:dyDescent="0.25">
      <c r="A408" s="24">
        <v>1391</v>
      </c>
      <c r="B408" s="24">
        <v>809519</v>
      </c>
      <c r="C408" s="24" t="s">
        <v>1115</v>
      </c>
      <c r="D408" s="24">
        <v>341</v>
      </c>
    </row>
    <row r="409" spans="1:4" x14ac:dyDescent="0.25">
      <c r="A409" s="24">
        <v>2658</v>
      </c>
      <c r="B409" s="24">
        <v>809527</v>
      </c>
      <c r="C409" s="24" t="s">
        <v>1116</v>
      </c>
      <c r="D409" s="24">
        <v>342</v>
      </c>
    </row>
    <row r="410" spans="1:4" x14ac:dyDescent="0.25">
      <c r="A410" s="24">
        <v>2824</v>
      </c>
      <c r="B410" s="24">
        <v>809551</v>
      </c>
      <c r="C410" s="24" t="s">
        <v>1117</v>
      </c>
      <c r="D410" s="24">
        <v>343</v>
      </c>
    </row>
    <row r="411" spans="1:4" x14ac:dyDescent="0.25">
      <c r="A411" s="24">
        <v>1795</v>
      </c>
      <c r="B411" s="24">
        <v>809586</v>
      </c>
      <c r="C411" s="24" t="s">
        <v>1118</v>
      </c>
      <c r="D411" s="24">
        <v>344</v>
      </c>
    </row>
    <row r="412" spans="1:4" x14ac:dyDescent="0.25">
      <c r="A412" s="24">
        <v>441</v>
      </c>
      <c r="B412" s="24">
        <v>809560</v>
      </c>
      <c r="C412" s="24" t="s">
        <v>1118</v>
      </c>
      <c r="D412" s="24">
        <v>345</v>
      </c>
    </row>
    <row r="413" spans="1:4" x14ac:dyDescent="0.25">
      <c r="A413" s="24">
        <v>2847</v>
      </c>
      <c r="B413" s="24">
        <v>809594</v>
      </c>
      <c r="C413" s="24" t="s">
        <v>1119</v>
      </c>
      <c r="D413" s="24">
        <v>346</v>
      </c>
    </row>
    <row r="414" spans="1:4" x14ac:dyDescent="0.25">
      <c r="A414" s="24">
        <v>142</v>
      </c>
      <c r="B414" s="24">
        <v>809616</v>
      </c>
      <c r="C414" s="24" t="s">
        <v>1120</v>
      </c>
      <c r="D414" s="24">
        <v>347</v>
      </c>
    </row>
    <row r="415" spans="1:4" x14ac:dyDescent="0.25">
      <c r="A415" s="24">
        <v>1744</v>
      </c>
      <c r="B415" s="24">
        <v>809624</v>
      </c>
      <c r="C415" s="24" t="s">
        <v>1121</v>
      </c>
      <c r="D415" s="24">
        <v>348</v>
      </c>
    </row>
    <row r="416" spans="1:4" x14ac:dyDescent="0.25">
      <c r="A416" s="24">
        <v>2134</v>
      </c>
      <c r="B416" s="24">
        <v>809675</v>
      </c>
      <c r="C416" s="24" t="s">
        <v>1122</v>
      </c>
      <c r="D416" s="24">
        <v>349</v>
      </c>
    </row>
    <row r="417" spans="1:4" x14ac:dyDescent="0.25">
      <c r="A417" s="24">
        <v>2146</v>
      </c>
      <c r="B417" s="24">
        <v>809691</v>
      </c>
      <c r="C417" s="24" t="s">
        <v>1123</v>
      </c>
      <c r="D417" s="24">
        <v>350</v>
      </c>
    </row>
    <row r="418" spans="1:4" x14ac:dyDescent="0.25">
      <c r="A418" s="24">
        <v>971</v>
      </c>
      <c r="B418" s="24">
        <v>809705</v>
      </c>
      <c r="C418" s="24" t="s">
        <v>1124</v>
      </c>
      <c r="D418" s="24">
        <v>351</v>
      </c>
    </row>
    <row r="419" spans="1:4" x14ac:dyDescent="0.25">
      <c r="A419" s="24">
        <v>2231</v>
      </c>
      <c r="B419" s="24">
        <v>809713</v>
      </c>
      <c r="C419" s="24" t="s">
        <v>1125</v>
      </c>
      <c r="D419" s="24">
        <v>352</v>
      </c>
    </row>
    <row r="420" spans="1:4" x14ac:dyDescent="0.25">
      <c r="A420" s="24">
        <v>1630</v>
      </c>
      <c r="B420" s="24">
        <v>809764</v>
      </c>
      <c r="C420" s="24" t="s">
        <v>1126</v>
      </c>
      <c r="D420" s="24">
        <v>353</v>
      </c>
    </row>
    <row r="421" spans="1:4" x14ac:dyDescent="0.25">
      <c r="A421" s="24">
        <v>1477</v>
      </c>
      <c r="B421" s="24">
        <v>809802</v>
      </c>
      <c r="C421" s="24" t="s">
        <v>1129</v>
      </c>
      <c r="D421" s="24">
        <v>353</v>
      </c>
    </row>
    <row r="422" spans="1:4" x14ac:dyDescent="0.25">
      <c r="A422" s="24">
        <v>2501</v>
      </c>
      <c r="B422" s="24">
        <v>809799</v>
      </c>
      <c r="C422" s="24" t="s">
        <v>1128</v>
      </c>
      <c r="D422" s="24">
        <v>353</v>
      </c>
    </row>
    <row r="423" spans="1:4" x14ac:dyDescent="0.25">
      <c r="A423" s="24">
        <v>3249</v>
      </c>
      <c r="B423" s="24">
        <v>809772</v>
      </c>
      <c r="C423" s="24" t="s">
        <v>1127</v>
      </c>
      <c r="D423" s="24">
        <v>353</v>
      </c>
    </row>
    <row r="424" spans="1:4" x14ac:dyDescent="0.25">
      <c r="A424" s="24">
        <v>1522</v>
      </c>
      <c r="B424" s="24">
        <v>809811</v>
      </c>
      <c r="C424" s="24" t="s">
        <v>1130</v>
      </c>
      <c r="D424" s="24">
        <v>354</v>
      </c>
    </row>
    <row r="425" spans="1:4" x14ac:dyDescent="0.25">
      <c r="A425" s="24">
        <v>1435</v>
      </c>
      <c r="B425" s="24">
        <v>809845</v>
      </c>
      <c r="C425" s="24" t="s">
        <v>1131</v>
      </c>
      <c r="D425" s="24">
        <v>355</v>
      </c>
    </row>
    <row r="426" spans="1:4" x14ac:dyDescent="0.25">
      <c r="A426" s="24">
        <v>3421</v>
      </c>
      <c r="B426" s="24">
        <v>809853</v>
      </c>
      <c r="C426" s="24" t="s">
        <v>1132</v>
      </c>
      <c r="D426" s="24">
        <v>356</v>
      </c>
    </row>
    <row r="427" spans="1:4" x14ac:dyDescent="0.25">
      <c r="A427" s="24">
        <v>838</v>
      </c>
      <c r="B427" s="24">
        <v>809870</v>
      </c>
      <c r="C427" s="24" t="s">
        <v>1133</v>
      </c>
      <c r="D427" s="24">
        <v>357</v>
      </c>
    </row>
    <row r="428" spans="1:4" x14ac:dyDescent="0.25">
      <c r="A428" s="24">
        <v>84</v>
      </c>
      <c r="B428" s="24">
        <v>809896</v>
      </c>
      <c r="C428" s="24" t="s">
        <v>1134</v>
      </c>
      <c r="D428" s="24">
        <v>358</v>
      </c>
    </row>
    <row r="429" spans="1:4" x14ac:dyDescent="0.25">
      <c r="A429" s="24">
        <v>2234</v>
      </c>
      <c r="B429" s="24">
        <v>809900</v>
      </c>
      <c r="C429" s="24" t="s">
        <v>1135</v>
      </c>
      <c r="D429" s="24">
        <v>359</v>
      </c>
    </row>
    <row r="430" spans="1:4" x14ac:dyDescent="0.25">
      <c r="A430" s="24">
        <v>2561</v>
      </c>
      <c r="B430" s="24">
        <v>809934</v>
      </c>
      <c r="C430" s="24" t="s">
        <v>1136</v>
      </c>
      <c r="D430" s="24">
        <v>360</v>
      </c>
    </row>
    <row r="431" spans="1:4" x14ac:dyDescent="0.25">
      <c r="A431" s="24">
        <v>3468</v>
      </c>
      <c r="B431" s="24">
        <v>809942</v>
      </c>
      <c r="C431" s="24" t="s">
        <v>1137</v>
      </c>
      <c r="D431" s="24">
        <v>361</v>
      </c>
    </row>
    <row r="432" spans="1:4" x14ac:dyDescent="0.25">
      <c r="A432" s="24">
        <v>1248</v>
      </c>
      <c r="B432" s="24">
        <v>809951</v>
      </c>
      <c r="C432" s="24" t="s">
        <v>1138</v>
      </c>
      <c r="D432" s="24">
        <v>362</v>
      </c>
    </row>
    <row r="433" spans="1:4" x14ac:dyDescent="0.25">
      <c r="A433" s="24">
        <v>81</v>
      </c>
      <c r="B433" s="24">
        <v>853178</v>
      </c>
      <c r="C433" s="24" t="s">
        <v>3106</v>
      </c>
      <c r="D433" s="24">
        <v>363</v>
      </c>
    </row>
    <row r="434" spans="1:4" x14ac:dyDescent="0.25">
      <c r="A434" s="24">
        <v>3131</v>
      </c>
      <c r="B434" s="24">
        <v>809969</v>
      </c>
      <c r="C434" s="24" t="s">
        <v>1139</v>
      </c>
      <c r="D434" s="24">
        <v>364</v>
      </c>
    </row>
    <row r="435" spans="1:4" x14ac:dyDescent="0.25">
      <c r="A435" s="24">
        <v>2453</v>
      </c>
      <c r="B435" s="24">
        <v>809993</v>
      </c>
      <c r="C435" s="24" t="s">
        <v>1142</v>
      </c>
      <c r="D435" s="24">
        <v>365</v>
      </c>
    </row>
    <row r="436" spans="1:4" x14ac:dyDescent="0.25">
      <c r="A436" s="24">
        <v>2954</v>
      </c>
      <c r="B436" s="24">
        <v>810037</v>
      </c>
      <c r="C436" s="24" t="s">
        <v>1144</v>
      </c>
      <c r="D436" s="24">
        <v>366</v>
      </c>
    </row>
    <row r="437" spans="1:4" x14ac:dyDescent="0.25">
      <c r="A437" s="24">
        <v>3273</v>
      </c>
      <c r="B437" s="24">
        <v>810002</v>
      </c>
      <c r="C437" s="24" t="s">
        <v>1143</v>
      </c>
      <c r="D437" s="24">
        <v>366</v>
      </c>
    </row>
    <row r="438" spans="1:4" x14ac:dyDescent="0.25">
      <c r="A438" s="24">
        <v>408</v>
      </c>
      <c r="B438" s="24">
        <v>810045</v>
      </c>
      <c r="C438" s="24" t="s">
        <v>1145</v>
      </c>
      <c r="D438" s="24">
        <v>367</v>
      </c>
    </row>
    <row r="439" spans="1:4" x14ac:dyDescent="0.25">
      <c r="A439" s="24">
        <v>2046</v>
      </c>
      <c r="B439" s="24">
        <v>810053</v>
      </c>
      <c r="C439" s="24" t="s">
        <v>1146</v>
      </c>
      <c r="D439" s="24">
        <v>368</v>
      </c>
    </row>
    <row r="440" spans="1:4" x14ac:dyDescent="0.25">
      <c r="A440" s="24">
        <v>2848</v>
      </c>
      <c r="B440" s="24">
        <v>810061</v>
      </c>
      <c r="C440" s="24" t="s">
        <v>1147</v>
      </c>
      <c r="D440" s="24">
        <v>369</v>
      </c>
    </row>
    <row r="441" spans="1:4" x14ac:dyDescent="0.25">
      <c r="A441" s="24">
        <v>1173</v>
      </c>
      <c r="B441" s="24">
        <v>810070</v>
      </c>
      <c r="C441" s="24" t="s">
        <v>1148</v>
      </c>
      <c r="D441" s="24">
        <v>370</v>
      </c>
    </row>
    <row r="442" spans="1:4" x14ac:dyDescent="0.25">
      <c r="A442" s="24">
        <v>1460</v>
      </c>
      <c r="B442" s="24">
        <v>810096</v>
      </c>
      <c r="C442" s="24" t="s">
        <v>1150</v>
      </c>
      <c r="D442" s="24">
        <v>371</v>
      </c>
    </row>
    <row r="443" spans="1:4" x14ac:dyDescent="0.25">
      <c r="A443" s="24">
        <v>1215</v>
      </c>
      <c r="B443" s="24">
        <v>810100</v>
      </c>
      <c r="C443" s="24" t="s">
        <v>1151</v>
      </c>
      <c r="D443" s="24">
        <v>372</v>
      </c>
    </row>
    <row r="444" spans="1:4" x14ac:dyDescent="0.25">
      <c r="A444" s="24">
        <v>100</v>
      </c>
      <c r="B444" s="24">
        <v>810118</v>
      </c>
      <c r="C444" s="24" t="s">
        <v>1152</v>
      </c>
      <c r="D444" s="24">
        <v>373</v>
      </c>
    </row>
    <row r="445" spans="1:4" x14ac:dyDescent="0.25">
      <c r="A445" s="24">
        <v>1492</v>
      </c>
      <c r="B445" s="24">
        <v>810134</v>
      </c>
      <c r="C445" s="24" t="s">
        <v>1153</v>
      </c>
      <c r="D445" s="24">
        <v>374</v>
      </c>
    </row>
    <row r="446" spans="1:4" x14ac:dyDescent="0.25">
      <c r="A446" s="24">
        <v>2900</v>
      </c>
      <c r="B446" s="24">
        <v>810142</v>
      </c>
      <c r="C446" s="24" t="s">
        <v>1154</v>
      </c>
      <c r="D446" s="24">
        <v>375</v>
      </c>
    </row>
    <row r="447" spans="1:4" x14ac:dyDescent="0.25">
      <c r="A447" s="24">
        <v>1220</v>
      </c>
      <c r="B447" s="24">
        <v>810169</v>
      </c>
      <c r="C447" s="24" t="s">
        <v>1155</v>
      </c>
      <c r="D447" s="24">
        <v>376</v>
      </c>
    </row>
    <row r="448" spans="1:4" x14ac:dyDescent="0.25">
      <c r="A448" s="24">
        <v>2241</v>
      </c>
      <c r="B448" s="24">
        <v>810185</v>
      </c>
      <c r="C448" s="24" t="s">
        <v>1156</v>
      </c>
      <c r="D448" s="24">
        <v>377</v>
      </c>
    </row>
    <row r="449" spans="1:4" x14ac:dyDescent="0.25">
      <c r="A449" s="24">
        <v>2660</v>
      </c>
      <c r="B449" s="24">
        <v>810223</v>
      </c>
      <c r="C449" s="24" t="s">
        <v>1157</v>
      </c>
      <c r="D449" s="24">
        <v>378</v>
      </c>
    </row>
    <row r="450" spans="1:4" x14ac:dyDescent="0.25">
      <c r="A450" s="24">
        <v>2760</v>
      </c>
      <c r="B450" s="24">
        <v>810231</v>
      </c>
      <c r="C450" s="24" t="s">
        <v>1158</v>
      </c>
      <c r="D450" s="24">
        <v>379</v>
      </c>
    </row>
    <row r="451" spans="1:4" x14ac:dyDescent="0.25">
      <c r="A451" s="24">
        <v>352</v>
      </c>
      <c r="B451" s="24">
        <v>810240</v>
      </c>
      <c r="C451" s="24" t="s">
        <v>1159</v>
      </c>
      <c r="D451" s="24">
        <v>380</v>
      </c>
    </row>
    <row r="452" spans="1:4" x14ac:dyDescent="0.25">
      <c r="A452" s="24">
        <v>3219</v>
      </c>
      <c r="B452" s="24">
        <v>810304</v>
      </c>
      <c r="C452" s="24" t="s">
        <v>1161</v>
      </c>
      <c r="D452" s="24">
        <v>381</v>
      </c>
    </row>
    <row r="453" spans="1:4" x14ac:dyDescent="0.25">
      <c r="A453" s="24">
        <v>540</v>
      </c>
      <c r="B453" s="24">
        <v>810347</v>
      </c>
      <c r="C453" s="24" t="s">
        <v>1162</v>
      </c>
      <c r="D453" s="24">
        <v>382</v>
      </c>
    </row>
    <row r="454" spans="1:4" x14ac:dyDescent="0.25">
      <c r="A454" s="24">
        <v>670</v>
      </c>
      <c r="B454" s="24">
        <v>810355</v>
      </c>
      <c r="C454" s="24" t="s">
        <v>1163</v>
      </c>
      <c r="D454" s="24">
        <v>383</v>
      </c>
    </row>
    <row r="455" spans="1:4" x14ac:dyDescent="0.25">
      <c r="A455" s="24">
        <v>2371</v>
      </c>
      <c r="B455" s="24">
        <v>810363</v>
      </c>
      <c r="C455" s="24" t="s">
        <v>1164</v>
      </c>
      <c r="D455" s="24">
        <v>384</v>
      </c>
    </row>
    <row r="456" spans="1:4" x14ac:dyDescent="0.25">
      <c r="A456" s="24">
        <v>1258</v>
      </c>
      <c r="B456" s="24">
        <v>810550</v>
      </c>
      <c r="C456" s="24" t="s">
        <v>1165</v>
      </c>
      <c r="D456" s="24">
        <v>385</v>
      </c>
    </row>
    <row r="457" spans="1:4" x14ac:dyDescent="0.25">
      <c r="A457" s="24">
        <v>261</v>
      </c>
      <c r="B457" s="24">
        <v>810614</v>
      </c>
      <c r="C457" s="24" t="s">
        <v>1167</v>
      </c>
      <c r="D457" s="24">
        <v>386</v>
      </c>
    </row>
    <row r="458" spans="1:4" x14ac:dyDescent="0.25">
      <c r="A458" s="24">
        <v>1440</v>
      </c>
      <c r="B458" s="24">
        <v>810606</v>
      </c>
      <c r="C458" s="24" t="s">
        <v>1166</v>
      </c>
      <c r="D458" s="24">
        <v>386</v>
      </c>
    </row>
    <row r="459" spans="1:4" x14ac:dyDescent="0.25">
      <c r="A459" s="24">
        <v>398</v>
      </c>
      <c r="B459" s="24">
        <v>810622</v>
      </c>
      <c r="C459" s="24" t="s">
        <v>1168</v>
      </c>
      <c r="D459" s="24">
        <v>387</v>
      </c>
    </row>
    <row r="460" spans="1:4" x14ac:dyDescent="0.25">
      <c r="A460" s="24">
        <v>1974</v>
      </c>
      <c r="B460" s="24">
        <v>810673</v>
      </c>
      <c r="C460" s="24" t="s">
        <v>1170</v>
      </c>
      <c r="D460" s="24">
        <v>388</v>
      </c>
    </row>
    <row r="461" spans="1:4" x14ac:dyDescent="0.25">
      <c r="A461" s="24">
        <v>3182</v>
      </c>
      <c r="B461" s="24">
        <v>810681</v>
      </c>
      <c r="C461" s="24" t="s">
        <v>1171</v>
      </c>
      <c r="D461" s="24">
        <v>388</v>
      </c>
    </row>
    <row r="462" spans="1:4" x14ac:dyDescent="0.25">
      <c r="A462" s="24">
        <v>3036</v>
      </c>
      <c r="B462" s="24">
        <v>810690</v>
      </c>
      <c r="C462" s="24" t="s">
        <v>1172</v>
      </c>
      <c r="D462" s="24">
        <v>389</v>
      </c>
    </row>
    <row r="463" spans="1:4" x14ac:dyDescent="0.25">
      <c r="A463" s="24">
        <v>999</v>
      </c>
      <c r="B463" s="24">
        <v>810703</v>
      </c>
      <c r="C463" s="24" t="s">
        <v>1173</v>
      </c>
      <c r="D463" s="24">
        <v>390</v>
      </c>
    </row>
    <row r="464" spans="1:4" x14ac:dyDescent="0.25">
      <c r="A464" s="24">
        <v>1456</v>
      </c>
      <c r="B464" s="24">
        <v>810720</v>
      </c>
      <c r="C464" s="24" t="s">
        <v>1175</v>
      </c>
      <c r="D464" s="24">
        <v>391</v>
      </c>
    </row>
    <row r="465" spans="1:4" x14ac:dyDescent="0.25">
      <c r="A465" s="24">
        <v>2755</v>
      </c>
      <c r="B465" s="24">
        <v>810738</v>
      </c>
      <c r="C465" s="24" t="s">
        <v>1176</v>
      </c>
      <c r="D465" s="24">
        <v>391</v>
      </c>
    </row>
    <row r="466" spans="1:4" x14ac:dyDescent="0.25">
      <c r="A466" s="24">
        <v>120</v>
      </c>
      <c r="B466" s="24">
        <v>810762</v>
      </c>
      <c r="C466" s="24" t="s">
        <v>1178</v>
      </c>
      <c r="D466" s="24">
        <v>392</v>
      </c>
    </row>
    <row r="467" spans="1:4" x14ac:dyDescent="0.25">
      <c r="A467" s="24">
        <v>544</v>
      </c>
      <c r="B467" s="24">
        <v>834602</v>
      </c>
      <c r="C467" s="24" t="s">
        <v>2317</v>
      </c>
      <c r="D467" s="24">
        <v>392</v>
      </c>
    </row>
    <row r="468" spans="1:4" x14ac:dyDescent="0.25">
      <c r="A468" s="24">
        <v>1825</v>
      </c>
      <c r="B468" s="24">
        <v>800694</v>
      </c>
      <c r="C468" s="24" t="s">
        <v>777</v>
      </c>
      <c r="D468" s="24">
        <v>392</v>
      </c>
    </row>
    <row r="469" spans="1:4" x14ac:dyDescent="0.25">
      <c r="A469" s="24">
        <v>1855</v>
      </c>
      <c r="B469" s="24">
        <v>822825</v>
      </c>
      <c r="C469" s="24" t="s">
        <v>1785</v>
      </c>
      <c r="D469" s="24">
        <v>392</v>
      </c>
    </row>
    <row r="470" spans="1:4" x14ac:dyDescent="0.25">
      <c r="A470" s="24">
        <v>2599</v>
      </c>
      <c r="B470" s="24">
        <v>810789</v>
      </c>
      <c r="C470" s="24" t="s">
        <v>1179</v>
      </c>
      <c r="D470" s="24">
        <v>393</v>
      </c>
    </row>
    <row r="471" spans="1:4" x14ac:dyDescent="0.25">
      <c r="A471" s="24">
        <v>1196</v>
      </c>
      <c r="B471" s="24">
        <v>810835</v>
      </c>
      <c r="C471" s="24" t="s">
        <v>1180</v>
      </c>
      <c r="D471" s="24">
        <v>394</v>
      </c>
    </row>
    <row r="472" spans="1:4" x14ac:dyDescent="0.25">
      <c r="A472" s="24">
        <v>1051</v>
      </c>
      <c r="B472" s="24">
        <v>810851</v>
      </c>
      <c r="C472" s="24" t="s">
        <v>1181</v>
      </c>
      <c r="D472" s="24">
        <v>395</v>
      </c>
    </row>
    <row r="473" spans="1:4" x14ac:dyDescent="0.25">
      <c r="A473" s="24">
        <v>2975</v>
      </c>
      <c r="B473" s="24">
        <v>810878</v>
      </c>
      <c r="C473" s="24" t="s">
        <v>1182</v>
      </c>
      <c r="D473" s="24">
        <v>396</v>
      </c>
    </row>
    <row r="474" spans="1:4" x14ac:dyDescent="0.25">
      <c r="A474" s="24">
        <v>564</v>
      </c>
      <c r="B474" s="24">
        <v>810908</v>
      </c>
      <c r="C474" s="24" t="s">
        <v>1184</v>
      </c>
      <c r="D474" s="24">
        <v>397</v>
      </c>
    </row>
    <row r="475" spans="1:4" x14ac:dyDescent="0.25">
      <c r="A475" s="24">
        <v>1896</v>
      </c>
      <c r="B475" s="24">
        <v>810991</v>
      </c>
      <c r="C475" s="24" t="s">
        <v>1185</v>
      </c>
      <c r="D475" s="24">
        <v>398</v>
      </c>
    </row>
    <row r="476" spans="1:4" x14ac:dyDescent="0.25">
      <c r="A476" s="24">
        <v>3317</v>
      </c>
      <c r="B476" s="24">
        <v>811009</v>
      </c>
      <c r="C476" s="24" t="s">
        <v>1186</v>
      </c>
      <c r="D476" s="24">
        <v>399</v>
      </c>
    </row>
    <row r="477" spans="1:4" x14ac:dyDescent="0.25">
      <c r="A477" s="24">
        <v>2265</v>
      </c>
      <c r="B477" s="24">
        <v>811017</v>
      </c>
      <c r="C477" s="24" t="s">
        <v>1187</v>
      </c>
      <c r="D477" s="24">
        <v>400</v>
      </c>
    </row>
    <row r="478" spans="1:4" x14ac:dyDescent="0.25">
      <c r="A478" s="24">
        <v>2311</v>
      </c>
      <c r="B478" s="24">
        <v>811025</v>
      </c>
      <c r="C478" s="24" t="s">
        <v>1188</v>
      </c>
      <c r="D478" s="24">
        <v>401</v>
      </c>
    </row>
    <row r="479" spans="1:4" x14ac:dyDescent="0.25">
      <c r="A479" s="24">
        <v>3311</v>
      </c>
      <c r="B479" s="24">
        <v>811033</v>
      </c>
      <c r="C479" s="24" t="s">
        <v>1189</v>
      </c>
      <c r="D479" s="24">
        <v>402</v>
      </c>
    </row>
    <row r="480" spans="1:4" x14ac:dyDescent="0.25">
      <c r="A480" s="24">
        <v>2416</v>
      </c>
      <c r="B480" s="24">
        <v>811041</v>
      </c>
      <c r="C480" s="24" t="s">
        <v>1190</v>
      </c>
      <c r="D480" s="24">
        <v>403</v>
      </c>
    </row>
    <row r="481" spans="1:4" x14ac:dyDescent="0.25">
      <c r="A481" s="24">
        <v>1123</v>
      </c>
      <c r="B481" s="24">
        <v>811149</v>
      </c>
      <c r="C481" s="24" t="s">
        <v>1191</v>
      </c>
      <c r="D481" s="24">
        <v>404</v>
      </c>
    </row>
    <row r="482" spans="1:4" x14ac:dyDescent="0.25">
      <c r="A482" s="24">
        <v>1613</v>
      </c>
      <c r="B482" s="24">
        <v>811157</v>
      </c>
      <c r="C482" s="24" t="s">
        <v>1192</v>
      </c>
      <c r="D482" s="24">
        <v>405</v>
      </c>
    </row>
    <row r="483" spans="1:4" x14ac:dyDescent="0.25">
      <c r="A483" s="24">
        <v>1614</v>
      </c>
      <c r="B483" s="24">
        <v>811165</v>
      </c>
      <c r="C483" s="24" t="s">
        <v>1193</v>
      </c>
      <c r="D483" s="24">
        <v>406</v>
      </c>
    </row>
    <row r="484" spans="1:4" x14ac:dyDescent="0.25">
      <c r="A484" s="24">
        <v>1983</v>
      </c>
      <c r="B484" s="24">
        <v>811181</v>
      </c>
      <c r="C484" s="24" t="s">
        <v>1194</v>
      </c>
      <c r="D484" s="24">
        <v>407</v>
      </c>
    </row>
    <row r="485" spans="1:4" x14ac:dyDescent="0.25">
      <c r="A485" s="24">
        <v>913</v>
      </c>
      <c r="B485" s="24">
        <v>811190</v>
      </c>
      <c r="C485" s="24" t="s">
        <v>1195</v>
      </c>
      <c r="D485" s="24">
        <v>408</v>
      </c>
    </row>
    <row r="486" spans="1:4" x14ac:dyDescent="0.25">
      <c r="A486" s="24">
        <v>496</v>
      </c>
      <c r="B486" s="24">
        <v>811220</v>
      </c>
      <c r="C486" s="24" t="s">
        <v>1196</v>
      </c>
      <c r="D486" s="24">
        <v>409</v>
      </c>
    </row>
    <row r="487" spans="1:4" x14ac:dyDescent="0.25">
      <c r="A487" s="24">
        <v>1994</v>
      </c>
      <c r="B487" s="24">
        <v>811254</v>
      </c>
      <c r="C487" s="24" t="s">
        <v>1197</v>
      </c>
      <c r="D487" s="24">
        <v>410</v>
      </c>
    </row>
    <row r="488" spans="1:4" x14ac:dyDescent="0.25">
      <c r="A488" s="24">
        <v>1561</v>
      </c>
      <c r="B488" s="24">
        <v>811343</v>
      </c>
      <c r="C488" s="24" t="s">
        <v>1199</v>
      </c>
      <c r="D488" s="24">
        <v>411</v>
      </c>
    </row>
    <row r="489" spans="1:4" x14ac:dyDescent="0.25">
      <c r="A489" s="24">
        <v>2257</v>
      </c>
      <c r="B489" s="24">
        <v>811351</v>
      </c>
      <c r="C489" s="24" t="s">
        <v>1200</v>
      </c>
      <c r="D489" s="24">
        <v>412</v>
      </c>
    </row>
    <row r="490" spans="1:4" x14ac:dyDescent="0.25">
      <c r="A490" s="24">
        <v>1919</v>
      </c>
      <c r="B490" s="24">
        <v>811378</v>
      </c>
      <c r="C490" s="24" t="s">
        <v>1201</v>
      </c>
      <c r="D490" s="24">
        <v>413</v>
      </c>
    </row>
    <row r="491" spans="1:4" x14ac:dyDescent="0.25">
      <c r="A491" s="24">
        <v>216</v>
      </c>
      <c r="B491" s="24">
        <v>872873</v>
      </c>
      <c r="C491" s="24" t="s">
        <v>3979</v>
      </c>
      <c r="D491" s="24">
        <v>414</v>
      </c>
    </row>
    <row r="492" spans="1:4" x14ac:dyDescent="0.25">
      <c r="A492" s="24">
        <v>1866</v>
      </c>
      <c r="B492" s="24">
        <v>811432</v>
      </c>
      <c r="C492" s="24" t="s">
        <v>1202</v>
      </c>
      <c r="D492" s="24">
        <v>414</v>
      </c>
    </row>
    <row r="493" spans="1:4" x14ac:dyDescent="0.25">
      <c r="A493" s="24">
        <v>2487</v>
      </c>
      <c r="B493" s="24">
        <v>838535</v>
      </c>
      <c r="C493" s="24" t="s">
        <v>2506</v>
      </c>
      <c r="D493" s="24">
        <v>414</v>
      </c>
    </row>
    <row r="494" spans="1:4" x14ac:dyDescent="0.25">
      <c r="A494" s="24">
        <v>1750</v>
      </c>
      <c r="B494" s="24">
        <v>811475</v>
      </c>
      <c r="C494" s="24" t="s">
        <v>1203</v>
      </c>
      <c r="D494" s="24">
        <v>415</v>
      </c>
    </row>
    <row r="495" spans="1:4" x14ac:dyDescent="0.25">
      <c r="A495" s="24">
        <v>2463</v>
      </c>
      <c r="B495" s="24">
        <v>811483</v>
      </c>
      <c r="C495" s="24" t="s">
        <v>1204</v>
      </c>
      <c r="D495" s="24">
        <v>416</v>
      </c>
    </row>
    <row r="496" spans="1:4" x14ac:dyDescent="0.25">
      <c r="A496" s="24">
        <v>2650</v>
      </c>
      <c r="B496" s="24">
        <v>811491</v>
      </c>
      <c r="C496" s="24" t="s">
        <v>1204</v>
      </c>
      <c r="D496" s="24">
        <v>417</v>
      </c>
    </row>
    <row r="497" spans="1:4" x14ac:dyDescent="0.25">
      <c r="A497" s="24">
        <v>2759</v>
      </c>
      <c r="B497" s="24">
        <v>811513</v>
      </c>
      <c r="C497" s="24" t="s">
        <v>1205</v>
      </c>
      <c r="D497" s="24">
        <v>418</v>
      </c>
    </row>
    <row r="498" spans="1:4" x14ac:dyDescent="0.25">
      <c r="A498" s="24">
        <v>1575</v>
      </c>
      <c r="B498" s="24">
        <v>811521</v>
      </c>
      <c r="C498" s="24" t="s">
        <v>1206</v>
      </c>
      <c r="D498" s="24">
        <v>419</v>
      </c>
    </row>
    <row r="499" spans="1:4" x14ac:dyDescent="0.25">
      <c r="A499" s="24">
        <v>1659</v>
      </c>
      <c r="B499" s="24">
        <v>811548</v>
      </c>
      <c r="C499" s="24" t="s">
        <v>1207</v>
      </c>
      <c r="D499" s="24">
        <v>420</v>
      </c>
    </row>
    <row r="500" spans="1:4" x14ac:dyDescent="0.25">
      <c r="A500" s="24">
        <v>2052</v>
      </c>
      <c r="B500" s="24">
        <v>811572</v>
      </c>
      <c r="C500" s="24" t="s">
        <v>1208</v>
      </c>
      <c r="D500" s="24">
        <v>421</v>
      </c>
    </row>
    <row r="501" spans="1:4" x14ac:dyDescent="0.25">
      <c r="A501" s="24">
        <v>711</v>
      </c>
      <c r="B501" s="24">
        <v>811611</v>
      </c>
      <c r="C501" s="24" t="s">
        <v>1209</v>
      </c>
      <c r="D501" s="24">
        <v>422</v>
      </c>
    </row>
    <row r="502" spans="1:4" x14ac:dyDescent="0.25">
      <c r="A502" s="24">
        <v>1972</v>
      </c>
      <c r="B502" s="24">
        <v>811718</v>
      </c>
      <c r="C502" s="24" t="s">
        <v>1210</v>
      </c>
      <c r="D502" s="24">
        <v>423</v>
      </c>
    </row>
    <row r="503" spans="1:4" x14ac:dyDescent="0.25">
      <c r="A503" s="24">
        <v>1388</v>
      </c>
      <c r="B503" s="24">
        <v>811726</v>
      </c>
      <c r="C503" s="24" t="s">
        <v>1211</v>
      </c>
      <c r="D503" s="24">
        <v>424</v>
      </c>
    </row>
    <row r="504" spans="1:4" x14ac:dyDescent="0.25">
      <c r="A504" s="24">
        <v>222</v>
      </c>
      <c r="B504" s="24">
        <v>811769</v>
      </c>
      <c r="C504" s="24" t="s">
        <v>1212</v>
      </c>
      <c r="D504" s="24">
        <v>425</v>
      </c>
    </row>
    <row r="505" spans="1:4" x14ac:dyDescent="0.25">
      <c r="A505" s="24">
        <v>3204</v>
      </c>
      <c r="B505" s="24">
        <v>811777</v>
      </c>
      <c r="C505" s="24" t="s">
        <v>1213</v>
      </c>
      <c r="D505" s="24">
        <v>426</v>
      </c>
    </row>
    <row r="506" spans="1:4" x14ac:dyDescent="0.25">
      <c r="A506" s="24">
        <v>3062</v>
      </c>
      <c r="B506" s="24">
        <v>811785</v>
      </c>
      <c r="C506" s="24" t="s">
        <v>1214</v>
      </c>
      <c r="D506" s="24">
        <v>427</v>
      </c>
    </row>
    <row r="507" spans="1:4" x14ac:dyDescent="0.25">
      <c r="A507" s="24">
        <v>532</v>
      </c>
      <c r="B507" s="24">
        <v>811840</v>
      </c>
      <c r="C507" s="24" t="s">
        <v>1215</v>
      </c>
      <c r="D507" s="24">
        <v>428</v>
      </c>
    </row>
    <row r="508" spans="1:4" x14ac:dyDescent="0.25">
      <c r="A508" s="24">
        <v>314</v>
      </c>
      <c r="B508" s="24">
        <v>811904</v>
      </c>
      <c r="C508" s="24" t="s">
        <v>1217</v>
      </c>
      <c r="D508" s="24">
        <v>429</v>
      </c>
    </row>
    <row r="509" spans="1:4" x14ac:dyDescent="0.25">
      <c r="A509" s="24">
        <v>730</v>
      </c>
      <c r="B509" s="24">
        <v>811921</v>
      </c>
      <c r="C509" s="24" t="s">
        <v>1218</v>
      </c>
      <c r="D509" s="24">
        <v>430</v>
      </c>
    </row>
    <row r="510" spans="1:4" x14ac:dyDescent="0.25">
      <c r="A510" s="24">
        <v>2298</v>
      </c>
      <c r="B510" s="24">
        <v>811939</v>
      </c>
      <c r="C510" s="24" t="s">
        <v>1219</v>
      </c>
      <c r="D510" s="24">
        <v>431</v>
      </c>
    </row>
    <row r="511" spans="1:4" x14ac:dyDescent="0.25">
      <c r="A511" s="24">
        <v>826</v>
      </c>
      <c r="B511" s="24">
        <v>811947</v>
      </c>
      <c r="C511" s="24" t="s">
        <v>1220</v>
      </c>
      <c r="D511" s="24">
        <v>432</v>
      </c>
    </row>
    <row r="512" spans="1:4" x14ac:dyDescent="0.25">
      <c r="A512" s="24">
        <v>982</v>
      </c>
      <c r="B512" s="24">
        <v>811963</v>
      </c>
      <c r="C512" s="24" t="s">
        <v>1222</v>
      </c>
      <c r="D512" s="24">
        <v>433</v>
      </c>
    </row>
    <row r="513" spans="1:4" x14ac:dyDescent="0.25">
      <c r="A513" s="24">
        <v>2173</v>
      </c>
      <c r="B513" s="24">
        <v>812013</v>
      </c>
      <c r="C513" s="24" t="s">
        <v>1224</v>
      </c>
      <c r="D513" s="24">
        <v>434</v>
      </c>
    </row>
    <row r="514" spans="1:4" x14ac:dyDescent="0.25">
      <c r="A514" s="24">
        <v>2025</v>
      </c>
      <c r="B514" s="24">
        <v>812048</v>
      </c>
      <c r="C514" s="24" t="s">
        <v>1226</v>
      </c>
      <c r="D514" s="24">
        <v>435</v>
      </c>
    </row>
    <row r="515" spans="1:4" x14ac:dyDescent="0.25">
      <c r="A515" s="24">
        <v>1109</v>
      </c>
      <c r="B515" s="24">
        <v>833185</v>
      </c>
      <c r="C515" s="24" t="s">
        <v>2259</v>
      </c>
      <c r="D515" s="24">
        <v>436</v>
      </c>
    </row>
    <row r="516" spans="1:4" x14ac:dyDescent="0.25">
      <c r="A516" s="24">
        <v>3306</v>
      </c>
      <c r="B516" s="24">
        <v>812056</v>
      </c>
      <c r="C516" s="24" t="s">
        <v>1227</v>
      </c>
      <c r="D516" s="24">
        <v>437</v>
      </c>
    </row>
    <row r="517" spans="1:4" x14ac:dyDescent="0.25">
      <c r="A517" s="24">
        <v>868</v>
      </c>
      <c r="B517" s="24">
        <v>812072</v>
      </c>
      <c r="C517" s="24" t="s">
        <v>1228</v>
      </c>
      <c r="D517" s="24">
        <v>438</v>
      </c>
    </row>
    <row r="518" spans="1:4" x14ac:dyDescent="0.25">
      <c r="A518" s="24">
        <v>2656</v>
      </c>
      <c r="B518" s="24">
        <v>812081</v>
      </c>
      <c r="C518" s="24" t="s">
        <v>1229</v>
      </c>
      <c r="D518" s="24">
        <v>439</v>
      </c>
    </row>
    <row r="519" spans="1:4" x14ac:dyDescent="0.25">
      <c r="A519" s="24">
        <v>2968</v>
      </c>
      <c r="B519" s="24">
        <v>812099</v>
      </c>
      <c r="C519" s="24" t="s">
        <v>1230</v>
      </c>
      <c r="D519" s="24">
        <v>440</v>
      </c>
    </row>
    <row r="520" spans="1:4" x14ac:dyDescent="0.25">
      <c r="A520" s="24">
        <v>1567</v>
      </c>
      <c r="B520" s="24">
        <v>812102</v>
      </c>
      <c r="C520" s="24" t="s">
        <v>1231</v>
      </c>
      <c r="D520" s="24">
        <v>441</v>
      </c>
    </row>
    <row r="521" spans="1:4" x14ac:dyDescent="0.25">
      <c r="A521" s="24">
        <v>1326</v>
      </c>
      <c r="B521" s="24">
        <v>812111</v>
      </c>
      <c r="C521" s="24" t="s">
        <v>1232</v>
      </c>
      <c r="D521" s="24">
        <v>442</v>
      </c>
    </row>
    <row r="522" spans="1:4" x14ac:dyDescent="0.25">
      <c r="A522" s="24">
        <v>2700</v>
      </c>
      <c r="B522" s="24">
        <v>812129</v>
      </c>
      <c r="C522" s="24" t="s">
        <v>1233</v>
      </c>
      <c r="D522" s="24">
        <v>443</v>
      </c>
    </row>
    <row r="523" spans="1:4" x14ac:dyDescent="0.25">
      <c r="A523" s="24">
        <v>2749</v>
      </c>
      <c r="B523" s="24">
        <v>812137</v>
      </c>
      <c r="C523" s="24" t="s">
        <v>1234</v>
      </c>
      <c r="D523" s="24">
        <v>444</v>
      </c>
    </row>
    <row r="524" spans="1:4" x14ac:dyDescent="0.25">
      <c r="A524" s="24">
        <v>2386</v>
      </c>
      <c r="B524" s="24">
        <v>812145</v>
      </c>
      <c r="C524" s="24" t="s">
        <v>1235</v>
      </c>
      <c r="D524" s="24">
        <v>445</v>
      </c>
    </row>
    <row r="525" spans="1:4" x14ac:dyDescent="0.25">
      <c r="A525" s="24">
        <v>681</v>
      </c>
      <c r="B525" s="24">
        <v>854816</v>
      </c>
      <c r="C525" s="24" t="s">
        <v>3176</v>
      </c>
      <c r="D525" s="24">
        <v>446</v>
      </c>
    </row>
    <row r="526" spans="1:4" x14ac:dyDescent="0.25">
      <c r="A526" s="24">
        <v>1008</v>
      </c>
      <c r="B526" s="24">
        <v>812153</v>
      </c>
      <c r="C526" s="24" t="s">
        <v>1236</v>
      </c>
      <c r="D526" s="24">
        <v>446</v>
      </c>
    </row>
    <row r="527" spans="1:4" x14ac:dyDescent="0.25">
      <c r="A527" s="24">
        <v>3536</v>
      </c>
      <c r="B527" s="24">
        <v>812170</v>
      </c>
      <c r="C527" s="24" t="s">
        <v>1238</v>
      </c>
      <c r="D527" s="24">
        <v>447</v>
      </c>
    </row>
    <row r="528" spans="1:4" x14ac:dyDescent="0.25">
      <c r="A528" s="24">
        <v>39</v>
      </c>
      <c r="B528" s="24">
        <v>812188</v>
      </c>
      <c r="C528" s="24" t="s">
        <v>1239</v>
      </c>
      <c r="D528" s="24">
        <v>448</v>
      </c>
    </row>
    <row r="529" spans="1:4" x14ac:dyDescent="0.25">
      <c r="A529" s="24">
        <v>2267</v>
      </c>
      <c r="B529" s="24">
        <v>812196</v>
      </c>
      <c r="C529" s="24" t="s">
        <v>1240</v>
      </c>
      <c r="D529" s="24">
        <v>449</v>
      </c>
    </row>
    <row r="530" spans="1:4" x14ac:dyDescent="0.25">
      <c r="A530" s="24">
        <v>1141</v>
      </c>
      <c r="B530" s="24">
        <v>812200</v>
      </c>
      <c r="C530" s="24" t="s">
        <v>1241</v>
      </c>
      <c r="D530" s="24">
        <v>450</v>
      </c>
    </row>
    <row r="531" spans="1:4" x14ac:dyDescent="0.25">
      <c r="A531" s="24">
        <v>3270</v>
      </c>
      <c r="B531" s="24">
        <v>812226</v>
      </c>
      <c r="C531" s="24" t="s">
        <v>1242</v>
      </c>
      <c r="D531" s="24">
        <v>451</v>
      </c>
    </row>
    <row r="532" spans="1:4" x14ac:dyDescent="0.25">
      <c r="A532" s="24">
        <v>520</v>
      </c>
      <c r="B532" s="24">
        <v>812234</v>
      </c>
      <c r="C532" s="24" t="s">
        <v>1243</v>
      </c>
      <c r="D532" s="24">
        <v>452</v>
      </c>
    </row>
    <row r="533" spans="1:4" x14ac:dyDescent="0.25">
      <c r="A533" s="24">
        <v>1291</v>
      </c>
      <c r="B533" s="24">
        <v>812251</v>
      </c>
      <c r="C533" s="24" t="s">
        <v>1245</v>
      </c>
      <c r="D533" s="24">
        <v>453</v>
      </c>
    </row>
    <row r="534" spans="1:4" x14ac:dyDescent="0.25">
      <c r="A534" s="24">
        <v>578</v>
      </c>
      <c r="B534" s="24">
        <v>845892</v>
      </c>
      <c r="C534" s="24" t="s">
        <v>2811</v>
      </c>
      <c r="D534" s="24">
        <v>454</v>
      </c>
    </row>
    <row r="535" spans="1:4" x14ac:dyDescent="0.25">
      <c r="A535" s="24">
        <v>3434</v>
      </c>
      <c r="B535" s="24">
        <v>812277</v>
      </c>
      <c r="C535" s="24" t="s">
        <v>1246</v>
      </c>
      <c r="D535" s="24">
        <v>454</v>
      </c>
    </row>
    <row r="536" spans="1:4" x14ac:dyDescent="0.25">
      <c r="A536" s="24">
        <v>331</v>
      </c>
      <c r="B536" s="24">
        <v>812293</v>
      </c>
      <c r="C536" s="24" t="s">
        <v>1247</v>
      </c>
      <c r="D536" s="24">
        <v>455</v>
      </c>
    </row>
    <row r="537" spans="1:4" x14ac:dyDescent="0.25">
      <c r="A537" s="24">
        <v>1027</v>
      </c>
      <c r="B537" s="24">
        <v>812307</v>
      </c>
      <c r="C537" s="24" t="s">
        <v>1248</v>
      </c>
      <c r="D537" s="24">
        <v>456</v>
      </c>
    </row>
    <row r="538" spans="1:4" x14ac:dyDescent="0.25">
      <c r="A538" s="24">
        <v>132</v>
      </c>
      <c r="B538" s="24">
        <v>812455</v>
      </c>
      <c r="C538" s="24" t="s">
        <v>1253</v>
      </c>
      <c r="D538" s="24">
        <v>457</v>
      </c>
    </row>
    <row r="539" spans="1:4" x14ac:dyDescent="0.25">
      <c r="A539" s="24">
        <v>600</v>
      </c>
      <c r="B539" s="24">
        <v>838250</v>
      </c>
      <c r="C539" s="24" t="s">
        <v>2493</v>
      </c>
      <c r="D539" s="24">
        <v>457</v>
      </c>
    </row>
    <row r="540" spans="1:4" x14ac:dyDescent="0.25">
      <c r="A540" s="24">
        <v>1179</v>
      </c>
      <c r="B540" s="24">
        <v>812315</v>
      </c>
      <c r="C540" s="24" t="s">
        <v>1249</v>
      </c>
      <c r="D540" s="24">
        <v>457</v>
      </c>
    </row>
    <row r="541" spans="1:4" x14ac:dyDescent="0.25">
      <c r="A541" s="24">
        <v>1429</v>
      </c>
      <c r="B541" s="24">
        <v>838241</v>
      </c>
      <c r="C541" s="24" t="s">
        <v>2492</v>
      </c>
      <c r="D541" s="24">
        <v>457</v>
      </c>
    </row>
    <row r="542" spans="1:4" x14ac:dyDescent="0.25">
      <c r="A542" s="24">
        <v>1639</v>
      </c>
      <c r="B542" s="24">
        <v>812331</v>
      </c>
      <c r="C542" s="24" t="s">
        <v>1250</v>
      </c>
      <c r="D542" s="24">
        <v>457</v>
      </c>
    </row>
    <row r="543" spans="1:4" x14ac:dyDescent="0.25">
      <c r="A543" s="24">
        <v>2190</v>
      </c>
      <c r="B543" s="24">
        <v>812340</v>
      </c>
      <c r="C543" s="24" t="s">
        <v>1251</v>
      </c>
      <c r="D543" s="24">
        <v>457</v>
      </c>
    </row>
    <row r="544" spans="1:4" x14ac:dyDescent="0.25">
      <c r="A544" s="24">
        <v>2206</v>
      </c>
      <c r="B544" s="24">
        <v>812463</v>
      </c>
      <c r="C544" s="24" t="s">
        <v>1254</v>
      </c>
      <c r="D544" s="24">
        <v>457</v>
      </c>
    </row>
    <row r="545" spans="1:4" x14ac:dyDescent="0.25">
      <c r="A545" s="24">
        <v>1488</v>
      </c>
      <c r="B545" s="24">
        <v>824968</v>
      </c>
      <c r="C545" s="24" t="s">
        <v>1879</v>
      </c>
      <c r="D545" s="24">
        <v>457</v>
      </c>
    </row>
    <row r="546" spans="1:4" x14ac:dyDescent="0.25">
      <c r="A546" s="24">
        <v>2626</v>
      </c>
      <c r="B546" s="24">
        <v>802671</v>
      </c>
      <c r="C546" s="24" t="s">
        <v>841</v>
      </c>
      <c r="D546" s="24">
        <v>457</v>
      </c>
    </row>
    <row r="547" spans="1:4" x14ac:dyDescent="0.25">
      <c r="A547" s="24">
        <v>2369</v>
      </c>
      <c r="B547" s="24">
        <v>857785</v>
      </c>
      <c r="C547" s="24" t="s">
        <v>3306</v>
      </c>
      <c r="D547" s="24">
        <v>457</v>
      </c>
    </row>
    <row r="548" spans="1:4" x14ac:dyDescent="0.25">
      <c r="A548" s="24">
        <v>3211</v>
      </c>
      <c r="B548" s="24">
        <v>812404</v>
      </c>
      <c r="C548" s="24" t="s">
        <v>1252</v>
      </c>
      <c r="D548" s="24">
        <v>457</v>
      </c>
    </row>
    <row r="549" spans="1:4" x14ac:dyDescent="0.25">
      <c r="A549" s="24">
        <v>1319</v>
      </c>
      <c r="B549" s="24">
        <v>865532</v>
      </c>
      <c r="C549" s="24" t="s">
        <v>3610</v>
      </c>
      <c r="D549" s="24">
        <v>458</v>
      </c>
    </row>
    <row r="550" spans="1:4" x14ac:dyDescent="0.25">
      <c r="A550" s="24">
        <v>2433</v>
      </c>
      <c r="B550" s="24">
        <v>812471</v>
      </c>
      <c r="C550" s="24" t="s">
        <v>1255</v>
      </c>
      <c r="D550" s="24">
        <v>458</v>
      </c>
    </row>
    <row r="551" spans="1:4" x14ac:dyDescent="0.25">
      <c r="A551" s="24">
        <v>1666</v>
      </c>
      <c r="B551" s="24">
        <v>812480</v>
      </c>
      <c r="C551" s="24" t="s">
        <v>1256</v>
      </c>
      <c r="D551" s="24">
        <v>459</v>
      </c>
    </row>
    <row r="552" spans="1:4" x14ac:dyDescent="0.25">
      <c r="A552" s="24">
        <v>707</v>
      </c>
      <c r="B552" s="24">
        <v>812510</v>
      </c>
      <c r="C552" s="24" t="s">
        <v>1258</v>
      </c>
      <c r="D552" s="24">
        <v>460</v>
      </c>
    </row>
    <row r="553" spans="1:4" x14ac:dyDescent="0.25">
      <c r="A553" s="24">
        <v>903</v>
      </c>
      <c r="B553" s="24">
        <v>812544</v>
      </c>
      <c r="C553" s="24" t="s">
        <v>1260</v>
      </c>
      <c r="D553" s="24">
        <v>461</v>
      </c>
    </row>
    <row r="554" spans="1:4" x14ac:dyDescent="0.25">
      <c r="A554" s="24">
        <v>1299</v>
      </c>
      <c r="B554" s="24">
        <v>819565</v>
      </c>
      <c r="C554" s="24" t="s">
        <v>1602</v>
      </c>
      <c r="D554" s="24">
        <v>462</v>
      </c>
    </row>
    <row r="555" spans="1:4" x14ac:dyDescent="0.25">
      <c r="A555" s="24">
        <v>3265</v>
      </c>
      <c r="B555" s="24">
        <v>819557</v>
      </c>
      <c r="C555" s="24" t="s">
        <v>1601</v>
      </c>
      <c r="D555" s="24">
        <v>462</v>
      </c>
    </row>
    <row r="556" spans="1:4" x14ac:dyDescent="0.25">
      <c r="A556" s="24">
        <v>3462</v>
      </c>
      <c r="B556" s="24">
        <v>819581</v>
      </c>
      <c r="C556" s="24" t="s">
        <v>1603</v>
      </c>
      <c r="D556" s="24">
        <v>462</v>
      </c>
    </row>
    <row r="557" spans="1:4" x14ac:dyDescent="0.25">
      <c r="A557" s="24">
        <v>1195</v>
      </c>
      <c r="B557" s="24">
        <v>812561</v>
      </c>
      <c r="C557" s="24" t="s">
        <v>1262</v>
      </c>
      <c r="D557" s="24">
        <v>463</v>
      </c>
    </row>
    <row r="558" spans="1:4" x14ac:dyDescent="0.25">
      <c r="A558" s="24">
        <v>369</v>
      </c>
      <c r="B558" s="24">
        <v>812579</v>
      </c>
      <c r="C558" s="24" t="s">
        <v>1263</v>
      </c>
      <c r="D558" s="24">
        <v>464</v>
      </c>
    </row>
    <row r="559" spans="1:4" x14ac:dyDescent="0.25">
      <c r="A559" s="24">
        <v>2941</v>
      </c>
      <c r="B559" s="24">
        <v>812587</v>
      </c>
      <c r="C559" s="24" t="s">
        <v>1264</v>
      </c>
      <c r="D559" s="24">
        <v>465</v>
      </c>
    </row>
    <row r="560" spans="1:4" x14ac:dyDescent="0.25">
      <c r="A560" s="24">
        <v>306</v>
      </c>
      <c r="B560" s="24">
        <v>812595</v>
      </c>
      <c r="C560" s="24" t="s">
        <v>1265</v>
      </c>
      <c r="D560" s="24">
        <v>466</v>
      </c>
    </row>
    <row r="561" spans="1:4" x14ac:dyDescent="0.25">
      <c r="A561" s="24">
        <v>1514</v>
      </c>
      <c r="B561" s="24">
        <v>823597</v>
      </c>
      <c r="C561" s="24" t="s">
        <v>1834</v>
      </c>
      <c r="D561" s="24">
        <v>466</v>
      </c>
    </row>
    <row r="562" spans="1:4" x14ac:dyDescent="0.25">
      <c r="A562" s="24">
        <v>619</v>
      </c>
      <c r="B562" s="24">
        <v>812625</v>
      </c>
      <c r="C562" s="24" t="s">
        <v>1266</v>
      </c>
      <c r="D562" s="24">
        <v>467</v>
      </c>
    </row>
    <row r="563" spans="1:4" x14ac:dyDescent="0.25">
      <c r="A563" s="24">
        <v>328</v>
      </c>
      <c r="B563" s="24">
        <v>812641</v>
      </c>
      <c r="C563" s="24" t="s">
        <v>1267</v>
      </c>
      <c r="D563" s="24">
        <v>468</v>
      </c>
    </row>
    <row r="564" spans="1:4" x14ac:dyDescent="0.25">
      <c r="A564" s="24">
        <v>237</v>
      </c>
      <c r="B564" s="24">
        <v>812722</v>
      </c>
      <c r="C564" s="24" t="s">
        <v>1269</v>
      </c>
      <c r="D564" s="24">
        <v>469</v>
      </c>
    </row>
    <row r="565" spans="1:4" x14ac:dyDescent="0.25">
      <c r="A565" s="24">
        <v>2806</v>
      </c>
      <c r="B565" s="24">
        <v>812757</v>
      </c>
      <c r="C565" s="24" t="s">
        <v>1270</v>
      </c>
      <c r="D565" s="24">
        <v>470</v>
      </c>
    </row>
    <row r="566" spans="1:4" x14ac:dyDescent="0.25">
      <c r="A566" s="24">
        <v>967</v>
      </c>
      <c r="B566" s="24">
        <v>812773</v>
      </c>
      <c r="C566" s="24" t="s">
        <v>1271</v>
      </c>
      <c r="D566" s="24">
        <v>471</v>
      </c>
    </row>
    <row r="567" spans="1:4" x14ac:dyDescent="0.25">
      <c r="A567" s="24">
        <v>2766</v>
      </c>
      <c r="B567" s="24">
        <v>812803</v>
      </c>
      <c r="C567" s="24" t="s">
        <v>1272</v>
      </c>
      <c r="D567" s="24">
        <v>472</v>
      </c>
    </row>
    <row r="568" spans="1:4" x14ac:dyDescent="0.25">
      <c r="A568" s="24">
        <v>1321</v>
      </c>
      <c r="B568" s="24">
        <v>812811</v>
      </c>
      <c r="C568" s="24" t="s">
        <v>1273</v>
      </c>
      <c r="D568" s="24">
        <v>473</v>
      </c>
    </row>
    <row r="569" spans="1:4" x14ac:dyDescent="0.25">
      <c r="A569" s="24">
        <v>1189</v>
      </c>
      <c r="B569" s="24">
        <v>812820</v>
      </c>
      <c r="C569" s="24" t="s">
        <v>1274</v>
      </c>
      <c r="D569" s="24">
        <v>474</v>
      </c>
    </row>
    <row r="570" spans="1:4" x14ac:dyDescent="0.25">
      <c r="A570" s="24">
        <v>3447</v>
      </c>
      <c r="B570" s="24">
        <v>812871</v>
      </c>
      <c r="C570" s="24" t="s">
        <v>1276</v>
      </c>
      <c r="D570" s="24">
        <v>475</v>
      </c>
    </row>
    <row r="571" spans="1:4" x14ac:dyDescent="0.25">
      <c r="A571" s="24">
        <v>3199</v>
      </c>
      <c r="B571" s="24">
        <v>812889</v>
      </c>
      <c r="C571" s="24" t="s">
        <v>1277</v>
      </c>
      <c r="D571" s="24">
        <v>476</v>
      </c>
    </row>
    <row r="572" spans="1:4" x14ac:dyDescent="0.25">
      <c r="A572" s="24">
        <v>706</v>
      </c>
      <c r="B572" s="24">
        <v>812897</v>
      </c>
      <c r="C572" s="24" t="s">
        <v>1278</v>
      </c>
      <c r="D572" s="24">
        <v>476</v>
      </c>
    </row>
    <row r="573" spans="1:4" x14ac:dyDescent="0.25">
      <c r="A573" s="24">
        <v>2090</v>
      </c>
      <c r="B573" s="24">
        <v>812901</v>
      </c>
      <c r="C573" s="24" t="s">
        <v>1279</v>
      </c>
      <c r="D573" s="24">
        <v>477</v>
      </c>
    </row>
    <row r="574" spans="1:4" x14ac:dyDescent="0.25">
      <c r="A574" s="24">
        <v>981</v>
      </c>
      <c r="B574" s="24">
        <v>812927</v>
      </c>
      <c r="C574" s="24" t="s">
        <v>1280</v>
      </c>
      <c r="D574" s="24">
        <v>478</v>
      </c>
    </row>
    <row r="575" spans="1:4" x14ac:dyDescent="0.25">
      <c r="A575" s="24">
        <v>3111</v>
      </c>
      <c r="B575" s="24">
        <v>812935</v>
      </c>
      <c r="C575" s="24" t="s">
        <v>1281</v>
      </c>
      <c r="D575" s="24">
        <v>479</v>
      </c>
    </row>
    <row r="576" spans="1:4" x14ac:dyDescent="0.25">
      <c r="A576" s="24">
        <v>2811</v>
      </c>
      <c r="B576" s="24">
        <v>812943</v>
      </c>
      <c r="C576" s="24" t="s">
        <v>1282</v>
      </c>
      <c r="D576" s="24">
        <v>480</v>
      </c>
    </row>
    <row r="577" spans="1:4" x14ac:dyDescent="0.25">
      <c r="A577" s="24">
        <v>1665</v>
      </c>
      <c r="B577" s="24">
        <v>812960</v>
      </c>
      <c r="C577" s="24" t="s">
        <v>1283</v>
      </c>
      <c r="D577" s="24">
        <v>481</v>
      </c>
    </row>
    <row r="578" spans="1:4" x14ac:dyDescent="0.25">
      <c r="A578" s="24">
        <v>224</v>
      </c>
      <c r="B578" s="24">
        <v>813001</v>
      </c>
      <c r="C578" s="24" t="s">
        <v>1284</v>
      </c>
      <c r="D578" s="24">
        <v>482</v>
      </c>
    </row>
    <row r="579" spans="1:4" x14ac:dyDescent="0.25">
      <c r="A579" s="24">
        <v>2235</v>
      </c>
      <c r="B579" s="24">
        <v>813052</v>
      </c>
      <c r="C579" s="24" t="s">
        <v>1285</v>
      </c>
      <c r="D579" s="24">
        <v>483</v>
      </c>
    </row>
    <row r="580" spans="1:4" x14ac:dyDescent="0.25">
      <c r="A580" s="24">
        <v>341</v>
      </c>
      <c r="B580" s="24">
        <v>813061</v>
      </c>
      <c r="C580" s="24" t="s">
        <v>1286</v>
      </c>
      <c r="D580" s="24">
        <v>484</v>
      </c>
    </row>
    <row r="581" spans="1:4" x14ac:dyDescent="0.25">
      <c r="A581" s="24">
        <v>1333</v>
      </c>
      <c r="B581" s="24">
        <v>813087</v>
      </c>
      <c r="C581" s="24" t="s">
        <v>1288</v>
      </c>
      <c r="D581" s="24">
        <v>485</v>
      </c>
    </row>
    <row r="582" spans="1:4" x14ac:dyDescent="0.25">
      <c r="A582" s="24">
        <v>1970</v>
      </c>
      <c r="B582" s="24">
        <v>813095</v>
      </c>
      <c r="C582" s="24" t="s">
        <v>1289</v>
      </c>
      <c r="D582" s="24">
        <v>485</v>
      </c>
    </row>
    <row r="583" spans="1:4" x14ac:dyDescent="0.25">
      <c r="A583" s="24">
        <v>1506</v>
      </c>
      <c r="B583" s="24">
        <v>802247</v>
      </c>
      <c r="C583" s="24" t="s">
        <v>816</v>
      </c>
      <c r="D583" s="24">
        <v>486</v>
      </c>
    </row>
    <row r="584" spans="1:4" x14ac:dyDescent="0.25">
      <c r="A584" s="24">
        <v>2328</v>
      </c>
      <c r="B584" s="24">
        <v>813109</v>
      </c>
      <c r="C584" s="24" t="s">
        <v>1290</v>
      </c>
      <c r="D584" s="24">
        <v>486</v>
      </c>
    </row>
    <row r="585" spans="1:4" x14ac:dyDescent="0.25">
      <c r="A585" s="24">
        <v>3095</v>
      </c>
      <c r="B585" s="24">
        <v>813117</v>
      </c>
      <c r="C585" s="24" t="s">
        <v>1291</v>
      </c>
      <c r="D585" s="24">
        <v>487</v>
      </c>
    </row>
    <row r="586" spans="1:4" x14ac:dyDescent="0.25">
      <c r="A586" s="24">
        <v>3440</v>
      </c>
      <c r="B586" s="24">
        <v>813125</v>
      </c>
      <c r="C586" s="24" t="s">
        <v>1292</v>
      </c>
      <c r="D586" s="24">
        <v>488</v>
      </c>
    </row>
    <row r="587" spans="1:4" x14ac:dyDescent="0.25">
      <c r="A587" s="24">
        <v>2210</v>
      </c>
      <c r="B587" s="24">
        <v>813133</v>
      </c>
      <c r="C587" s="24" t="s">
        <v>1293</v>
      </c>
      <c r="D587" s="24">
        <v>489</v>
      </c>
    </row>
    <row r="588" spans="1:4" x14ac:dyDescent="0.25">
      <c r="A588" s="24">
        <v>766</v>
      </c>
      <c r="B588" s="24">
        <v>849430</v>
      </c>
      <c r="C588" s="24" t="s">
        <v>2952</v>
      </c>
      <c r="D588" s="24">
        <v>490</v>
      </c>
    </row>
    <row r="589" spans="1:4" x14ac:dyDescent="0.25">
      <c r="A589" s="24">
        <v>3328</v>
      </c>
      <c r="B589" s="24">
        <v>813141</v>
      </c>
      <c r="C589" s="24" t="s">
        <v>1294</v>
      </c>
      <c r="D589" s="24">
        <v>490</v>
      </c>
    </row>
    <row r="590" spans="1:4" x14ac:dyDescent="0.25">
      <c r="A590" s="24">
        <v>2864</v>
      </c>
      <c r="B590" s="24">
        <v>813222</v>
      </c>
      <c r="C590" s="24" t="s">
        <v>1295</v>
      </c>
      <c r="D590" s="24">
        <v>491</v>
      </c>
    </row>
    <row r="591" spans="1:4" x14ac:dyDescent="0.25">
      <c r="A591" s="24">
        <v>791</v>
      </c>
      <c r="B591" s="24">
        <v>882003</v>
      </c>
      <c r="C591" s="24" t="s">
        <v>4101</v>
      </c>
      <c r="D591" s="24">
        <v>492</v>
      </c>
    </row>
    <row r="592" spans="1:4" x14ac:dyDescent="0.25">
      <c r="A592" s="24">
        <v>445</v>
      </c>
      <c r="B592" s="24">
        <v>813249</v>
      </c>
      <c r="C592" s="24" t="s">
        <v>1296</v>
      </c>
      <c r="D592" s="24">
        <v>492</v>
      </c>
    </row>
    <row r="593" spans="1:4" x14ac:dyDescent="0.25">
      <c r="A593" s="24">
        <v>3155</v>
      </c>
      <c r="B593" s="24">
        <v>813265</v>
      </c>
      <c r="C593" s="24" t="s">
        <v>1297</v>
      </c>
      <c r="D593" s="24">
        <v>492</v>
      </c>
    </row>
    <row r="594" spans="1:4" x14ac:dyDescent="0.25">
      <c r="A594" s="24">
        <v>1207</v>
      </c>
      <c r="B594" s="24">
        <v>813281</v>
      </c>
      <c r="C594" s="24" t="s">
        <v>1298</v>
      </c>
      <c r="D594" s="24">
        <v>493</v>
      </c>
    </row>
    <row r="595" spans="1:4" x14ac:dyDescent="0.25">
      <c r="A595" s="24">
        <v>805</v>
      </c>
      <c r="B595" s="24">
        <v>813290</v>
      </c>
      <c r="C595" s="24" t="s">
        <v>1299</v>
      </c>
      <c r="D595" s="24">
        <v>494</v>
      </c>
    </row>
    <row r="596" spans="1:4" x14ac:dyDescent="0.25">
      <c r="A596" s="24">
        <v>2451</v>
      </c>
      <c r="B596" s="24">
        <v>813303</v>
      </c>
      <c r="C596" s="24" t="s">
        <v>1300</v>
      </c>
      <c r="D596" s="24">
        <v>495</v>
      </c>
    </row>
    <row r="597" spans="1:4" x14ac:dyDescent="0.25">
      <c r="A597" s="24">
        <v>1186</v>
      </c>
      <c r="B597" s="24">
        <v>813311</v>
      </c>
      <c r="C597" s="24" t="s">
        <v>1300</v>
      </c>
      <c r="D597" s="24">
        <v>496</v>
      </c>
    </row>
    <row r="598" spans="1:4" x14ac:dyDescent="0.25">
      <c r="A598" s="24">
        <v>1474</v>
      </c>
      <c r="B598" s="24">
        <v>813320</v>
      </c>
      <c r="C598" s="24" t="s">
        <v>1301</v>
      </c>
      <c r="D598" s="24">
        <v>497</v>
      </c>
    </row>
    <row r="599" spans="1:4" x14ac:dyDescent="0.25">
      <c r="A599" s="24">
        <v>1532</v>
      </c>
      <c r="B599" s="24">
        <v>813338</v>
      </c>
      <c r="C599" s="24" t="s">
        <v>1302</v>
      </c>
      <c r="D599" s="24">
        <v>497</v>
      </c>
    </row>
    <row r="600" spans="1:4" x14ac:dyDescent="0.25">
      <c r="A600" s="24">
        <v>2736</v>
      </c>
      <c r="B600" s="24">
        <v>813354</v>
      </c>
      <c r="C600" s="24" t="s">
        <v>1304</v>
      </c>
      <c r="D600" s="24">
        <v>498</v>
      </c>
    </row>
    <row r="601" spans="1:4" x14ac:dyDescent="0.25">
      <c r="A601" s="24">
        <v>3225</v>
      </c>
      <c r="B601" s="24">
        <v>813346</v>
      </c>
      <c r="C601" s="24" t="s">
        <v>1303</v>
      </c>
      <c r="D601" s="24">
        <v>498</v>
      </c>
    </row>
    <row r="602" spans="1:4" x14ac:dyDescent="0.25">
      <c r="A602" s="24">
        <v>386</v>
      </c>
      <c r="B602" s="24">
        <v>813362</v>
      </c>
      <c r="C602" s="24" t="s">
        <v>1305</v>
      </c>
      <c r="D602" s="24">
        <v>499</v>
      </c>
    </row>
    <row r="603" spans="1:4" x14ac:dyDescent="0.25">
      <c r="A603" s="24">
        <v>536</v>
      </c>
      <c r="B603" s="24">
        <v>813371</v>
      </c>
      <c r="C603" s="24" t="s">
        <v>1305</v>
      </c>
      <c r="D603" s="24">
        <v>500</v>
      </c>
    </row>
    <row r="604" spans="1:4" x14ac:dyDescent="0.25">
      <c r="A604" s="24">
        <v>1138</v>
      </c>
      <c r="B604" s="24">
        <v>813389</v>
      </c>
      <c r="C604" s="24" t="s">
        <v>1306</v>
      </c>
      <c r="D604" s="24">
        <v>501</v>
      </c>
    </row>
    <row r="605" spans="1:4" x14ac:dyDescent="0.25">
      <c r="A605" s="24">
        <v>1719</v>
      </c>
      <c r="B605" s="24">
        <v>813397</v>
      </c>
      <c r="C605" s="24" t="s">
        <v>1307</v>
      </c>
      <c r="D605" s="24">
        <v>502</v>
      </c>
    </row>
    <row r="606" spans="1:4" x14ac:dyDescent="0.25">
      <c r="A606" s="24">
        <v>2184</v>
      </c>
      <c r="B606" s="24">
        <v>813401</v>
      </c>
      <c r="C606" s="24" t="s">
        <v>1308</v>
      </c>
      <c r="D606" s="24">
        <v>503</v>
      </c>
    </row>
    <row r="607" spans="1:4" x14ac:dyDescent="0.25">
      <c r="A607" s="24">
        <v>34</v>
      </c>
      <c r="B607" s="24">
        <v>813427</v>
      </c>
      <c r="C607" s="24" t="s">
        <v>1308</v>
      </c>
      <c r="D607" s="24">
        <v>504</v>
      </c>
    </row>
    <row r="608" spans="1:4" x14ac:dyDescent="0.25">
      <c r="A608" s="24">
        <v>6</v>
      </c>
      <c r="B608" s="24">
        <v>813435</v>
      </c>
      <c r="C608" s="24" t="s">
        <v>1308</v>
      </c>
      <c r="D608" s="24">
        <v>505</v>
      </c>
    </row>
    <row r="609" spans="1:4" x14ac:dyDescent="0.25">
      <c r="A609" s="24">
        <v>3072</v>
      </c>
      <c r="B609" s="24">
        <v>813443</v>
      </c>
      <c r="C609" s="24" t="s">
        <v>1309</v>
      </c>
      <c r="D609" s="24">
        <v>506</v>
      </c>
    </row>
    <row r="610" spans="1:4" x14ac:dyDescent="0.25">
      <c r="A610" s="24">
        <v>2682</v>
      </c>
      <c r="B610" s="24">
        <v>813451</v>
      </c>
      <c r="C610" s="24" t="s">
        <v>949</v>
      </c>
      <c r="D610" s="24">
        <v>507</v>
      </c>
    </row>
    <row r="611" spans="1:4" x14ac:dyDescent="0.25">
      <c r="A611" s="24">
        <v>3558</v>
      </c>
      <c r="B611" s="24">
        <v>813478</v>
      </c>
      <c r="C611" s="24" t="s">
        <v>1310</v>
      </c>
      <c r="D611" s="24">
        <v>508</v>
      </c>
    </row>
    <row r="612" spans="1:4" x14ac:dyDescent="0.25">
      <c r="A612" s="24">
        <v>395</v>
      </c>
      <c r="B612" s="24">
        <v>813516</v>
      </c>
      <c r="C612" s="24" t="s">
        <v>1311</v>
      </c>
      <c r="D612" s="24">
        <v>509</v>
      </c>
    </row>
    <row r="613" spans="1:4" x14ac:dyDescent="0.25">
      <c r="A613" s="24">
        <v>128</v>
      </c>
      <c r="B613" s="24">
        <v>813532</v>
      </c>
      <c r="C613" s="24" t="s">
        <v>1312</v>
      </c>
      <c r="D613" s="24">
        <v>510</v>
      </c>
    </row>
    <row r="614" spans="1:4" x14ac:dyDescent="0.25">
      <c r="A614" s="24">
        <v>1792</v>
      </c>
      <c r="B614" s="24">
        <v>813559</v>
      </c>
      <c r="C614" s="24" t="s">
        <v>1313</v>
      </c>
      <c r="D614" s="24">
        <v>510</v>
      </c>
    </row>
    <row r="615" spans="1:4" x14ac:dyDescent="0.25">
      <c r="A615" s="24">
        <v>3183</v>
      </c>
      <c r="B615" s="24">
        <v>813567</v>
      </c>
      <c r="C615" s="24" t="s">
        <v>1314</v>
      </c>
      <c r="D615" s="24">
        <v>511</v>
      </c>
    </row>
    <row r="616" spans="1:4" x14ac:dyDescent="0.25">
      <c r="A616" s="24">
        <v>3016</v>
      </c>
      <c r="B616" s="24">
        <v>813583</v>
      </c>
      <c r="C616" s="24" t="s">
        <v>1316</v>
      </c>
      <c r="D616" s="24">
        <v>512</v>
      </c>
    </row>
    <row r="617" spans="1:4" x14ac:dyDescent="0.25">
      <c r="A617" s="24">
        <v>2403</v>
      </c>
      <c r="B617" s="24">
        <v>813591</v>
      </c>
      <c r="C617" s="24" t="s">
        <v>1317</v>
      </c>
      <c r="D617" s="24">
        <v>513</v>
      </c>
    </row>
    <row r="618" spans="1:4" x14ac:dyDescent="0.25">
      <c r="A618" s="24">
        <v>2352</v>
      </c>
      <c r="B618" s="24">
        <v>813605</v>
      </c>
      <c r="C618" s="24" t="s">
        <v>1318</v>
      </c>
      <c r="D618" s="24">
        <v>514</v>
      </c>
    </row>
    <row r="619" spans="1:4" x14ac:dyDescent="0.25">
      <c r="A619" s="24">
        <v>313</v>
      </c>
      <c r="B619" s="24">
        <v>802204</v>
      </c>
      <c r="C619" s="24" t="s">
        <v>812</v>
      </c>
      <c r="D619" s="24">
        <v>515</v>
      </c>
    </row>
    <row r="620" spans="1:4" x14ac:dyDescent="0.25">
      <c r="A620" s="24">
        <v>779</v>
      </c>
      <c r="B620" s="24">
        <v>813630</v>
      </c>
      <c r="C620" s="24" t="s">
        <v>1319</v>
      </c>
      <c r="D620" s="24">
        <v>516</v>
      </c>
    </row>
    <row r="621" spans="1:4" x14ac:dyDescent="0.25">
      <c r="A621" s="24">
        <v>330</v>
      </c>
      <c r="B621" s="24">
        <v>841838</v>
      </c>
      <c r="C621" s="24" t="s">
        <v>2646</v>
      </c>
      <c r="D621" s="24">
        <v>517</v>
      </c>
    </row>
    <row r="622" spans="1:4" x14ac:dyDescent="0.25">
      <c r="A622" s="24">
        <v>598</v>
      </c>
      <c r="B622" s="24">
        <v>822094</v>
      </c>
      <c r="C622" s="24" t="s">
        <v>1745</v>
      </c>
      <c r="D622" s="24">
        <v>517</v>
      </c>
    </row>
    <row r="623" spans="1:4" x14ac:dyDescent="0.25">
      <c r="A623" s="24">
        <v>2437</v>
      </c>
      <c r="B623" s="24">
        <v>842036</v>
      </c>
      <c r="C623" s="24" t="s">
        <v>2658</v>
      </c>
      <c r="D623" s="24">
        <v>517</v>
      </c>
    </row>
    <row r="624" spans="1:4" x14ac:dyDescent="0.25">
      <c r="A624" s="24">
        <v>33</v>
      </c>
      <c r="B624" s="24">
        <v>813826</v>
      </c>
      <c r="C624" s="24" t="s">
        <v>1321</v>
      </c>
      <c r="D624" s="24">
        <v>518</v>
      </c>
    </row>
    <row r="625" spans="1:4" x14ac:dyDescent="0.25">
      <c r="A625" s="24">
        <v>1234</v>
      </c>
      <c r="B625" s="24">
        <v>813664</v>
      </c>
      <c r="C625" s="24" t="s">
        <v>1320</v>
      </c>
      <c r="D625" s="24">
        <v>518</v>
      </c>
    </row>
    <row r="626" spans="1:4" x14ac:dyDescent="0.25">
      <c r="A626" s="24">
        <v>1405</v>
      </c>
      <c r="B626" s="24">
        <v>813834</v>
      </c>
      <c r="C626" s="24" t="s">
        <v>1322</v>
      </c>
      <c r="D626" s="24">
        <v>518</v>
      </c>
    </row>
    <row r="627" spans="1:4" x14ac:dyDescent="0.25">
      <c r="A627" s="24">
        <v>2457</v>
      </c>
      <c r="B627" s="24">
        <v>821802</v>
      </c>
      <c r="C627" s="24" t="s">
        <v>1724</v>
      </c>
      <c r="D627" s="24">
        <v>519</v>
      </c>
    </row>
    <row r="628" spans="1:4" x14ac:dyDescent="0.25">
      <c r="A628" s="24">
        <v>2486</v>
      </c>
      <c r="B628" s="24">
        <v>813842</v>
      </c>
      <c r="C628" s="24" t="s">
        <v>1323</v>
      </c>
      <c r="D628" s="24">
        <v>520</v>
      </c>
    </row>
    <row r="629" spans="1:4" x14ac:dyDescent="0.25">
      <c r="A629" s="24">
        <v>2103</v>
      </c>
      <c r="B629" s="24">
        <v>813851</v>
      </c>
      <c r="C629" s="24" t="s">
        <v>1324</v>
      </c>
      <c r="D629" s="24">
        <v>521</v>
      </c>
    </row>
    <row r="630" spans="1:4" x14ac:dyDescent="0.25">
      <c r="A630" s="24">
        <v>1536</v>
      </c>
      <c r="B630" s="24">
        <v>813877</v>
      </c>
      <c r="C630" s="24" t="s">
        <v>1325</v>
      </c>
      <c r="D630" s="24">
        <v>522</v>
      </c>
    </row>
    <row r="631" spans="1:4" x14ac:dyDescent="0.25">
      <c r="A631" s="24">
        <v>85</v>
      </c>
      <c r="B631" s="24">
        <v>813893</v>
      </c>
      <c r="C631" s="24" t="s">
        <v>1326</v>
      </c>
      <c r="D631" s="24">
        <v>523</v>
      </c>
    </row>
    <row r="632" spans="1:4" x14ac:dyDescent="0.25">
      <c r="A632" s="24">
        <v>468</v>
      </c>
      <c r="B632" s="24">
        <v>813907</v>
      </c>
      <c r="C632" s="24" t="s">
        <v>1327</v>
      </c>
      <c r="D632" s="24">
        <v>524</v>
      </c>
    </row>
    <row r="633" spans="1:4" x14ac:dyDescent="0.25">
      <c r="A633" s="24">
        <v>1852</v>
      </c>
      <c r="B633" s="24">
        <v>813915</v>
      </c>
      <c r="C633" s="24" t="s">
        <v>1328</v>
      </c>
      <c r="D633" s="24">
        <v>525</v>
      </c>
    </row>
    <row r="634" spans="1:4" x14ac:dyDescent="0.25">
      <c r="A634" s="24">
        <v>2802</v>
      </c>
      <c r="B634" s="24">
        <v>813923</v>
      </c>
      <c r="C634" s="24" t="s">
        <v>1329</v>
      </c>
      <c r="D634" s="24">
        <v>526</v>
      </c>
    </row>
    <row r="635" spans="1:4" x14ac:dyDescent="0.25">
      <c r="A635" s="24">
        <v>195</v>
      </c>
      <c r="B635" s="24">
        <v>813931</v>
      </c>
      <c r="C635" s="24" t="s">
        <v>1330</v>
      </c>
      <c r="D635" s="24">
        <v>527</v>
      </c>
    </row>
    <row r="636" spans="1:4" x14ac:dyDescent="0.25">
      <c r="A636" s="24">
        <v>2580</v>
      </c>
      <c r="B636" s="24">
        <v>813958</v>
      </c>
      <c r="C636" s="24" t="s">
        <v>1332</v>
      </c>
      <c r="D636" s="24">
        <v>528</v>
      </c>
    </row>
    <row r="637" spans="1:4" x14ac:dyDescent="0.25">
      <c r="A637" s="24">
        <v>825</v>
      </c>
      <c r="B637" s="24">
        <v>813966</v>
      </c>
      <c r="C637" s="24" t="s">
        <v>1333</v>
      </c>
      <c r="D637" s="24">
        <v>529</v>
      </c>
    </row>
    <row r="638" spans="1:4" x14ac:dyDescent="0.25">
      <c r="A638" s="24">
        <v>2721</v>
      </c>
      <c r="B638" s="24">
        <v>813991</v>
      </c>
      <c r="C638" s="24" t="s">
        <v>1335</v>
      </c>
      <c r="D638" s="24">
        <v>530</v>
      </c>
    </row>
    <row r="639" spans="1:4" x14ac:dyDescent="0.25">
      <c r="A639" s="24">
        <v>478</v>
      </c>
      <c r="B639" s="24">
        <v>814024</v>
      </c>
      <c r="C639" s="24" t="s">
        <v>1336</v>
      </c>
      <c r="D639" s="24">
        <v>531</v>
      </c>
    </row>
    <row r="640" spans="1:4" x14ac:dyDescent="0.25">
      <c r="A640" s="24">
        <v>1397</v>
      </c>
      <c r="B640" s="24">
        <v>848689</v>
      </c>
      <c r="C640" s="24" t="s">
        <v>2923</v>
      </c>
      <c r="D640" s="24">
        <v>531</v>
      </c>
    </row>
    <row r="641" spans="1:4" x14ac:dyDescent="0.25">
      <c r="A641" s="24">
        <v>1558</v>
      </c>
      <c r="B641" s="24">
        <v>871699</v>
      </c>
      <c r="C641" s="24" t="s">
        <v>1336</v>
      </c>
      <c r="D641" s="24">
        <v>532</v>
      </c>
    </row>
    <row r="642" spans="1:4" x14ac:dyDescent="0.25">
      <c r="A642" s="24">
        <v>2839</v>
      </c>
      <c r="B642" s="24">
        <v>871702</v>
      </c>
      <c r="C642" s="24" t="s">
        <v>3942</v>
      </c>
      <c r="D642" s="24">
        <v>532</v>
      </c>
    </row>
    <row r="643" spans="1:4" x14ac:dyDescent="0.25">
      <c r="A643" s="24">
        <v>281</v>
      </c>
      <c r="B643" s="24">
        <v>814148</v>
      </c>
      <c r="C643" s="24" t="s">
        <v>1339</v>
      </c>
      <c r="D643" s="24">
        <v>533</v>
      </c>
    </row>
    <row r="644" spans="1:4" x14ac:dyDescent="0.25">
      <c r="A644" s="24">
        <v>1411</v>
      </c>
      <c r="B644" s="24">
        <v>814172</v>
      </c>
      <c r="C644" s="24" t="s">
        <v>1341</v>
      </c>
      <c r="D644" s="24">
        <v>534</v>
      </c>
    </row>
    <row r="645" spans="1:4" x14ac:dyDescent="0.25">
      <c r="A645" s="24">
        <v>21</v>
      </c>
      <c r="B645" s="24">
        <v>814181</v>
      </c>
      <c r="C645" s="24" t="s">
        <v>1342</v>
      </c>
      <c r="D645" s="24">
        <v>535</v>
      </c>
    </row>
    <row r="646" spans="1:4" x14ac:dyDescent="0.25">
      <c r="A646" s="24">
        <v>3264</v>
      </c>
      <c r="B646" s="24">
        <v>814199</v>
      </c>
      <c r="C646" s="24" t="s">
        <v>1343</v>
      </c>
      <c r="D646" s="24">
        <v>536</v>
      </c>
    </row>
    <row r="647" spans="1:4" x14ac:dyDescent="0.25">
      <c r="A647" s="24">
        <v>1709</v>
      </c>
      <c r="B647" s="24">
        <v>814202</v>
      </c>
      <c r="C647" s="24" t="s">
        <v>1344</v>
      </c>
      <c r="D647" s="24">
        <v>537</v>
      </c>
    </row>
    <row r="648" spans="1:4" x14ac:dyDescent="0.25">
      <c r="A648" s="24">
        <v>843</v>
      </c>
      <c r="B648" s="24">
        <v>814211</v>
      </c>
      <c r="C648" s="24" t="s">
        <v>1345</v>
      </c>
      <c r="D648" s="24">
        <v>538</v>
      </c>
    </row>
    <row r="649" spans="1:4" x14ac:dyDescent="0.25">
      <c r="A649" s="24">
        <v>1288</v>
      </c>
      <c r="B649" s="24">
        <v>814229</v>
      </c>
      <c r="C649" s="24" t="s">
        <v>1346</v>
      </c>
      <c r="D649" s="24">
        <v>539</v>
      </c>
    </row>
    <row r="650" spans="1:4" x14ac:dyDescent="0.25">
      <c r="A650" s="24">
        <v>287</v>
      </c>
      <c r="B650" s="24">
        <v>814237</v>
      </c>
      <c r="C650" s="24" t="s">
        <v>1347</v>
      </c>
      <c r="D650" s="24">
        <v>540</v>
      </c>
    </row>
    <row r="651" spans="1:4" x14ac:dyDescent="0.25">
      <c r="A651" s="24">
        <v>556</v>
      </c>
      <c r="B651" s="24">
        <v>814296</v>
      </c>
      <c r="C651" s="24" t="s">
        <v>1348</v>
      </c>
      <c r="D651" s="24">
        <v>541</v>
      </c>
    </row>
    <row r="652" spans="1:4" x14ac:dyDescent="0.25">
      <c r="A652" s="24">
        <v>219</v>
      </c>
      <c r="B652" s="24">
        <v>814334</v>
      </c>
      <c r="C652" s="24" t="s">
        <v>1349</v>
      </c>
      <c r="D652" s="24">
        <v>542</v>
      </c>
    </row>
    <row r="653" spans="1:4" x14ac:dyDescent="0.25">
      <c r="A653" s="24">
        <v>3188</v>
      </c>
      <c r="B653" s="24">
        <v>814351</v>
      </c>
      <c r="C653" s="24" t="s">
        <v>1350</v>
      </c>
      <c r="D653" s="24">
        <v>543</v>
      </c>
    </row>
    <row r="654" spans="1:4" x14ac:dyDescent="0.25">
      <c r="A654" s="24">
        <v>1599</v>
      </c>
      <c r="B654" s="24">
        <v>814369</v>
      </c>
      <c r="C654" s="24" t="s">
        <v>1351</v>
      </c>
      <c r="D654" s="24">
        <v>544</v>
      </c>
    </row>
    <row r="655" spans="1:4" x14ac:dyDescent="0.25">
      <c r="A655" s="24">
        <v>618</v>
      </c>
      <c r="B655" s="24">
        <v>814377</v>
      </c>
      <c r="C655" s="24" t="s">
        <v>1352</v>
      </c>
      <c r="D655" s="24">
        <v>545</v>
      </c>
    </row>
    <row r="656" spans="1:4" x14ac:dyDescent="0.25">
      <c r="A656" s="24">
        <v>920</v>
      </c>
      <c r="B656" s="24">
        <v>814385</v>
      </c>
      <c r="C656" s="24" t="s">
        <v>1353</v>
      </c>
      <c r="D656" s="24">
        <v>546</v>
      </c>
    </row>
    <row r="657" spans="1:4" x14ac:dyDescent="0.25">
      <c r="A657" s="24">
        <v>2313</v>
      </c>
      <c r="B657" s="24">
        <v>814393</v>
      </c>
      <c r="C657" s="24" t="s">
        <v>1354</v>
      </c>
      <c r="D657" s="24">
        <v>547</v>
      </c>
    </row>
    <row r="658" spans="1:4" x14ac:dyDescent="0.25">
      <c r="A658" s="24">
        <v>172</v>
      </c>
      <c r="B658" s="24">
        <v>814415</v>
      </c>
      <c r="C658" s="24" t="s">
        <v>1355</v>
      </c>
      <c r="D658" s="24">
        <v>548</v>
      </c>
    </row>
    <row r="659" spans="1:4" x14ac:dyDescent="0.25">
      <c r="A659" s="24">
        <v>945</v>
      </c>
      <c r="B659" s="24">
        <v>814423</v>
      </c>
      <c r="C659" s="24" t="s">
        <v>1356</v>
      </c>
      <c r="D659" s="24">
        <v>549</v>
      </c>
    </row>
    <row r="660" spans="1:4" x14ac:dyDescent="0.25">
      <c r="A660" s="24">
        <v>1939</v>
      </c>
      <c r="B660" s="24">
        <v>814440</v>
      </c>
      <c r="C660" s="24" t="s">
        <v>1357</v>
      </c>
      <c r="D660" s="24">
        <v>550</v>
      </c>
    </row>
    <row r="661" spans="1:4" x14ac:dyDescent="0.25">
      <c r="A661" s="24">
        <v>1074</v>
      </c>
      <c r="B661" s="24">
        <v>814474</v>
      </c>
      <c r="C661" s="24" t="s">
        <v>1358</v>
      </c>
      <c r="D661" s="24">
        <v>551</v>
      </c>
    </row>
    <row r="662" spans="1:4" x14ac:dyDescent="0.25">
      <c r="A662" s="24">
        <v>171</v>
      </c>
      <c r="B662" s="24">
        <v>814482</v>
      </c>
      <c r="C662" s="24" t="s">
        <v>1359</v>
      </c>
      <c r="D662" s="24">
        <v>552</v>
      </c>
    </row>
    <row r="663" spans="1:4" x14ac:dyDescent="0.25">
      <c r="A663" s="24">
        <v>444</v>
      </c>
      <c r="B663" s="24">
        <v>814539</v>
      </c>
      <c r="C663" s="24" t="s">
        <v>1361</v>
      </c>
      <c r="D663" s="24">
        <v>553</v>
      </c>
    </row>
    <row r="664" spans="1:4" x14ac:dyDescent="0.25">
      <c r="A664" s="24">
        <v>1473</v>
      </c>
      <c r="B664" s="24">
        <v>814504</v>
      </c>
      <c r="C664" s="24" t="s">
        <v>1360</v>
      </c>
      <c r="D664" s="24">
        <v>553</v>
      </c>
    </row>
    <row r="665" spans="1:4" x14ac:dyDescent="0.25">
      <c r="A665" s="24">
        <v>1992</v>
      </c>
      <c r="B665" s="24">
        <v>814610</v>
      </c>
      <c r="C665" s="24" t="s">
        <v>1362</v>
      </c>
      <c r="D665" s="24">
        <v>553</v>
      </c>
    </row>
    <row r="666" spans="1:4" x14ac:dyDescent="0.25">
      <c r="A666" s="24">
        <v>2398</v>
      </c>
      <c r="B666" s="24">
        <v>814628</v>
      </c>
      <c r="C666" s="24" t="s">
        <v>1363</v>
      </c>
      <c r="D666" s="24">
        <v>554</v>
      </c>
    </row>
    <row r="667" spans="1:4" x14ac:dyDescent="0.25">
      <c r="A667" s="24">
        <v>1877</v>
      </c>
      <c r="B667" s="24">
        <v>814636</v>
      </c>
      <c r="C667" s="24" t="s">
        <v>1364</v>
      </c>
      <c r="D667" s="24">
        <v>555</v>
      </c>
    </row>
    <row r="668" spans="1:4" x14ac:dyDescent="0.25">
      <c r="A668" s="24">
        <v>3459</v>
      </c>
      <c r="B668" s="24">
        <v>814644</v>
      </c>
      <c r="C668" s="24" t="s">
        <v>1365</v>
      </c>
      <c r="D668" s="24">
        <v>555</v>
      </c>
    </row>
    <row r="669" spans="1:4" x14ac:dyDescent="0.25">
      <c r="A669" s="24">
        <v>713</v>
      </c>
      <c r="B669" s="24">
        <v>814661</v>
      </c>
      <c r="C669" s="24" t="s">
        <v>1367</v>
      </c>
      <c r="D669" s="24">
        <v>556</v>
      </c>
    </row>
    <row r="670" spans="1:4" x14ac:dyDescent="0.25">
      <c r="A670" s="24">
        <v>2614</v>
      </c>
      <c r="B670" s="24">
        <v>814652</v>
      </c>
      <c r="C670" s="24" t="s">
        <v>1366</v>
      </c>
      <c r="D670" s="24">
        <v>556</v>
      </c>
    </row>
    <row r="671" spans="1:4" x14ac:dyDescent="0.25">
      <c r="A671" s="24">
        <v>2586</v>
      </c>
      <c r="B671" s="24">
        <v>814679</v>
      </c>
      <c r="C671" s="24" t="s">
        <v>1368</v>
      </c>
      <c r="D671" s="24">
        <v>557</v>
      </c>
    </row>
    <row r="672" spans="1:4" x14ac:dyDescent="0.25">
      <c r="A672" s="24">
        <v>2714</v>
      </c>
      <c r="B672" s="24">
        <v>814687</v>
      </c>
      <c r="C672" s="24" t="s">
        <v>1369</v>
      </c>
      <c r="D672" s="24">
        <v>558</v>
      </c>
    </row>
    <row r="673" spans="1:4" x14ac:dyDescent="0.25">
      <c r="A673" s="24">
        <v>622</v>
      </c>
      <c r="B673" s="24">
        <v>814717</v>
      </c>
      <c r="C673" s="24" t="s">
        <v>1370</v>
      </c>
      <c r="D673" s="24">
        <v>559</v>
      </c>
    </row>
    <row r="674" spans="1:4" x14ac:dyDescent="0.25">
      <c r="A674" s="24">
        <v>2628</v>
      </c>
      <c r="B674" s="24">
        <v>814733</v>
      </c>
      <c r="C674" s="24" t="s">
        <v>1371</v>
      </c>
      <c r="D674" s="24">
        <v>560</v>
      </c>
    </row>
    <row r="675" spans="1:4" x14ac:dyDescent="0.25">
      <c r="A675" s="24">
        <v>185</v>
      </c>
      <c r="B675" s="24">
        <v>814741</v>
      </c>
      <c r="C675" s="24" t="s">
        <v>1372</v>
      </c>
      <c r="D675" s="24">
        <v>561</v>
      </c>
    </row>
    <row r="676" spans="1:4" x14ac:dyDescent="0.25">
      <c r="A676" s="24">
        <v>1023</v>
      </c>
      <c r="B676" s="24">
        <v>814865</v>
      </c>
      <c r="C676" s="24" t="s">
        <v>1373</v>
      </c>
      <c r="D676" s="24">
        <v>562</v>
      </c>
    </row>
    <row r="677" spans="1:4" x14ac:dyDescent="0.25">
      <c r="A677" s="24">
        <v>2268</v>
      </c>
      <c r="B677" s="24">
        <v>814881</v>
      </c>
      <c r="C677" s="24" t="s">
        <v>1374</v>
      </c>
      <c r="D677" s="24">
        <v>563</v>
      </c>
    </row>
    <row r="678" spans="1:4" x14ac:dyDescent="0.25">
      <c r="A678" s="24">
        <v>1621</v>
      </c>
      <c r="B678" s="24">
        <v>814903</v>
      </c>
      <c r="C678" s="24" t="s">
        <v>1375</v>
      </c>
      <c r="D678" s="24">
        <v>564</v>
      </c>
    </row>
    <row r="679" spans="1:4" x14ac:dyDescent="0.25">
      <c r="A679" s="24">
        <v>3053</v>
      </c>
      <c r="B679" s="24">
        <v>814911</v>
      </c>
      <c r="C679" s="24" t="s">
        <v>1376</v>
      </c>
      <c r="D679" s="24">
        <v>565</v>
      </c>
    </row>
    <row r="680" spans="1:4" x14ac:dyDescent="0.25">
      <c r="A680" s="24">
        <v>656</v>
      </c>
      <c r="B680" s="24">
        <v>814938</v>
      </c>
      <c r="C680" s="24" t="s">
        <v>1377</v>
      </c>
      <c r="D680" s="24">
        <v>566</v>
      </c>
    </row>
    <row r="681" spans="1:4" x14ac:dyDescent="0.25">
      <c r="A681" s="24">
        <v>3108</v>
      </c>
      <c r="B681" s="24">
        <v>814954</v>
      </c>
      <c r="C681" s="24" t="s">
        <v>1378</v>
      </c>
      <c r="D681" s="24">
        <v>567</v>
      </c>
    </row>
    <row r="682" spans="1:4" x14ac:dyDescent="0.25">
      <c r="A682" s="24">
        <v>1002</v>
      </c>
      <c r="B682" s="24">
        <v>814971</v>
      </c>
      <c r="C682" s="24" t="s">
        <v>1379</v>
      </c>
      <c r="D682" s="24">
        <v>568</v>
      </c>
    </row>
    <row r="683" spans="1:4" x14ac:dyDescent="0.25">
      <c r="A683" s="24">
        <v>736</v>
      </c>
      <c r="B683" s="24">
        <v>814989</v>
      </c>
      <c r="C683" s="24" t="s">
        <v>1380</v>
      </c>
      <c r="D683" s="24">
        <v>569</v>
      </c>
    </row>
    <row r="684" spans="1:4" x14ac:dyDescent="0.25">
      <c r="A684" s="24">
        <v>1035</v>
      </c>
      <c r="B684" s="24">
        <v>815004</v>
      </c>
      <c r="C684" s="24" t="s">
        <v>1382</v>
      </c>
      <c r="D684" s="24">
        <v>570</v>
      </c>
    </row>
    <row r="685" spans="1:4" x14ac:dyDescent="0.25">
      <c r="A685" s="24">
        <v>2810</v>
      </c>
      <c r="B685" s="24">
        <v>814997</v>
      </c>
      <c r="C685" s="24" t="s">
        <v>1381</v>
      </c>
      <c r="D685" s="24">
        <v>570</v>
      </c>
    </row>
    <row r="686" spans="1:4" x14ac:dyDescent="0.25">
      <c r="A686" s="24">
        <v>3230</v>
      </c>
      <c r="B686" s="24">
        <v>815021</v>
      </c>
      <c r="C686" s="24" t="s">
        <v>1383</v>
      </c>
      <c r="D686" s="24">
        <v>571</v>
      </c>
    </row>
    <row r="687" spans="1:4" x14ac:dyDescent="0.25">
      <c r="A687" s="24">
        <v>466</v>
      </c>
      <c r="B687" s="24">
        <v>815047</v>
      </c>
      <c r="C687" s="24" t="s">
        <v>1385</v>
      </c>
      <c r="D687" s="24">
        <v>572</v>
      </c>
    </row>
    <row r="688" spans="1:4" x14ac:dyDescent="0.25">
      <c r="A688" s="24">
        <v>1314</v>
      </c>
      <c r="B688" s="24">
        <v>815039</v>
      </c>
      <c r="C688" s="24" t="s">
        <v>1384</v>
      </c>
      <c r="D688" s="24">
        <v>572</v>
      </c>
    </row>
    <row r="689" spans="1:4" x14ac:dyDescent="0.25">
      <c r="A689" s="24">
        <v>2010</v>
      </c>
      <c r="B689" s="24">
        <v>815055</v>
      </c>
      <c r="C689" s="24" t="s">
        <v>1386</v>
      </c>
      <c r="D689" s="24">
        <v>573</v>
      </c>
    </row>
    <row r="690" spans="1:4" x14ac:dyDescent="0.25">
      <c r="A690" s="24">
        <v>1945</v>
      </c>
      <c r="B690" s="24">
        <v>872512</v>
      </c>
      <c r="C690" s="24" t="s">
        <v>3967</v>
      </c>
      <c r="D690" s="24">
        <v>573</v>
      </c>
    </row>
    <row r="691" spans="1:4" x14ac:dyDescent="0.25">
      <c r="A691" s="24">
        <v>3191</v>
      </c>
      <c r="B691" s="24">
        <v>874035</v>
      </c>
      <c r="C691" s="24" t="s">
        <v>4045</v>
      </c>
      <c r="D691" s="24">
        <v>573</v>
      </c>
    </row>
    <row r="692" spans="1:4" x14ac:dyDescent="0.25">
      <c r="A692" s="24">
        <v>1615</v>
      </c>
      <c r="B692" s="24">
        <v>815071</v>
      </c>
      <c r="C692" s="24" t="s">
        <v>1387</v>
      </c>
      <c r="D692" s="24">
        <v>574</v>
      </c>
    </row>
    <row r="693" spans="1:4" x14ac:dyDescent="0.25">
      <c r="A693" s="24">
        <v>2887</v>
      </c>
      <c r="B693" s="24">
        <v>815098</v>
      </c>
      <c r="C693" s="24" t="s">
        <v>1387</v>
      </c>
      <c r="D693" s="24">
        <v>575</v>
      </c>
    </row>
    <row r="694" spans="1:4" x14ac:dyDescent="0.25">
      <c r="A694" s="24">
        <v>342</v>
      </c>
      <c r="B694" s="24">
        <v>815101</v>
      </c>
      <c r="C694" s="24" t="s">
        <v>1388</v>
      </c>
      <c r="D694" s="24">
        <v>576</v>
      </c>
    </row>
    <row r="695" spans="1:4" x14ac:dyDescent="0.25">
      <c r="A695" s="24">
        <v>1091</v>
      </c>
      <c r="B695" s="24">
        <v>950033</v>
      </c>
      <c r="C695" s="24" t="s">
        <v>4105</v>
      </c>
      <c r="D695" s="24">
        <v>577</v>
      </c>
    </row>
    <row r="696" spans="1:4" x14ac:dyDescent="0.25">
      <c r="A696" s="24">
        <v>1329</v>
      </c>
      <c r="B696" s="24">
        <v>815136</v>
      </c>
      <c r="C696" s="24" t="s">
        <v>1389</v>
      </c>
      <c r="D696" s="24">
        <v>577</v>
      </c>
    </row>
    <row r="697" spans="1:4" x14ac:dyDescent="0.25">
      <c r="A697" s="24">
        <v>2554</v>
      </c>
      <c r="B697" s="24">
        <v>815144</v>
      </c>
      <c r="C697" s="24" t="s">
        <v>1390</v>
      </c>
      <c r="D697" s="24">
        <v>578</v>
      </c>
    </row>
    <row r="698" spans="1:4" x14ac:dyDescent="0.25">
      <c r="A698" s="24">
        <v>918</v>
      </c>
      <c r="B698" s="24">
        <v>815152</v>
      </c>
      <c r="C698" s="24" t="s">
        <v>1391</v>
      </c>
      <c r="D698" s="24">
        <v>579</v>
      </c>
    </row>
    <row r="699" spans="1:4" x14ac:dyDescent="0.25">
      <c r="A699" s="24">
        <v>1166</v>
      </c>
      <c r="B699" s="24">
        <v>815179</v>
      </c>
      <c r="C699" s="24" t="s">
        <v>1392</v>
      </c>
      <c r="D699" s="24">
        <v>580</v>
      </c>
    </row>
    <row r="700" spans="1:4" x14ac:dyDescent="0.25">
      <c r="A700" s="24">
        <v>2663</v>
      </c>
      <c r="B700" s="24">
        <v>815187</v>
      </c>
      <c r="C700" s="24" t="s">
        <v>1393</v>
      </c>
      <c r="D700" s="24">
        <v>581</v>
      </c>
    </row>
    <row r="701" spans="1:4" x14ac:dyDescent="0.25">
      <c r="A701" s="24">
        <v>3453</v>
      </c>
      <c r="B701" s="24">
        <v>815195</v>
      </c>
      <c r="C701" s="24" t="s">
        <v>1394</v>
      </c>
      <c r="D701" s="24">
        <v>582</v>
      </c>
    </row>
    <row r="702" spans="1:4" x14ac:dyDescent="0.25">
      <c r="A702" s="24">
        <v>381</v>
      </c>
      <c r="B702" s="24">
        <v>815233</v>
      </c>
      <c r="C702" s="24" t="s">
        <v>1398</v>
      </c>
      <c r="D702" s="24">
        <v>583</v>
      </c>
    </row>
    <row r="703" spans="1:4" x14ac:dyDescent="0.25">
      <c r="A703" s="24">
        <v>695</v>
      </c>
      <c r="B703" s="24">
        <v>815225</v>
      </c>
      <c r="C703" s="24" t="s">
        <v>1397</v>
      </c>
      <c r="D703" s="24">
        <v>583</v>
      </c>
    </row>
    <row r="704" spans="1:4" x14ac:dyDescent="0.25">
      <c r="A704" s="24">
        <v>2990</v>
      </c>
      <c r="B704" s="24">
        <v>815217</v>
      </c>
      <c r="C704" s="24" t="s">
        <v>1396</v>
      </c>
      <c r="D704" s="24">
        <v>583</v>
      </c>
    </row>
    <row r="705" spans="1:4" x14ac:dyDescent="0.25">
      <c r="A705" s="24">
        <v>1304</v>
      </c>
      <c r="B705" s="24">
        <v>815250</v>
      </c>
      <c r="C705" s="24" t="s">
        <v>1399</v>
      </c>
      <c r="D705" s="24">
        <v>584</v>
      </c>
    </row>
    <row r="706" spans="1:4" x14ac:dyDescent="0.25">
      <c r="A706" s="24">
        <v>807</v>
      </c>
      <c r="B706" s="24">
        <v>815268</v>
      </c>
      <c r="C706" s="24" t="s">
        <v>1400</v>
      </c>
      <c r="D706" s="24">
        <v>585</v>
      </c>
    </row>
    <row r="707" spans="1:4" x14ac:dyDescent="0.25">
      <c r="A707" s="24">
        <v>2876</v>
      </c>
      <c r="B707" s="24">
        <v>815276</v>
      </c>
      <c r="C707" s="24" t="s">
        <v>1401</v>
      </c>
      <c r="D707" s="24">
        <v>586</v>
      </c>
    </row>
    <row r="708" spans="1:4" x14ac:dyDescent="0.25">
      <c r="A708" s="24">
        <v>758</v>
      </c>
      <c r="B708" s="24">
        <v>815284</v>
      </c>
      <c r="C708" s="24" t="s">
        <v>1402</v>
      </c>
      <c r="D708" s="24">
        <v>587</v>
      </c>
    </row>
    <row r="709" spans="1:4" x14ac:dyDescent="0.25">
      <c r="A709" s="24">
        <v>844</v>
      </c>
      <c r="B709" s="24">
        <v>815292</v>
      </c>
      <c r="C709" s="24" t="s">
        <v>1403</v>
      </c>
      <c r="D709" s="24">
        <v>588</v>
      </c>
    </row>
    <row r="710" spans="1:4" x14ac:dyDescent="0.25">
      <c r="A710" s="24">
        <v>1386</v>
      </c>
      <c r="B710" s="24">
        <v>856568</v>
      </c>
      <c r="C710" s="24" t="s">
        <v>3251</v>
      </c>
      <c r="D710" s="24">
        <v>589</v>
      </c>
    </row>
    <row r="711" spans="1:4" x14ac:dyDescent="0.25">
      <c r="A711" s="24">
        <v>2316</v>
      </c>
      <c r="B711" s="24">
        <v>815306</v>
      </c>
      <c r="C711" s="24" t="s">
        <v>1404</v>
      </c>
      <c r="D711" s="24">
        <v>590</v>
      </c>
    </row>
    <row r="712" spans="1:4" x14ac:dyDescent="0.25">
      <c r="A712" s="24">
        <v>1652</v>
      </c>
      <c r="B712" s="24">
        <v>815322</v>
      </c>
      <c r="C712" s="24" t="s">
        <v>1405</v>
      </c>
      <c r="D712" s="24">
        <v>591</v>
      </c>
    </row>
    <row r="713" spans="1:4" x14ac:dyDescent="0.25">
      <c r="A713" s="24">
        <v>818</v>
      </c>
      <c r="B713" s="24">
        <v>815331</v>
      </c>
      <c r="C713" s="24" t="s">
        <v>1406</v>
      </c>
      <c r="D713" s="24">
        <v>592</v>
      </c>
    </row>
    <row r="714" spans="1:4" x14ac:dyDescent="0.25">
      <c r="A714" s="24">
        <v>3553</v>
      </c>
      <c r="B714" s="24">
        <v>815365</v>
      </c>
      <c r="C714" s="24" t="s">
        <v>1407</v>
      </c>
      <c r="D714" s="24">
        <v>593</v>
      </c>
    </row>
    <row r="715" spans="1:4" x14ac:dyDescent="0.25">
      <c r="A715" s="24">
        <v>2891</v>
      </c>
      <c r="B715" s="24">
        <v>815381</v>
      </c>
      <c r="C715" s="24" t="s">
        <v>1409</v>
      </c>
      <c r="D715" s="24">
        <v>594</v>
      </c>
    </row>
    <row r="716" spans="1:4" x14ac:dyDescent="0.25">
      <c r="A716" s="24">
        <v>2661</v>
      </c>
      <c r="B716" s="24">
        <v>866008</v>
      </c>
      <c r="C716" s="24" t="s">
        <v>1409</v>
      </c>
      <c r="D716" s="24">
        <v>595</v>
      </c>
    </row>
    <row r="717" spans="1:4" x14ac:dyDescent="0.25">
      <c r="A717" s="24">
        <v>1016</v>
      </c>
      <c r="B717" s="24">
        <v>815390</v>
      </c>
      <c r="C717" s="24" t="s">
        <v>1410</v>
      </c>
      <c r="D717" s="24">
        <v>596</v>
      </c>
    </row>
    <row r="718" spans="1:4" x14ac:dyDescent="0.25">
      <c r="A718" s="24">
        <v>2006</v>
      </c>
      <c r="B718" s="24">
        <v>815411</v>
      </c>
      <c r="C718" s="24" t="s">
        <v>1411</v>
      </c>
      <c r="D718" s="24">
        <v>597</v>
      </c>
    </row>
    <row r="719" spans="1:4" x14ac:dyDescent="0.25">
      <c r="A719" s="24">
        <v>2300</v>
      </c>
      <c r="B719" s="24">
        <v>815446</v>
      </c>
      <c r="C719" s="24" t="s">
        <v>1412</v>
      </c>
      <c r="D719" s="24">
        <v>598</v>
      </c>
    </row>
    <row r="720" spans="1:4" x14ac:dyDescent="0.25">
      <c r="A720" s="24">
        <v>447</v>
      </c>
      <c r="B720" s="24">
        <v>815462</v>
      </c>
      <c r="C720" s="24" t="s">
        <v>1413</v>
      </c>
      <c r="D720" s="24">
        <v>599</v>
      </c>
    </row>
    <row r="721" spans="1:4" x14ac:dyDescent="0.25">
      <c r="A721" s="24">
        <v>228</v>
      </c>
      <c r="B721" s="24">
        <v>815471</v>
      </c>
      <c r="C721" s="24" t="s">
        <v>1414</v>
      </c>
      <c r="D721" s="24">
        <v>600</v>
      </c>
    </row>
    <row r="722" spans="1:4" x14ac:dyDescent="0.25">
      <c r="A722" s="24">
        <v>2192</v>
      </c>
      <c r="B722" s="24">
        <v>815501</v>
      </c>
      <c r="C722" s="24" t="s">
        <v>1416</v>
      </c>
      <c r="D722" s="24">
        <v>601</v>
      </c>
    </row>
    <row r="723" spans="1:4" x14ac:dyDescent="0.25">
      <c r="A723" s="24">
        <v>3522</v>
      </c>
      <c r="B723" s="24">
        <v>815578</v>
      </c>
      <c r="C723" s="24" t="s">
        <v>1417</v>
      </c>
      <c r="D723" s="24">
        <v>602</v>
      </c>
    </row>
    <row r="724" spans="1:4" x14ac:dyDescent="0.25">
      <c r="A724" s="24">
        <v>861</v>
      </c>
      <c r="B724" s="24">
        <v>803871</v>
      </c>
      <c r="C724" s="24" t="s">
        <v>925</v>
      </c>
      <c r="D724" s="24">
        <v>603</v>
      </c>
    </row>
    <row r="725" spans="1:4" x14ac:dyDescent="0.25">
      <c r="A725" s="24">
        <v>1100</v>
      </c>
      <c r="B725" s="24">
        <v>815594</v>
      </c>
      <c r="C725" s="24" t="s">
        <v>1419</v>
      </c>
      <c r="D725" s="24">
        <v>604</v>
      </c>
    </row>
    <row r="726" spans="1:4" x14ac:dyDescent="0.25">
      <c r="A726" s="24">
        <v>1101</v>
      </c>
      <c r="B726" s="24">
        <v>838501</v>
      </c>
      <c r="C726" s="24" t="s">
        <v>2503</v>
      </c>
      <c r="D726" s="24">
        <v>605</v>
      </c>
    </row>
    <row r="727" spans="1:4" x14ac:dyDescent="0.25">
      <c r="A727" s="24">
        <v>2637</v>
      </c>
      <c r="B727" s="24">
        <v>815608</v>
      </c>
      <c r="C727" s="24" t="s">
        <v>1420</v>
      </c>
      <c r="D727" s="24">
        <v>605</v>
      </c>
    </row>
    <row r="728" spans="1:4" x14ac:dyDescent="0.25">
      <c r="A728" s="24">
        <v>1183</v>
      </c>
      <c r="B728" s="24">
        <v>841803</v>
      </c>
      <c r="C728" s="24" t="s">
        <v>2644</v>
      </c>
      <c r="D728" s="24">
        <v>605</v>
      </c>
    </row>
    <row r="729" spans="1:4" x14ac:dyDescent="0.25">
      <c r="A729" s="24">
        <v>985</v>
      </c>
      <c r="B729" s="24">
        <v>815675</v>
      </c>
      <c r="C729" s="24" t="s">
        <v>1421</v>
      </c>
      <c r="D729" s="24">
        <v>606</v>
      </c>
    </row>
    <row r="730" spans="1:4" x14ac:dyDescent="0.25">
      <c r="A730" s="24">
        <v>1905</v>
      </c>
      <c r="B730" s="24">
        <v>815705</v>
      </c>
      <c r="C730" s="24" t="s">
        <v>1422</v>
      </c>
      <c r="D730" s="24">
        <v>607</v>
      </c>
    </row>
    <row r="731" spans="1:4" x14ac:dyDescent="0.25">
      <c r="A731" s="24">
        <v>2633</v>
      </c>
      <c r="B731" s="24">
        <v>815691</v>
      </c>
      <c r="C731" s="24" t="s">
        <v>1422</v>
      </c>
      <c r="D731" s="24">
        <v>608</v>
      </c>
    </row>
    <row r="732" spans="1:4" x14ac:dyDescent="0.25">
      <c r="A732" s="24">
        <v>1520</v>
      </c>
      <c r="B732" s="24">
        <v>815713</v>
      </c>
      <c r="C732" s="24" t="s">
        <v>1423</v>
      </c>
      <c r="D732" s="24">
        <v>609</v>
      </c>
    </row>
    <row r="733" spans="1:4" x14ac:dyDescent="0.25">
      <c r="A733" s="24">
        <v>876</v>
      </c>
      <c r="B733" s="24">
        <v>815721</v>
      </c>
      <c r="C733" s="24" t="s">
        <v>1424</v>
      </c>
      <c r="D733" s="24">
        <v>610</v>
      </c>
    </row>
    <row r="734" spans="1:4" x14ac:dyDescent="0.25">
      <c r="A734" s="24">
        <v>2683</v>
      </c>
      <c r="B734" s="24">
        <v>815730</v>
      </c>
      <c r="C734" s="24" t="s">
        <v>1424</v>
      </c>
      <c r="D734" s="24">
        <v>611</v>
      </c>
    </row>
    <row r="735" spans="1:4" x14ac:dyDescent="0.25">
      <c r="A735" s="24">
        <v>834</v>
      </c>
      <c r="B735" s="24">
        <v>815748</v>
      </c>
      <c r="C735" s="24" t="s">
        <v>1425</v>
      </c>
      <c r="D735" s="24">
        <v>612</v>
      </c>
    </row>
    <row r="736" spans="1:4" x14ac:dyDescent="0.25">
      <c r="A736" s="24">
        <v>2908</v>
      </c>
      <c r="B736" s="24">
        <v>815764</v>
      </c>
      <c r="C736" s="24" t="s">
        <v>1426</v>
      </c>
      <c r="D736" s="24">
        <v>613</v>
      </c>
    </row>
    <row r="737" spans="1:4" x14ac:dyDescent="0.25">
      <c r="A737" s="24">
        <v>2334</v>
      </c>
      <c r="B737" s="24">
        <v>815772</v>
      </c>
      <c r="C737" s="24" t="s">
        <v>1427</v>
      </c>
      <c r="D737" s="24">
        <v>614</v>
      </c>
    </row>
    <row r="738" spans="1:4" x14ac:dyDescent="0.25">
      <c r="A738" s="24">
        <v>114</v>
      </c>
      <c r="B738" s="24">
        <v>815781</v>
      </c>
      <c r="C738" s="24" t="s">
        <v>1428</v>
      </c>
      <c r="D738" s="24">
        <v>615</v>
      </c>
    </row>
    <row r="739" spans="1:4" x14ac:dyDescent="0.25">
      <c r="A739" s="24">
        <v>1901</v>
      </c>
      <c r="B739" s="24">
        <v>815799</v>
      </c>
      <c r="C739" s="24" t="s">
        <v>1429</v>
      </c>
      <c r="D739" s="24">
        <v>616</v>
      </c>
    </row>
    <row r="740" spans="1:4" x14ac:dyDescent="0.25">
      <c r="A740" s="24">
        <v>3341</v>
      </c>
      <c r="B740" s="24">
        <v>815918</v>
      </c>
      <c r="C740" s="24" t="s">
        <v>1431</v>
      </c>
      <c r="D740" s="24">
        <v>617</v>
      </c>
    </row>
    <row r="741" spans="1:4" x14ac:dyDescent="0.25">
      <c r="A741" s="24">
        <v>3451</v>
      </c>
      <c r="B741" s="24">
        <v>815926</v>
      </c>
      <c r="C741" s="24" t="s">
        <v>1432</v>
      </c>
      <c r="D741" s="24">
        <v>618</v>
      </c>
    </row>
    <row r="742" spans="1:4" x14ac:dyDescent="0.25">
      <c r="A742" s="24">
        <v>2828</v>
      </c>
      <c r="B742" s="24">
        <v>815942</v>
      </c>
      <c r="C742" s="24" t="s">
        <v>1433</v>
      </c>
      <c r="D742" s="24">
        <v>619</v>
      </c>
    </row>
    <row r="743" spans="1:4" x14ac:dyDescent="0.25">
      <c r="A743" s="24">
        <v>2709</v>
      </c>
      <c r="B743" s="24">
        <v>815951</v>
      </c>
      <c r="C743" s="24" t="s">
        <v>1434</v>
      </c>
      <c r="D743" s="24">
        <v>620</v>
      </c>
    </row>
    <row r="744" spans="1:4" x14ac:dyDescent="0.25">
      <c r="A744" s="24">
        <v>3301</v>
      </c>
      <c r="B744" s="24">
        <v>815969</v>
      </c>
      <c r="C744" s="24" t="s">
        <v>1435</v>
      </c>
      <c r="D744" s="24">
        <v>621</v>
      </c>
    </row>
    <row r="745" spans="1:4" x14ac:dyDescent="0.25">
      <c r="A745" s="24">
        <v>1616</v>
      </c>
      <c r="B745" s="24">
        <v>815977</v>
      </c>
      <c r="C745" s="24" t="s">
        <v>1436</v>
      </c>
      <c r="D745" s="24">
        <v>622</v>
      </c>
    </row>
    <row r="746" spans="1:4" x14ac:dyDescent="0.25">
      <c r="A746" s="24">
        <v>3125</v>
      </c>
      <c r="B746" s="24">
        <v>823317</v>
      </c>
      <c r="C746" s="24" t="s">
        <v>1818</v>
      </c>
      <c r="D746" s="24">
        <v>623</v>
      </c>
    </row>
    <row r="747" spans="1:4" x14ac:dyDescent="0.25">
      <c r="A747" s="24">
        <v>2880</v>
      </c>
      <c r="B747" s="24">
        <v>815985</v>
      </c>
      <c r="C747" s="24" t="s">
        <v>1437</v>
      </c>
      <c r="D747" s="24">
        <v>624</v>
      </c>
    </row>
    <row r="748" spans="1:4" x14ac:dyDescent="0.25">
      <c r="A748" s="24">
        <v>2244</v>
      </c>
      <c r="B748" s="24">
        <v>816001</v>
      </c>
      <c r="C748" s="24" t="s">
        <v>1438</v>
      </c>
      <c r="D748" s="24">
        <v>625</v>
      </c>
    </row>
    <row r="749" spans="1:4" x14ac:dyDescent="0.25">
      <c r="A749" s="24">
        <v>1589</v>
      </c>
      <c r="B749" s="24">
        <v>816019</v>
      </c>
      <c r="C749" s="24" t="s">
        <v>1439</v>
      </c>
      <c r="D749" s="24">
        <v>626</v>
      </c>
    </row>
    <row r="750" spans="1:4" x14ac:dyDescent="0.25">
      <c r="A750" s="24">
        <v>1935</v>
      </c>
      <c r="B750" s="24">
        <v>816027</v>
      </c>
      <c r="C750" s="24" t="s">
        <v>1440</v>
      </c>
      <c r="D750" s="24">
        <v>627</v>
      </c>
    </row>
    <row r="751" spans="1:4" x14ac:dyDescent="0.25">
      <c r="A751" s="24">
        <v>694</v>
      </c>
      <c r="B751" s="24">
        <v>816035</v>
      </c>
      <c r="C751" s="24" t="s">
        <v>1441</v>
      </c>
      <c r="D751" s="24">
        <v>628</v>
      </c>
    </row>
    <row r="752" spans="1:4" x14ac:dyDescent="0.25">
      <c r="A752" s="24">
        <v>3024</v>
      </c>
      <c r="B752" s="24">
        <v>816043</v>
      </c>
      <c r="C752" s="24" t="s">
        <v>1442</v>
      </c>
      <c r="D752" s="24">
        <v>629</v>
      </c>
    </row>
    <row r="753" spans="1:4" x14ac:dyDescent="0.25">
      <c r="A753" s="24">
        <v>705</v>
      </c>
      <c r="B753" s="24">
        <v>816051</v>
      </c>
      <c r="C753" s="24" t="s">
        <v>1443</v>
      </c>
      <c r="D753" s="24">
        <v>630</v>
      </c>
    </row>
    <row r="754" spans="1:4" x14ac:dyDescent="0.25">
      <c r="A754" s="24">
        <v>1042</v>
      </c>
      <c r="B754" s="24">
        <v>816078</v>
      </c>
      <c r="C754" s="24" t="s">
        <v>1445</v>
      </c>
      <c r="D754" s="24">
        <v>631</v>
      </c>
    </row>
    <row r="755" spans="1:4" x14ac:dyDescent="0.25">
      <c r="A755" s="24">
        <v>997</v>
      </c>
      <c r="B755" s="24">
        <v>816060</v>
      </c>
      <c r="C755" s="24" t="s">
        <v>1444</v>
      </c>
      <c r="D755" s="24">
        <v>631</v>
      </c>
    </row>
    <row r="756" spans="1:4" x14ac:dyDescent="0.25">
      <c r="A756" s="24">
        <v>2026</v>
      </c>
      <c r="B756" s="24">
        <v>816086</v>
      </c>
      <c r="C756" s="24" t="s">
        <v>1446</v>
      </c>
      <c r="D756" s="24">
        <v>632</v>
      </c>
    </row>
    <row r="757" spans="1:4" x14ac:dyDescent="0.25">
      <c r="A757" s="24">
        <v>2071</v>
      </c>
      <c r="B757" s="24">
        <v>816094</v>
      </c>
      <c r="C757" s="24" t="s">
        <v>1447</v>
      </c>
      <c r="D757" s="24">
        <v>633</v>
      </c>
    </row>
    <row r="758" spans="1:4" x14ac:dyDescent="0.25">
      <c r="A758" s="24">
        <v>926</v>
      </c>
      <c r="B758" s="24">
        <v>816108</v>
      </c>
      <c r="C758" s="24" t="s">
        <v>1448</v>
      </c>
      <c r="D758" s="24">
        <v>634</v>
      </c>
    </row>
    <row r="759" spans="1:4" x14ac:dyDescent="0.25">
      <c r="A759" s="24">
        <v>993</v>
      </c>
      <c r="B759" s="24">
        <v>816116</v>
      </c>
      <c r="C759" s="24" t="s">
        <v>1449</v>
      </c>
      <c r="D759" s="24">
        <v>635</v>
      </c>
    </row>
    <row r="760" spans="1:4" x14ac:dyDescent="0.25">
      <c r="A760" s="24">
        <v>62</v>
      </c>
      <c r="B760" s="24">
        <v>816124</v>
      </c>
      <c r="C760" s="24" t="s">
        <v>1450</v>
      </c>
      <c r="D760" s="24">
        <v>636</v>
      </c>
    </row>
    <row r="761" spans="1:4" x14ac:dyDescent="0.25">
      <c r="A761" s="24">
        <v>3165</v>
      </c>
      <c r="B761" s="24">
        <v>816132</v>
      </c>
      <c r="C761" s="24" t="s">
        <v>1451</v>
      </c>
      <c r="D761" s="24">
        <v>637</v>
      </c>
    </row>
    <row r="762" spans="1:4" x14ac:dyDescent="0.25">
      <c r="A762" s="24">
        <v>2894</v>
      </c>
      <c r="B762" s="24">
        <v>816159</v>
      </c>
      <c r="C762" s="24" t="s">
        <v>1452</v>
      </c>
      <c r="D762" s="24">
        <v>638</v>
      </c>
    </row>
    <row r="763" spans="1:4" x14ac:dyDescent="0.25">
      <c r="A763" s="24">
        <v>873</v>
      </c>
      <c r="B763" s="24">
        <v>816175</v>
      </c>
      <c r="C763" s="24" t="s">
        <v>1453</v>
      </c>
      <c r="D763" s="24">
        <v>639</v>
      </c>
    </row>
    <row r="764" spans="1:4" x14ac:dyDescent="0.25">
      <c r="A764" s="24">
        <v>2317</v>
      </c>
      <c r="B764" s="24">
        <v>816183</v>
      </c>
      <c r="C764" s="24" t="s">
        <v>1454</v>
      </c>
      <c r="D764" s="24">
        <v>640</v>
      </c>
    </row>
    <row r="765" spans="1:4" x14ac:dyDescent="0.25">
      <c r="A765" s="24">
        <v>1998</v>
      </c>
      <c r="B765" s="24">
        <v>816191</v>
      </c>
      <c r="C765" s="24" t="s">
        <v>1455</v>
      </c>
      <c r="D765" s="24">
        <v>641</v>
      </c>
    </row>
    <row r="766" spans="1:4" x14ac:dyDescent="0.25">
      <c r="A766" s="24">
        <v>373</v>
      </c>
      <c r="B766" s="24">
        <v>816221</v>
      </c>
      <c r="C766" s="24" t="s">
        <v>1456</v>
      </c>
      <c r="D766" s="24">
        <v>642</v>
      </c>
    </row>
    <row r="767" spans="1:4" x14ac:dyDescent="0.25">
      <c r="A767" s="24">
        <v>2980</v>
      </c>
      <c r="B767" s="24">
        <v>816230</v>
      </c>
      <c r="C767" s="24" t="s">
        <v>1457</v>
      </c>
      <c r="D767" s="24">
        <v>643</v>
      </c>
    </row>
    <row r="768" spans="1:4" x14ac:dyDescent="0.25">
      <c r="A768" s="24">
        <v>785</v>
      </c>
      <c r="B768" s="24">
        <v>816248</v>
      </c>
      <c r="C768" s="24" t="s">
        <v>1458</v>
      </c>
      <c r="D768" s="24">
        <v>644</v>
      </c>
    </row>
    <row r="769" spans="1:4" x14ac:dyDescent="0.25">
      <c r="A769" s="24">
        <v>1632</v>
      </c>
      <c r="B769" s="24">
        <v>861847</v>
      </c>
      <c r="C769" s="24" t="s">
        <v>3489</v>
      </c>
      <c r="D769" s="24">
        <v>644</v>
      </c>
    </row>
    <row r="770" spans="1:4" x14ac:dyDescent="0.25">
      <c r="A770" s="24">
        <v>1495</v>
      </c>
      <c r="B770" s="24">
        <v>816418</v>
      </c>
      <c r="C770" s="24" t="s">
        <v>1460</v>
      </c>
      <c r="D770" s="24">
        <v>645</v>
      </c>
    </row>
    <row r="771" spans="1:4" x14ac:dyDescent="0.25">
      <c r="A771" s="24">
        <v>148</v>
      </c>
      <c r="B771" s="24">
        <v>816434</v>
      </c>
      <c r="C771" s="24" t="s">
        <v>1461</v>
      </c>
      <c r="D771" s="24">
        <v>646</v>
      </c>
    </row>
    <row r="772" spans="1:4" x14ac:dyDescent="0.25">
      <c r="A772" s="24">
        <v>1380</v>
      </c>
      <c r="B772" s="24">
        <v>816477</v>
      </c>
      <c r="C772" s="24" t="s">
        <v>1462</v>
      </c>
      <c r="D772" s="24">
        <v>647</v>
      </c>
    </row>
    <row r="773" spans="1:4" x14ac:dyDescent="0.25">
      <c r="A773" s="24">
        <v>431</v>
      </c>
      <c r="B773" s="24">
        <v>816507</v>
      </c>
      <c r="C773" s="24" t="s">
        <v>1463</v>
      </c>
      <c r="D773" s="24">
        <v>648</v>
      </c>
    </row>
    <row r="774" spans="1:4" x14ac:dyDescent="0.25">
      <c r="A774" s="24">
        <v>244</v>
      </c>
      <c r="B774" s="24">
        <v>848026</v>
      </c>
      <c r="C774" s="24" t="s">
        <v>2902</v>
      </c>
      <c r="D774" s="24">
        <v>649</v>
      </c>
    </row>
    <row r="775" spans="1:4" x14ac:dyDescent="0.25">
      <c r="A775" s="24">
        <v>1590</v>
      </c>
      <c r="B775" s="24">
        <v>804011</v>
      </c>
      <c r="C775" s="24" t="s">
        <v>933</v>
      </c>
      <c r="D775" s="24">
        <v>649</v>
      </c>
    </row>
    <row r="776" spans="1:4" x14ac:dyDescent="0.25">
      <c r="A776" s="24">
        <v>3397</v>
      </c>
      <c r="B776" s="24">
        <v>816515</v>
      </c>
      <c r="C776" s="24" t="s">
        <v>1464</v>
      </c>
      <c r="D776" s="24">
        <v>649</v>
      </c>
    </row>
    <row r="777" spans="1:4" x14ac:dyDescent="0.25">
      <c r="A777" s="24">
        <v>3076</v>
      </c>
      <c r="B777" s="24">
        <v>815349</v>
      </c>
      <c r="C777" s="24" t="s">
        <v>1407</v>
      </c>
      <c r="D777" s="24">
        <v>649</v>
      </c>
    </row>
    <row r="778" spans="1:4" x14ac:dyDescent="0.25">
      <c r="A778" s="24">
        <v>1943</v>
      </c>
      <c r="B778" s="24">
        <v>816558</v>
      </c>
      <c r="C778" s="24" t="s">
        <v>1465</v>
      </c>
      <c r="D778" s="24">
        <v>650</v>
      </c>
    </row>
    <row r="779" spans="1:4" x14ac:dyDescent="0.25">
      <c r="A779" s="24">
        <v>449</v>
      </c>
      <c r="B779" s="24">
        <v>816566</v>
      </c>
      <c r="C779" s="24" t="s">
        <v>1466</v>
      </c>
      <c r="D779" s="24">
        <v>651</v>
      </c>
    </row>
    <row r="780" spans="1:4" x14ac:dyDescent="0.25">
      <c r="A780" s="24">
        <v>3403</v>
      </c>
      <c r="B780" s="24">
        <v>816574</v>
      </c>
      <c r="C780" s="24" t="s">
        <v>1467</v>
      </c>
      <c r="D780" s="24">
        <v>652</v>
      </c>
    </row>
    <row r="781" spans="1:4" x14ac:dyDescent="0.25">
      <c r="A781" s="24">
        <v>1966</v>
      </c>
      <c r="B781" s="24">
        <v>826189</v>
      </c>
      <c r="C781" s="24" t="s">
        <v>1926</v>
      </c>
      <c r="D781" s="24">
        <v>653</v>
      </c>
    </row>
    <row r="782" spans="1:4" x14ac:dyDescent="0.25">
      <c r="A782" s="24">
        <v>2500</v>
      </c>
      <c r="B782" s="24">
        <v>801461</v>
      </c>
      <c r="C782" s="24" t="s">
        <v>795</v>
      </c>
      <c r="D782" s="24">
        <v>653</v>
      </c>
    </row>
    <row r="783" spans="1:4" x14ac:dyDescent="0.25">
      <c r="A783" s="24">
        <v>3159</v>
      </c>
      <c r="B783" s="24">
        <v>811971</v>
      </c>
      <c r="C783" s="24" t="s">
        <v>1223</v>
      </c>
      <c r="D783" s="24">
        <v>653</v>
      </c>
    </row>
    <row r="784" spans="1:4" x14ac:dyDescent="0.25">
      <c r="A784" s="24">
        <v>2106</v>
      </c>
      <c r="B784" s="24">
        <v>816582</v>
      </c>
      <c r="C784" s="24" t="s">
        <v>1468</v>
      </c>
      <c r="D784" s="24">
        <v>654</v>
      </c>
    </row>
    <row r="785" spans="1:4" x14ac:dyDescent="0.25">
      <c r="A785" s="24">
        <v>3289</v>
      </c>
      <c r="B785" s="24">
        <v>816591</v>
      </c>
      <c r="C785" s="24" t="s">
        <v>1469</v>
      </c>
      <c r="D785" s="24">
        <v>655</v>
      </c>
    </row>
    <row r="786" spans="1:4" x14ac:dyDescent="0.25">
      <c r="A786" s="24">
        <v>173</v>
      </c>
      <c r="B786" s="24">
        <v>816612</v>
      </c>
      <c r="C786" s="24" t="s">
        <v>1470</v>
      </c>
      <c r="D786" s="24">
        <v>656</v>
      </c>
    </row>
    <row r="787" spans="1:4" x14ac:dyDescent="0.25">
      <c r="A787" s="24">
        <v>664</v>
      </c>
      <c r="B787" s="24">
        <v>816621</v>
      </c>
      <c r="C787" s="24" t="s">
        <v>1471</v>
      </c>
      <c r="D787" s="24">
        <v>656</v>
      </c>
    </row>
    <row r="788" spans="1:4" x14ac:dyDescent="0.25">
      <c r="A788" s="24">
        <v>1605</v>
      </c>
      <c r="B788" s="24">
        <v>816698</v>
      </c>
      <c r="C788" s="24" t="s">
        <v>1477</v>
      </c>
      <c r="D788" s="24">
        <v>657</v>
      </c>
    </row>
    <row r="789" spans="1:4" x14ac:dyDescent="0.25">
      <c r="A789" s="24">
        <v>1267</v>
      </c>
      <c r="B789" s="24">
        <v>816710</v>
      </c>
      <c r="C789" s="24" t="s">
        <v>1479</v>
      </c>
      <c r="D789" s="24">
        <v>657</v>
      </c>
    </row>
    <row r="790" spans="1:4" x14ac:dyDescent="0.25">
      <c r="A790" s="24">
        <v>675</v>
      </c>
      <c r="B790" s="24">
        <v>816701</v>
      </c>
      <c r="C790" s="24" t="s">
        <v>1478</v>
      </c>
      <c r="D790" s="24">
        <v>657</v>
      </c>
    </row>
    <row r="791" spans="1:4" x14ac:dyDescent="0.25">
      <c r="A791" s="24">
        <v>1772</v>
      </c>
      <c r="B791" s="24">
        <v>816647</v>
      </c>
      <c r="C791" s="24" t="s">
        <v>1473</v>
      </c>
      <c r="D791" s="24">
        <v>657</v>
      </c>
    </row>
    <row r="792" spans="1:4" x14ac:dyDescent="0.25">
      <c r="A792" s="24">
        <v>2136</v>
      </c>
      <c r="B792" s="24">
        <v>816663</v>
      </c>
      <c r="C792" s="24" t="s">
        <v>1475</v>
      </c>
      <c r="D792" s="24">
        <v>657</v>
      </c>
    </row>
    <row r="793" spans="1:4" x14ac:dyDescent="0.25">
      <c r="A793" s="24">
        <v>1687</v>
      </c>
      <c r="B793" s="24">
        <v>816680</v>
      </c>
      <c r="C793" s="24" t="s">
        <v>1476</v>
      </c>
      <c r="D793" s="24">
        <v>657</v>
      </c>
    </row>
    <row r="794" spans="1:4" x14ac:dyDescent="0.25">
      <c r="A794" s="24">
        <v>2584</v>
      </c>
      <c r="B794" s="24">
        <v>816639</v>
      </c>
      <c r="C794" s="24" t="s">
        <v>1472</v>
      </c>
      <c r="D794" s="24">
        <v>657</v>
      </c>
    </row>
    <row r="795" spans="1:4" x14ac:dyDescent="0.25">
      <c r="A795" s="24">
        <v>389</v>
      </c>
      <c r="B795" s="24">
        <v>816655</v>
      </c>
      <c r="C795" s="24" t="s">
        <v>1474</v>
      </c>
      <c r="D795" s="24">
        <v>657</v>
      </c>
    </row>
    <row r="796" spans="1:4" x14ac:dyDescent="0.25">
      <c r="A796" s="24">
        <v>274</v>
      </c>
      <c r="B796" s="24">
        <v>816728</v>
      </c>
      <c r="C796" s="24" t="s">
        <v>1480</v>
      </c>
      <c r="D796" s="24">
        <v>658</v>
      </c>
    </row>
    <row r="797" spans="1:4" x14ac:dyDescent="0.25">
      <c r="A797" s="24">
        <v>181</v>
      </c>
      <c r="B797" s="24">
        <v>816850</v>
      </c>
      <c r="C797" s="24" t="s">
        <v>1481</v>
      </c>
      <c r="D797" s="24">
        <v>659</v>
      </c>
    </row>
    <row r="798" spans="1:4" x14ac:dyDescent="0.25">
      <c r="A798" s="24">
        <v>3133</v>
      </c>
      <c r="B798" s="24">
        <v>816884</v>
      </c>
      <c r="C798" s="24" t="s">
        <v>1482</v>
      </c>
      <c r="D798" s="24">
        <v>660</v>
      </c>
    </row>
    <row r="799" spans="1:4" x14ac:dyDescent="0.25">
      <c r="A799" s="24">
        <v>2521</v>
      </c>
      <c r="B799" s="24">
        <v>816892</v>
      </c>
      <c r="C799" s="24" t="s">
        <v>1483</v>
      </c>
      <c r="D799" s="24">
        <v>661</v>
      </c>
    </row>
    <row r="800" spans="1:4" x14ac:dyDescent="0.25">
      <c r="A800" s="24">
        <v>845</v>
      </c>
      <c r="B800" s="24">
        <v>816906</v>
      </c>
      <c r="C800" s="24" t="s">
        <v>1484</v>
      </c>
      <c r="D800" s="24">
        <v>662</v>
      </c>
    </row>
    <row r="801" spans="1:4" x14ac:dyDescent="0.25">
      <c r="A801" s="24">
        <v>2974</v>
      </c>
      <c r="B801" s="24">
        <v>816914</v>
      </c>
      <c r="C801" s="24" t="s">
        <v>1485</v>
      </c>
      <c r="D801" s="24">
        <v>663</v>
      </c>
    </row>
    <row r="802" spans="1:4" x14ac:dyDescent="0.25">
      <c r="A802" s="24">
        <v>2259</v>
      </c>
      <c r="B802" s="24">
        <v>816922</v>
      </c>
      <c r="C802" s="24" t="s">
        <v>1486</v>
      </c>
      <c r="D802" s="24">
        <v>663</v>
      </c>
    </row>
    <row r="803" spans="1:4" x14ac:dyDescent="0.25">
      <c r="A803" s="24">
        <v>595</v>
      </c>
      <c r="B803" s="24">
        <v>816957</v>
      </c>
      <c r="C803" s="24" t="s">
        <v>1488</v>
      </c>
      <c r="D803" s="24">
        <v>664</v>
      </c>
    </row>
    <row r="804" spans="1:4" x14ac:dyDescent="0.25">
      <c r="A804" s="24">
        <v>3547</v>
      </c>
      <c r="B804" s="24">
        <v>816931</v>
      </c>
      <c r="C804" s="24" t="s">
        <v>1487</v>
      </c>
      <c r="D804" s="24">
        <v>664</v>
      </c>
    </row>
    <row r="805" spans="1:4" x14ac:dyDescent="0.25">
      <c r="A805" s="24">
        <v>3200</v>
      </c>
      <c r="B805" s="24">
        <v>855588</v>
      </c>
      <c r="C805" s="24" t="s">
        <v>3202</v>
      </c>
      <c r="D805" s="24">
        <v>664</v>
      </c>
    </row>
    <row r="806" spans="1:4" x14ac:dyDescent="0.25">
      <c r="A806" s="24">
        <v>867</v>
      </c>
      <c r="B806" s="24">
        <v>800457</v>
      </c>
      <c r="C806" s="24" t="s">
        <v>759</v>
      </c>
      <c r="D806" s="24">
        <v>665</v>
      </c>
    </row>
    <row r="807" spans="1:4" x14ac:dyDescent="0.25">
      <c r="A807" s="24">
        <v>2070</v>
      </c>
      <c r="B807" s="24">
        <v>860867</v>
      </c>
      <c r="C807" s="24" t="s">
        <v>3451</v>
      </c>
      <c r="D807" s="24">
        <v>665</v>
      </c>
    </row>
    <row r="808" spans="1:4" x14ac:dyDescent="0.25">
      <c r="A808" s="24">
        <v>1359</v>
      </c>
      <c r="B808" s="24">
        <v>860875</v>
      </c>
      <c r="C808" s="24" t="s">
        <v>3452</v>
      </c>
      <c r="D808" s="24">
        <v>665</v>
      </c>
    </row>
    <row r="809" spans="1:4" x14ac:dyDescent="0.25">
      <c r="A809" s="24">
        <v>3533</v>
      </c>
      <c r="B809" s="24">
        <v>816973</v>
      </c>
      <c r="C809" s="24" t="s">
        <v>1489</v>
      </c>
      <c r="D809" s="24">
        <v>665</v>
      </c>
    </row>
    <row r="810" spans="1:4" x14ac:dyDescent="0.25">
      <c r="A810" s="24">
        <v>3253</v>
      </c>
      <c r="B810" s="24">
        <v>814083</v>
      </c>
      <c r="C810" s="24" t="s">
        <v>1336</v>
      </c>
      <c r="D810" s="24">
        <v>665</v>
      </c>
    </row>
    <row r="811" spans="1:4" x14ac:dyDescent="0.25">
      <c r="A811" s="24">
        <v>2750</v>
      </c>
      <c r="B811" s="24">
        <v>862673</v>
      </c>
      <c r="C811" s="24" t="s">
        <v>3519</v>
      </c>
      <c r="D811" s="24">
        <v>666</v>
      </c>
    </row>
    <row r="812" spans="1:4" x14ac:dyDescent="0.25">
      <c r="A812" s="24">
        <v>2120</v>
      </c>
      <c r="B812" s="24">
        <v>817147</v>
      </c>
      <c r="C812" s="24" t="s">
        <v>1495</v>
      </c>
      <c r="D812" s="24">
        <v>667</v>
      </c>
    </row>
    <row r="813" spans="1:4" x14ac:dyDescent="0.25">
      <c r="A813" s="24">
        <v>2288</v>
      </c>
      <c r="B813" s="24">
        <v>817163</v>
      </c>
      <c r="C813" s="24" t="s">
        <v>1496</v>
      </c>
      <c r="D813" s="24">
        <v>668</v>
      </c>
    </row>
    <row r="814" spans="1:4" x14ac:dyDescent="0.25">
      <c r="A814" s="24">
        <v>339</v>
      </c>
      <c r="B814" s="24">
        <v>817171</v>
      </c>
      <c r="C814" s="24" t="s">
        <v>1497</v>
      </c>
      <c r="D814" s="24">
        <v>669</v>
      </c>
    </row>
    <row r="815" spans="1:4" x14ac:dyDescent="0.25">
      <c r="A815" s="24">
        <v>3497</v>
      </c>
      <c r="B815" s="24">
        <v>817180</v>
      </c>
      <c r="C815" s="24" t="s">
        <v>1498</v>
      </c>
      <c r="D815" s="24">
        <v>670</v>
      </c>
    </row>
    <row r="816" spans="1:4" x14ac:dyDescent="0.25">
      <c r="A816" s="24">
        <v>2432</v>
      </c>
      <c r="B816" s="24">
        <v>817201</v>
      </c>
      <c r="C816" s="24" t="s">
        <v>1499</v>
      </c>
      <c r="D816" s="24">
        <v>671</v>
      </c>
    </row>
    <row r="817" spans="1:4" x14ac:dyDescent="0.25">
      <c r="A817" s="24">
        <v>1754</v>
      </c>
      <c r="B817" s="24">
        <v>817210</v>
      </c>
      <c r="C817" s="24" t="s">
        <v>1499</v>
      </c>
      <c r="D817" s="24">
        <v>672</v>
      </c>
    </row>
    <row r="818" spans="1:4" x14ac:dyDescent="0.25">
      <c r="A818" s="24">
        <v>2273</v>
      </c>
      <c r="B818" s="24">
        <v>817287</v>
      </c>
      <c r="C818" s="24" t="s">
        <v>1500</v>
      </c>
      <c r="D818" s="24">
        <v>673</v>
      </c>
    </row>
    <row r="819" spans="1:4" x14ac:dyDescent="0.25">
      <c r="A819" s="24">
        <v>2212</v>
      </c>
      <c r="B819" s="24">
        <v>817457</v>
      </c>
      <c r="C819" s="24" t="s">
        <v>1501</v>
      </c>
      <c r="D819" s="24">
        <v>674</v>
      </c>
    </row>
    <row r="820" spans="1:4" x14ac:dyDescent="0.25">
      <c r="A820" s="24">
        <v>337</v>
      </c>
      <c r="B820" s="24">
        <v>817465</v>
      </c>
      <c r="C820" s="24" t="s">
        <v>1502</v>
      </c>
      <c r="D820" s="24">
        <v>675</v>
      </c>
    </row>
    <row r="821" spans="1:4" x14ac:dyDescent="0.25">
      <c r="A821" s="24">
        <v>571</v>
      </c>
      <c r="B821" s="24">
        <v>817511</v>
      </c>
      <c r="C821" s="24" t="s">
        <v>1505</v>
      </c>
      <c r="D821" s="24">
        <v>676</v>
      </c>
    </row>
    <row r="822" spans="1:4" x14ac:dyDescent="0.25">
      <c r="A822" s="24">
        <v>2086</v>
      </c>
      <c r="B822" s="24">
        <v>817490</v>
      </c>
      <c r="C822" s="24" t="s">
        <v>1503</v>
      </c>
      <c r="D822" s="24">
        <v>676</v>
      </c>
    </row>
    <row r="823" spans="1:4" x14ac:dyDescent="0.25">
      <c r="A823" s="24">
        <v>3102</v>
      </c>
      <c r="B823" s="24">
        <v>817503</v>
      </c>
      <c r="C823" s="24" t="s">
        <v>1504</v>
      </c>
      <c r="D823" s="24">
        <v>676</v>
      </c>
    </row>
    <row r="824" spans="1:4" x14ac:dyDescent="0.25">
      <c r="A824" s="24">
        <v>3454</v>
      </c>
      <c r="B824" s="24">
        <v>817571</v>
      </c>
      <c r="C824" s="24" t="s">
        <v>1507</v>
      </c>
      <c r="D824" s="24">
        <v>677</v>
      </c>
    </row>
    <row r="825" spans="1:4" x14ac:dyDescent="0.25">
      <c r="A825" s="24">
        <v>2481</v>
      </c>
      <c r="B825" s="24">
        <v>817589</v>
      </c>
      <c r="C825" s="24" t="s">
        <v>1508</v>
      </c>
      <c r="D825" s="24">
        <v>678</v>
      </c>
    </row>
    <row r="826" spans="1:4" x14ac:dyDescent="0.25">
      <c r="A826" s="24">
        <v>680</v>
      </c>
      <c r="B826" s="24">
        <v>817597</v>
      </c>
      <c r="C826" s="24" t="s">
        <v>1509</v>
      </c>
      <c r="D826" s="24">
        <v>679</v>
      </c>
    </row>
    <row r="827" spans="1:4" x14ac:dyDescent="0.25">
      <c r="A827" s="24">
        <v>1294</v>
      </c>
      <c r="B827" s="24">
        <v>817627</v>
      </c>
      <c r="C827" s="24" t="s">
        <v>1510</v>
      </c>
      <c r="D827" s="24">
        <v>680</v>
      </c>
    </row>
    <row r="828" spans="1:4" x14ac:dyDescent="0.25">
      <c r="A828" s="24">
        <v>1423</v>
      </c>
      <c r="B828" s="24">
        <v>817708</v>
      </c>
      <c r="C828" s="24" t="s">
        <v>1511</v>
      </c>
      <c r="D828" s="24">
        <v>681</v>
      </c>
    </row>
    <row r="829" spans="1:4" x14ac:dyDescent="0.25">
      <c r="A829" s="24">
        <v>406</v>
      </c>
      <c r="B829" s="24">
        <v>817805</v>
      </c>
      <c r="C829" s="24" t="s">
        <v>1514</v>
      </c>
      <c r="D829" s="24">
        <v>682</v>
      </c>
    </row>
    <row r="830" spans="1:4" x14ac:dyDescent="0.25">
      <c r="A830" s="24">
        <v>2510</v>
      </c>
      <c r="B830" s="24">
        <v>817830</v>
      </c>
      <c r="C830" s="24" t="s">
        <v>1514</v>
      </c>
      <c r="D830" s="24">
        <v>683</v>
      </c>
    </row>
    <row r="831" spans="1:4" x14ac:dyDescent="0.25">
      <c r="A831" s="24">
        <v>2713</v>
      </c>
      <c r="B831" s="24">
        <v>817848</v>
      </c>
      <c r="C831" s="24" t="s">
        <v>1515</v>
      </c>
      <c r="D831" s="24">
        <v>684</v>
      </c>
    </row>
    <row r="832" spans="1:4" x14ac:dyDescent="0.25">
      <c r="A832" s="24">
        <v>425</v>
      </c>
      <c r="B832" s="24">
        <v>817856</v>
      </c>
      <c r="C832" s="24" t="s">
        <v>1516</v>
      </c>
      <c r="D832" s="24">
        <v>685</v>
      </c>
    </row>
    <row r="833" spans="1:4" x14ac:dyDescent="0.25">
      <c r="A833" s="24">
        <v>2854</v>
      </c>
      <c r="B833" s="24">
        <v>817872</v>
      </c>
      <c r="C833" s="24" t="s">
        <v>1518</v>
      </c>
      <c r="D833" s="24">
        <v>686</v>
      </c>
    </row>
    <row r="834" spans="1:4" x14ac:dyDescent="0.25">
      <c r="A834" s="24">
        <v>1445</v>
      </c>
      <c r="B834" s="24">
        <v>817881</v>
      </c>
      <c r="C834" s="24" t="s">
        <v>1519</v>
      </c>
      <c r="D834" s="24">
        <v>687</v>
      </c>
    </row>
    <row r="835" spans="1:4" x14ac:dyDescent="0.25">
      <c r="A835" s="24">
        <v>1584</v>
      </c>
      <c r="B835" s="24">
        <v>817970</v>
      </c>
      <c r="C835" s="24" t="s">
        <v>1520</v>
      </c>
      <c r="D835" s="24">
        <v>688</v>
      </c>
    </row>
    <row r="836" spans="1:4" x14ac:dyDescent="0.25">
      <c r="A836" s="24">
        <v>2834</v>
      </c>
      <c r="B836" s="24">
        <v>817996</v>
      </c>
      <c r="C836" s="24" t="s">
        <v>1522</v>
      </c>
      <c r="D836" s="24">
        <v>689</v>
      </c>
    </row>
    <row r="837" spans="1:4" x14ac:dyDescent="0.25">
      <c r="A837" s="24">
        <v>1865</v>
      </c>
      <c r="B837" s="24">
        <v>818011</v>
      </c>
      <c r="C837" s="24" t="s">
        <v>1523</v>
      </c>
      <c r="D837" s="24">
        <v>690</v>
      </c>
    </row>
    <row r="838" spans="1:4" x14ac:dyDescent="0.25">
      <c r="A838" s="24">
        <v>1774</v>
      </c>
      <c r="B838" s="24">
        <v>864714</v>
      </c>
      <c r="C838" s="24" t="s">
        <v>3585</v>
      </c>
      <c r="D838" s="24">
        <v>691</v>
      </c>
    </row>
    <row r="839" spans="1:4" x14ac:dyDescent="0.25">
      <c r="A839" s="24">
        <v>3106</v>
      </c>
      <c r="B839" s="24">
        <v>818046</v>
      </c>
      <c r="C839" s="24" t="s">
        <v>1524</v>
      </c>
      <c r="D839" s="24">
        <v>692</v>
      </c>
    </row>
    <row r="840" spans="1:4" x14ac:dyDescent="0.25">
      <c r="A840" s="24">
        <v>286</v>
      </c>
      <c r="B840" s="24">
        <v>818089</v>
      </c>
      <c r="C840" s="24" t="s">
        <v>1525</v>
      </c>
      <c r="D840" s="24">
        <v>693</v>
      </c>
    </row>
    <row r="841" spans="1:4" x14ac:dyDescent="0.25">
      <c r="A841" s="24">
        <v>2753</v>
      </c>
      <c r="B841" s="24">
        <v>843083</v>
      </c>
      <c r="C841" s="24" t="s">
        <v>2681</v>
      </c>
      <c r="D841" s="24">
        <v>693</v>
      </c>
    </row>
    <row r="842" spans="1:4" x14ac:dyDescent="0.25">
      <c r="A842" s="24">
        <v>1675</v>
      </c>
      <c r="B842" s="24">
        <v>818097</v>
      </c>
      <c r="C842" s="24" t="s">
        <v>1526</v>
      </c>
      <c r="D842" s="24">
        <v>694</v>
      </c>
    </row>
    <row r="843" spans="1:4" x14ac:dyDescent="0.25">
      <c r="A843" s="24">
        <v>3221</v>
      </c>
      <c r="B843" s="24">
        <v>818127</v>
      </c>
      <c r="C843" s="24" t="s">
        <v>1527</v>
      </c>
      <c r="D843" s="24">
        <v>695</v>
      </c>
    </row>
    <row r="844" spans="1:4" x14ac:dyDescent="0.25">
      <c r="A844" s="24">
        <v>2987</v>
      </c>
      <c r="B844" s="24">
        <v>818143</v>
      </c>
      <c r="C844" s="24" t="s">
        <v>1529</v>
      </c>
      <c r="D844" s="24">
        <v>696</v>
      </c>
    </row>
    <row r="845" spans="1:4" x14ac:dyDescent="0.25">
      <c r="A845" s="24">
        <v>3449</v>
      </c>
      <c r="B845" s="24">
        <v>818160</v>
      </c>
      <c r="C845" s="24" t="s">
        <v>1530</v>
      </c>
      <c r="D845" s="24">
        <v>697</v>
      </c>
    </row>
    <row r="846" spans="1:4" x14ac:dyDescent="0.25">
      <c r="A846" s="24">
        <v>1715</v>
      </c>
      <c r="B846" s="24">
        <v>818178</v>
      </c>
      <c r="C846" s="24" t="s">
        <v>1531</v>
      </c>
      <c r="D846" s="24">
        <v>698</v>
      </c>
    </row>
    <row r="847" spans="1:4" x14ac:dyDescent="0.25">
      <c r="A847" s="24">
        <v>92</v>
      </c>
      <c r="B847" s="24">
        <v>818194</v>
      </c>
      <c r="C847" s="24" t="s">
        <v>1532</v>
      </c>
      <c r="D847" s="24">
        <v>699</v>
      </c>
    </row>
    <row r="848" spans="1:4" x14ac:dyDescent="0.25">
      <c r="A848" s="24">
        <v>877</v>
      </c>
      <c r="B848" s="24">
        <v>818216</v>
      </c>
      <c r="C848" s="24" t="s">
        <v>1533</v>
      </c>
      <c r="D848" s="24">
        <v>700</v>
      </c>
    </row>
    <row r="849" spans="1:4" x14ac:dyDescent="0.25">
      <c r="A849" s="24">
        <v>543</v>
      </c>
      <c r="B849" s="24">
        <v>818232</v>
      </c>
      <c r="C849" s="24" t="s">
        <v>1534</v>
      </c>
      <c r="D849" s="24">
        <v>701</v>
      </c>
    </row>
    <row r="850" spans="1:4" x14ac:dyDescent="0.25">
      <c r="A850" s="24">
        <v>731</v>
      </c>
      <c r="B850" s="24">
        <v>818241</v>
      </c>
      <c r="C850" s="24" t="s">
        <v>1535</v>
      </c>
      <c r="D850" s="24">
        <v>702</v>
      </c>
    </row>
    <row r="851" spans="1:4" x14ac:dyDescent="0.25">
      <c r="A851" s="24">
        <v>1348</v>
      </c>
      <c r="B851" s="24">
        <v>818259</v>
      </c>
      <c r="C851" s="24" t="s">
        <v>1536</v>
      </c>
      <c r="D851" s="24">
        <v>703</v>
      </c>
    </row>
    <row r="852" spans="1:4" x14ac:dyDescent="0.25">
      <c r="A852" s="24">
        <v>732</v>
      </c>
      <c r="B852" s="24">
        <v>818275</v>
      </c>
      <c r="C852" s="24" t="s">
        <v>1537</v>
      </c>
      <c r="D852" s="24">
        <v>704</v>
      </c>
    </row>
    <row r="853" spans="1:4" x14ac:dyDescent="0.25">
      <c r="A853" s="24">
        <v>2648</v>
      </c>
      <c r="B853" s="24">
        <v>818283</v>
      </c>
      <c r="C853" s="24" t="s">
        <v>1538</v>
      </c>
      <c r="D853" s="24">
        <v>705</v>
      </c>
    </row>
    <row r="854" spans="1:4" x14ac:dyDescent="0.25">
      <c r="A854" s="24">
        <v>2353</v>
      </c>
      <c r="B854" s="24">
        <v>818291</v>
      </c>
      <c r="C854" s="24" t="s">
        <v>1539</v>
      </c>
      <c r="D854" s="24">
        <v>706</v>
      </c>
    </row>
    <row r="855" spans="1:4" x14ac:dyDescent="0.25">
      <c r="A855" s="24">
        <v>1039</v>
      </c>
      <c r="B855" s="24">
        <v>818313</v>
      </c>
      <c r="C855" s="24" t="s">
        <v>1540</v>
      </c>
      <c r="D855" s="24">
        <v>707</v>
      </c>
    </row>
    <row r="856" spans="1:4" x14ac:dyDescent="0.25">
      <c r="A856" s="24">
        <v>2214</v>
      </c>
      <c r="B856" s="24">
        <v>818321</v>
      </c>
      <c r="C856" s="24" t="s">
        <v>1541</v>
      </c>
      <c r="D856" s="24">
        <v>708</v>
      </c>
    </row>
    <row r="857" spans="1:4" x14ac:dyDescent="0.25">
      <c r="A857" s="24">
        <v>415</v>
      </c>
      <c r="B857" s="24">
        <v>818356</v>
      </c>
      <c r="C857" s="24" t="s">
        <v>1543</v>
      </c>
      <c r="D857" s="24">
        <v>709</v>
      </c>
    </row>
    <row r="858" spans="1:4" x14ac:dyDescent="0.25">
      <c r="A858" s="24">
        <v>905</v>
      </c>
      <c r="B858" s="24">
        <v>818364</v>
      </c>
      <c r="C858" s="24" t="s">
        <v>1544</v>
      </c>
      <c r="D858" s="24">
        <v>709</v>
      </c>
    </row>
    <row r="859" spans="1:4" x14ac:dyDescent="0.25">
      <c r="A859" s="24">
        <v>3492</v>
      </c>
      <c r="B859" s="24">
        <v>818381</v>
      </c>
      <c r="C859" s="24" t="s">
        <v>1545</v>
      </c>
      <c r="D859" s="24">
        <v>710</v>
      </c>
    </row>
    <row r="860" spans="1:4" x14ac:dyDescent="0.25">
      <c r="A860" s="24">
        <v>2531</v>
      </c>
      <c r="B860" s="24">
        <v>818399</v>
      </c>
      <c r="C860" s="24" t="s">
        <v>1546</v>
      </c>
      <c r="D860" s="24">
        <v>711</v>
      </c>
    </row>
    <row r="861" spans="1:4" x14ac:dyDescent="0.25">
      <c r="A861" s="24">
        <v>1745</v>
      </c>
      <c r="B861" s="24">
        <v>818402</v>
      </c>
      <c r="C861" s="24" t="s">
        <v>1547</v>
      </c>
      <c r="D861" s="24">
        <v>712</v>
      </c>
    </row>
    <row r="862" spans="1:4" x14ac:dyDescent="0.25">
      <c r="A862" s="24">
        <v>956</v>
      </c>
      <c r="B862" s="24">
        <v>818437</v>
      </c>
      <c r="C862" s="24" t="s">
        <v>1550</v>
      </c>
      <c r="D862" s="24">
        <v>713</v>
      </c>
    </row>
    <row r="863" spans="1:4" x14ac:dyDescent="0.25">
      <c r="A863" s="24">
        <v>385</v>
      </c>
      <c r="B863" s="24">
        <v>818453</v>
      </c>
      <c r="C863" s="24" t="s">
        <v>1551</v>
      </c>
      <c r="D863" s="24">
        <v>714</v>
      </c>
    </row>
    <row r="864" spans="1:4" x14ac:dyDescent="0.25">
      <c r="A864" s="24">
        <v>2850</v>
      </c>
      <c r="B864" s="24">
        <v>812552</v>
      </c>
      <c r="C864" s="24" t="s">
        <v>1261</v>
      </c>
      <c r="D864" s="24">
        <v>714</v>
      </c>
    </row>
    <row r="865" spans="1:4" x14ac:dyDescent="0.25">
      <c r="A865" s="24">
        <v>2827</v>
      </c>
      <c r="B865" s="24">
        <v>818526</v>
      </c>
      <c r="C865" s="24" t="s">
        <v>1552</v>
      </c>
      <c r="D865" s="24">
        <v>715</v>
      </c>
    </row>
    <row r="866" spans="1:4" x14ac:dyDescent="0.25">
      <c r="A866" s="24">
        <v>3077</v>
      </c>
      <c r="B866" s="24">
        <v>875236</v>
      </c>
      <c r="C866" s="24" t="s">
        <v>4084</v>
      </c>
      <c r="D866" s="24">
        <v>715</v>
      </c>
    </row>
    <row r="867" spans="1:4" x14ac:dyDescent="0.25">
      <c r="A867" s="24">
        <v>3390</v>
      </c>
      <c r="B867" s="24">
        <v>818551</v>
      </c>
      <c r="C867" s="24" t="s">
        <v>1553</v>
      </c>
      <c r="D867" s="24">
        <v>716</v>
      </c>
    </row>
    <row r="868" spans="1:4" x14ac:dyDescent="0.25">
      <c r="A868" s="24">
        <v>1110</v>
      </c>
      <c r="B868" s="24">
        <v>818577</v>
      </c>
      <c r="C868" s="24" t="s">
        <v>1553</v>
      </c>
      <c r="D868" s="24">
        <v>717</v>
      </c>
    </row>
    <row r="869" spans="1:4" x14ac:dyDescent="0.25">
      <c r="A869" s="24">
        <v>475</v>
      </c>
      <c r="B869" s="24">
        <v>818607</v>
      </c>
      <c r="C869" s="24" t="s">
        <v>1555</v>
      </c>
      <c r="D869" s="24">
        <v>718</v>
      </c>
    </row>
    <row r="870" spans="1:4" x14ac:dyDescent="0.25">
      <c r="A870" s="24">
        <v>1637</v>
      </c>
      <c r="B870" s="24">
        <v>818615</v>
      </c>
      <c r="C870" s="24" t="s">
        <v>1556</v>
      </c>
      <c r="D870" s="24">
        <v>719</v>
      </c>
    </row>
    <row r="871" spans="1:4" x14ac:dyDescent="0.25">
      <c r="A871" s="24">
        <v>31</v>
      </c>
      <c r="B871" s="24">
        <v>818631</v>
      </c>
      <c r="C871" s="24" t="s">
        <v>1557</v>
      </c>
      <c r="D871" s="24">
        <v>720</v>
      </c>
    </row>
    <row r="872" spans="1:4" x14ac:dyDescent="0.25">
      <c r="A872" s="24">
        <v>76</v>
      </c>
      <c r="B872" s="24">
        <v>818640</v>
      </c>
      <c r="C872" s="24" t="s">
        <v>1558</v>
      </c>
      <c r="D872" s="24">
        <v>720</v>
      </c>
    </row>
    <row r="873" spans="1:4" x14ac:dyDescent="0.25">
      <c r="A873" s="24">
        <v>156</v>
      </c>
      <c r="B873" s="24">
        <v>818658</v>
      </c>
      <c r="C873" s="24" t="s">
        <v>1559</v>
      </c>
      <c r="D873" s="24">
        <v>721</v>
      </c>
    </row>
    <row r="874" spans="1:4" x14ac:dyDescent="0.25">
      <c r="A874" s="24">
        <v>2608</v>
      </c>
      <c r="B874" s="24">
        <v>818674</v>
      </c>
      <c r="C874" s="24" t="s">
        <v>1560</v>
      </c>
      <c r="D874" s="24">
        <v>722</v>
      </c>
    </row>
    <row r="875" spans="1:4" x14ac:dyDescent="0.25">
      <c r="A875" s="24">
        <v>3428</v>
      </c>
      <c r="B875" s="24">
        <v>818682</v>
      </c>
      <c r="C875" s="24" t="s">
        <v>1561</v>
      </c>
      <c r="D875" s="24">
        <v>723</v>
      </c>
    </row>
    <row r="876" spans="1:4" x14ac:dyDescent="0.25">
      <c r="A876" s="24">
        <v>2346</v>
      </c>
      <c r="B876" s="24">
        <v>841455</v>
      </c>
      <c r="C876" s="24" t="s">
        <v>1561</v>
      </c>
      <c r="D876" s="24">
        <v>724</v>
      </c>
    </row>
    <row r="877" spans="1:4" x14ac:dyDescent="0.25">
      <c r="A877" s="24">
        <v>1087</v>
      </c>
      <c r="B877" s="24">
        <v>818704</v>
      </c>
      <c r="C877" s="24" t="s">
        <v>1562</v>
      </c>
      <c r="D877" s="24">
        <v>725</v>
      </c>
    </row>
    <row r="878" spans="1:4" x14ac:dyDescent="0.25">
      <c r="A878" s="24">
        <v>1046</v>
      </c>
      <c r="B878" s="24">
        <v>818721</v>
      </c>
      <c r="C878" s="24" t="s">
        <v>1564</v>
      </c>
      <c r="D878" s="24">
        <v>726</v>
      </c>
    </row>
    <row r="879" spans="1:4" x14ac:dyDescent="0.25">
      <c r="A879" s="24">
        <v>2958</v>
      </c>
      <c r="B879" s="24">
        <v>817040</v>
      </c>
      <c r="C879" s="24" t="s">
        <v>1492</v>
      </c>
      <c r="D879" s="24">
        <v>727</v>
      </c>
    </row>
    <row r="880" spans="1:4" x14ac:dyDescent="0.25">
      <c r="A880" s="24">
        <v>2664</v>
      </c>
      <c r="B880" s="24">
        <v>817104</v>
      </c>
      <c r="C880" s="24" t="s">
        <v>1493</v>
      </c>
      <c r="D880" s="24">
        <v>728</v>
      </c>
    </row>
    <row r="881" spans="1:4" x14ac:dyDescent="0.25">
      <c r="A881" s="24">
        <v>1024</v>
      </c>
      <c r="B881" s="24">
        <v>817139</v>
      </c>
      <c r="C881" s="24" t="s">
        <v>1494</v>
      </c>
      <c r="D881" s="24">
        <v>729</v>
      </c>
    </row>
    <row r="882" spans="1:4" x14ac:dyDescent="0.25">
      <c r="A882" s="24">
        <v>2409</v>
      </c>
      <c r="B882" s="24">
        <v>818763</v>
      </c>
      <c r="C882" s="24" t="s">
        <v>1565</v>
      </c>
      <c r="D882" s="24">
        <v>730</v>
      </c>
    </row>
    <row r="883" spans="1:4" x14ac:dyDescent="0.25">
      <c r="A883" s="24">
        <v>20</v>
      </c>
      <c r="B883" s="24">
        <v>818801</v>
      </c>
      <c r="C883" s="24" t="s">
        <v>1566</v>
      </c>
      <c r="D883" s="24">
        <v>731</v>
      </c>
    </row>
    <row r="884" spans="1:4" x14ac:dyDescent="0.25">
      <c r="A884" s="24">
        <v>3013</v>
      </c>
      <c r="B884" s="24">
        <v>818810</v>
      </c>
      <c r="C884" s="24" t="s">
        <v>1567</v>
      </c>
      <c r="D884" s="24">
        <v>732</v>
      </c>
    </row>
    <row r="885" spans="1:4" x14ac:dyDescent="0.25">
      <c r="A885" s="24">
        <v>3107</v>
      </c>
      <c r="B885" s="24">
        <v>818828</v>
      </c>
      <c r="C885" s="24" t="s">
        <v>1568</v>
      </c>
      <c r="D885" s="24">
        <v>733</v>
      </c>
    </row>
    <row r="886" spans="1:4" x14ac:dyDescent="0.25">
      <c r="A886" s="24">
        <v>2655</v>
      </c>
      <c r="B886" s="24">
        <v>818844</v>
      </c>
      <c r="C886" s="24" t="s">
        <v>1570</v>
      </c>
      <c r="D886" s="24">
        <v>734</v>
      </c>
    </row>
    <row r="887" spans="1:4" x14ac:dyDescent="0.25">
      <c r="A887" s="24">
        <v>1749</v>
      </c>
      <c r="B887" s="24">
        <v>818852</v>
      </c>
      <c r="C887" s="24" t="s">
        <v>1571</v>
      </c>
      <c r="D887" s="24">
        <v>735</v>
      </c>
    </row>
    <row r="888" spans="1:4" x14ac:dyDescent="0.25">
      <c r="A888" s="24">
        <v>2271</v>
      </c>
      <c r="B888" s="24">
        <v>818861</v>
      </c>
      <c r="C888" s="24" t="s">
        <v>1572</v>
      </c>
      <c r="D888" s="24">
        <v>736</v>
      </c>
    </row>
    <row r="889" spans="1:4" x14ac:dyDescent="0.25">
      <c r="A889" s="24">
        <v>1597</v>
      </c>
      <c r="B889" s="24">
        <v>818887</v>
      </c>
      <c r="C889" s="24" t="s">
        <v>1573</v>
      </c>
      <c r="D889" s="24">
        <v>737</v>
      </c>
    </row>
    <row r="890" spans="1:4" x14ac:dyDescent="0.25">
      <c r="A890" s="24">
        <v>2772</v>
      </c>
      <c r="B890" s="24">
        <v>818909</v>
      </c>
      <c r="C890" s="24" t="s">
        <v>1574</v>
      </c>
      <c r="D890" s="24">
        <v>738</v>
      </c>
    </row>
    <row r="891" spans="1:4" x14ac:dyDescent="0.25">
      <c r="A891" s="24">
        <v>1835</v>
      </c>
      <c r="B891" s="24">
        <v>818941</v>
      </c>
      <c r="C891" s="24" t="s">
        <v>1575</v>
      </c>
      <c r="D891" s="24">
        <v>739</v>
      </c>
    </row>
    <row r="892" spans="1:4" x14ac:dyDescent="0.25">
      <c r="A892" s="24">
        <v>202</v>
      </c>
      <c r="B892" s="24">
        <v>818984</v>
      </c>
      <c r="C892" s="24" t="s">
        <v>1576</v>
      </c>
      <c r="D892" s="24">
        <v>740</v>
      </c>
    </row>
    <row r="893" spans="1:4" x14ac:dyDescent="0.25">
      <c r="A893" s="24">
        <v>1787</v>
      </c>
      <c r="B893" s="24">
        <v>818968</v>
      </c>
      <c r="C893" s="24" t="s">
        <v>1576</v>
      </c>
      <c r="D893" s="24">
        <v>741</v>
      </c>
    </row>
    <row r="894" spans="1:4" x14ac:dyDescent="0.25">
      <c r="A894" s="24">
        <v>527</v>
      </c>
      <c r="B894" s="24">
        <v>819000</v>
      </c>
      <c r="C894" s="24" t="s">
        <v>1577</v>
      </c>
      <c r="D894" s="24">
        <v>742</v>
      </c>
    </row>
    <row r="895" spans="1:4" x14ac:dyDescent="0.25">
      <c r="A895" s="24">
        <v>115</v>
      </c>
      <c r="B895" s="24">
        <v>819018</v>
      </c>
      <c r="C895" s="24" t="s">
        <v>1578</v>
      </c>
      <c r="D895" s="24">
        <v>743</v>
      </c>
    </row>
    <row r="896" spans="1:4" x14ac:dyDescent="0.25">
      <c r="A896" s="24">
        <v>863</v>
      </c>
      <c r="B896" s="24">
        <v>819042</v>
      </c>
      <c r="C896" s="24" t="s">
        <v>1579</v>
      </c>
      <c r="D896" s="24">
        <v>744</v>
      </c>
    </row>
    <row r="897" spans="1:4" x14ac:dyDescent="0.25">
      <c r="A897" s="24">
        <v>3266</v>
      </c>
      <c r="B897" s="24">
        <v>819051</v>
      </c>
      <c r="C897" s="24" t="s">
        <v>1580</v>
      </c>
      <c r="D897" s="24">
        <v>745</v>
      </c>
    </row>
    <row r="898" spans="1:4" x14ac:dyDescent="0.25">
      <c r="A898" s="24">
        <v>1674</v>
      </c>
      <c r="B898" s="24">
        <v>819069</v>
      </c>
      <c r="C898" s="24" t="s">
        <v>1581</v>
      </c>
      <c r="D898" s="24">
        <v>746</v>
      </c>
    </row>
    <row r="899" spans="1:4" x14ac:dyDescent="0.25">
      <c r="A899" s="24">
        <v>71</v>
      </c>
      <c r="B899" s="24">
        <v>819123</v>
      </c>
      <c r="C899" s="24" t="s">
        <v>1584</v>
      </c>
      <c r="D899" s="24">
        <v>747</v>
      </c>
    </row>
    <row r="900" spans="1:4" x14ac:dyDescent="0.25">
      <c r="A900" s="24">
        <v>1356</v>
      </c>
      <c r="B900" s="24">
        <v>819131</v>
      </c>
      <c r="C900" s="24" t="s">
        <v>1585</v>
      </c>
      <c r="D900" s="24">
        <v>748</v>
      </c>
    </row>
    <row r="901" spans="1:4" x14ac:dyDescent="0.25">
      <c r="A901" s="24">
        <v>108</v>
      </c>
      <c r="B901" s="24">
        <v>819158</v>
      </c>
      <c r="C901" s="24" t="s">
        <v>1586</v>
      </c>
      <c r="D901" s="24">
        <v>749</v>
      </c>
    </row>
    <row r="902" spans="1:4" x14ac:dyDescent="0.25">
      <c r="A902" s="24">
        <v>2465</v>
      </c>
      <c r="B902" s="24">
        <v>819212</v>
      </c>
      <c r="C902" s="24" t="s">
        <v>1587</v>
      </c>
      <c r="D902" s="24">
        <v>750</v>
      </c>
    </row>
    <row r="903" spans="1:4" x14ac:dyDescent="0.25">
      <c r="A903" s="24">
        <v>2079</v>
      </c>
      <c r="B903" s="24">
        <v>819247</v>
      </c>
      <c r="C903" s="24" t="s">
        <v>1589</v>
      </c>
      <c r="D903" s="24">
        <v>751</v>
      </c>
    </row>
    <row r="904" spans="1:4" x14ac:dyDescent="0.25">
      <c r="A904" s="24">
        <v>1662</v>
      </c>
      <c r="B904" s="24">
        <v>819255</v>
      </c>
      <c r="C904" s="24" t="s">
        <v>1590</v>
      </c>
      <c r="D904" s="24">
        <v>752</v>
      </c>
    </row>
    <row r="905" spans="1:4" x14ac:dyDescent="0.25">
      <c r="A905" s="24">
        <v>1833</v>
      </c>
      <c r="B905" s="24">
        <v>819263</v>
      </c>
      <c r="C905" s="24" t="s">
        <v>1591</v>
      </c>
      <c r="D905" s="24">
        <v>753</v>
      </c>
    </row>
    <row r="906" spans="1:4" x14ac:dyDescent="0.25">
      <c r="A906" s="24">
        <v>580</v>
      </c>
      <c r="B906" s="24">
        <v>819271</v>
      </c>
      <c r="C906" s="24" t="s">
        <v>1592</v>
      </c>
      <c r="D906" s="24">
        <v>754</v>
      </c>
    </row>
    <row r="907" spans="1:4" x14ac:dyDescent="0.25">
      <c r="A907" s="24">
        <v>1527</v>
      </c>
      <c r="B907" s="24">
        <v>819298</v>
      </c>
      <c r="C907" s="24" t="s">
        <v>1593</v>
      </c>
      <c r="D907" s="24">
        <v>755</v>
      </c>
    </row>
    <row r="908" spans="1:4" x14ac:dyDescent="0.25">
      <c r="A908" s="24">
        <v>1884</v>
      </c>
      <c r="B908" s="24">
        <v>819441</v>
      </c>
      <c r="C908" s="24" t="s">
        <v>1594</v>
      </c>
      <c r="D908" s="24">
        <v>756</v>
      </c>
    </row>
    <row r="909" spans="1:4" x14ac:dyDescent="0.25">
      <c r="A909" s="24">
        <v>973</v>
      </c>
      <c r="B909" s="24">
        <v>819450</v>
      </c>
      <c r="C909" s="24" t="s">
        <v>1595</v>
      </c>
      <c r="D909" s="24">
        <v>757</v>
      </c>
    </row>
    <row r="910" spans="1:4" x14ac:dyDescent="0.25">
      <c r="A910" s="24">
        <v>716</v>
      </c>
      <c r="B910" s="24">
        <v>819468</v>
      </c>
      <c r="C910" s="24" t="s">
        <v>1596</v>
      </c>
      <c r="D910" s="24">
        <v>758</v>
      </c>
    </row>
    <row r="911" spans="1:4" x14ac:dyDescent="0.25">
      <c r="A911" s="24">
        <v>1892</v>
      </c>
      <c r="B911" s="24">
        <v>819476</v>
      </c>
      <c r="C911" s="24" t="s">
        <v>1597</v>
      </c>
      <c r="D911" s="24">
        <v>759</v>
      </c>
    </row>
    <row r="912" spans="1:4" x14ac:dyDescent="0.25">
      <c r="A912" s="24">
        <v>2156</v>
      </c>
      <c r="B912" s="24">
        <v>819514</v>
      </c>
      <c r="C912" s="24" t="s">
        <v>1598</v>
      </c>
      <c r="D912" s="24">
        <v>760</v>
      </c>
    </row>
    <row r="913" spans="1:4" x14ac:dyDescent="0.25">
      <c r="A913" s="24">
        <v>2357</v>
      </c>
      <c r="B913" s="24">
        <v>819531</v>
      </c>
      <c r="C913" s="24" t="s">
        <v>1599</v>
      </c>
      <c r="D913" s="24">
        <v>760</v>
      </c>
    </row>
    <row r="914" spans="1:4" x14ac:dyDescent="0.25">
      <c r="A914" s="24">
        <v>1733</v>
      </c>
      <c r="B914" s="24">
        <v>819549</v>
      </c>
      <c r="C914" s="24" t="s">
        <v>1600</v>
      </c>
      <c r="D914" s="24">
        <v>761</v>
      </c>
    </row>
    <row r="915" spans="1:4" x14ac:dyDescent="0.25">
      <c r="A915" s="24">
        <v>2130</v>
      </c>
      <c r="B915" s="24">
        <v>819603</v>
      </c>
      <c r="C915" s="24" t="s">
        <v>1604</v>
      </c>
      <c r="D915" s="24">
        <v>762</v>
      </c>
    </row>
    <row r="916" spans="1:4" x14ac:dyDescent="0.25">
      <c r="A916" s="24">
        <v>236</v>
      </c>
      <c r="B916" s="24">
        <v>819620</v>
      </c>
      <c r="C916" s="24" t="s">
        <v>1605</v>
      </c>
      <c r="D916" s="24">
        <v>763</v>
      </c>
    </row>
    <row r="917" spans="1:4" x14ac:dyDescent="0.25">
      <c r="A917" s="24">
        <v>1526</v>
      </c>
      <c r="B917" s="24">
        <v>819662</v>
      </c>
      <c r="C917" s="24" t="s">
        <v>1606</v>
      </c>
      <c r="D917" s="24">
        <v>764</v>
      </c>
    </row>
    <row r="918" spans="1:4" x14ac:dyDescent="0.25">
      <c r="A918" s="24">
        <v>294</v>
      </c>
      <c r="B918" s="24">
        <v>819735</v>
      </c>
      <c r="C918" s="24" t="s">
        <v>1610</v>
      </c>
      <c r="D918" s="24">
        <v>765</v>
      </c>
    </row>
    <row r="919" spans="1:4" x14ac:dyDescent="0.25">
      <c r="A919" s="24">
        <v>1115</v>
      </c>
      <c r="B919" s="24">
        <v>819719</v>
      </c>
      <c r="C919" s="24" t="s">
        <v>1609</v>
      </c>
      <c r="D919" s="24">
        <v>765</v>
      </c>
    </row>
    <row r="920" spans="1:4" x14ac:dyDescent="0.25">
      <c r="A920" s="24">
        <v>3304</v>
      </c>
      <c r="B920" s="24">
        <v>819701</v>
      </c>
      <c r="C920" s="24" t="s">
        <v>1608</v>
      </c>
      <c r="D920" s="24">
        <v>765</v>
      </c>
    </row>
    <row r="921" spans="1:4" x14ac:dyDescent="0.25">
      <c r="A921" s="24">
        <v>1287</v>
      </c>
      <c r="B921" s="24">
        <v>819743</v>
      </c>
      <c r="C921" s="24" t="s">
        <v>1611</v>
      </c>
      <c r="D921" s="24">
        <v>766</v>
      </c>
    </row>
    <row r="922" spans="1:4" x14ac:dyDescent="0.25">
      <c r="A922" s="24">
        <v>3432</v>
      </c>
      <c r="B922" s="24">
        <v>819760</v>
      </c>
      <c r="C922" s="24" t="s">
        <v>1612</v>
      </c>
      <c r="D922" s="24">
        <v>767</v>
      </c>
    </row>
    <row r="923" spans="1:4" x14ac:dyDescent="0.25">
      <c r="A923" s="24">
        <v>548</v>
      </c>
      <c r="B923" s="24">
        <v>819786</v>
      </c>
      <c r="C923" s="24" t="s">
        <v>1613</v>
      </c>
      <c r="D923" s="24">
        <v>768</v>
      </c>
    </row>
    <row r="924" spans="1:4" x14ac:dyDescent="0.25">
      <c r="A924" s="24">
        <v>217</v>
      </c>
      <c r="B924" s="24">
        <v>819794</v>
      </c>
      <c r="C924" s="24" t="s">
        <v>1614</v>
      </c>
      <c r="D924" s="24">
        <v>769</v>
      </c>
    </row>
    <row r="925" spans="1:4" x14ac:dyDescent="0.25">
      <c r="A925" s="24">
        <v>3218</v>
      </c>
      <c r="B925" s="24">
        <v>819808</v>
      </c>
      <c r="C925" s="24" t="s">
        <v>1615</v>
      </c>
      <c r="D925" s="24">
        <v>770</v>
      </c>
    </row>
    <row r="926" spans="1:4" x14ac:dyDescent="0.25">
      <c r="A926" s="24">
        <v>1517</v>
      </c>
      <c r="B926" s="24">
        <v>850403</v>
      </c>
      <c r="C926" s="24" t="s">
        <v>2988</v>
      </c>
      <c r="D926" s="24">
        <v>771</v>
      </c>
    </row>
    <row r="927" spans="1:4" x14ac:dyDescent="0.25">
      <c r="A927" s="24">
        <v>3546</v>
      </c>
      <c r="B927" s="24">
        <v>819816</v>
      </c>
      <c r="C927" s="24" t="s">
        <v>1616</v>
      </c>
      <c r="D927" s="24">
        <v>771</v>
      </c>
    </row>
    <row r="928" spans="1:4" x14ac:dyDescent="0.25">
      <c r="A928" s="24">
        <v>1420</v>
      </c>
      <c r="B928" s="24">
        <v>819824</v>
      </c>
      <c r="C928" s="24" t="s">
        <v>1617</v>
      </c>
      <c r="D928" s="24">
        <v>772</v>
      </c>
    </row>
    <row r="929" spans="1:4" x14ac:dyDescent="0.25">
      <c r="A929" s="24">
        <v>1698</v>
      </c>
      <c r="B929" s="24">
        <v>819841</v>
      </c>
      <c r="C929" s="24" t="s">
        <v>1619</v>
      </c>
      <c r="D929" s="24">
        <v>773</v>
      </c>
    </row>
    <row r="930" spans="1:4" x14ac:dyDescent="0.25">
      <c r="A930" s="24">
        <v>1909</v>
      </c>
      <c r="B930" s="24">
        <v>819832</v>
      </c>
      <c r="C930" s="24" t="s">
        <v>1618</v>
      </c>
      <c r="D930" s="24">
        <v>773</v>
      </c>
    </row>
    <row r="931" spans="1:4" x14ac:dyDescent="0.25">
      <c r="A931" s="24">
        <v>1562</v>
      </c>
      <c r="B931" s="24">
        <v>819859</v>
      </c>
      <c r="C931" s="24" t="s">
        <v>1620</v>
      </c>
      <c r="D931" s="24">
        <v>774</v>
      </c>
    </row>
    <row r="932" spans="1:4" x14ac:dyDescent="0.25">
      <c r="A932" s="24">
        <v>3436</v>
      </c>
      <c r="B932" s="24">
        <v>819867</v>
      </c>
      <c r="C932" s="24" t="s">
        <v>1621</v>
      </c>
      <c r="D932" s="24">
        <v>775</v>
      </c>
    </row>
    <row r="933" spans="1:4" x14ac:dyDescent="0.25">
      <c r="A933" s="24">
        <v>817</v>
      </c>
      <c r="B933" s="24">
        <v>819883</v>
      </c>
      <c r="C933" s="24" t="s">
        <v>1622</v>
      </c>
      <c r="D933" s="24">
        <v>776</v>
      </c>
    </row>
    <row r="934" spans="1:4" x14ac:dyDescent="0.25">
      <c r="A934" s="24">
        <v>2227</v>
      </c>
      <c r="B934" s="24">
        <v>819972</v>
      </c>
      <c r="C934" s="24" t="s">
        <v>1622</v>
      </c>
      <c r="D934" s="24">
        <v>777</v>
      </c>
    </row>
    <row r="935" spans="1:4" x14ac:dyDescent="0.25">
      <c r="A935" s="24">
        <v>3030</v>
      </c>
      <c r="B935" s="24">
        <v>819981</v>
      </c>
      <c r="C935" s="24" t="s">
        <v>1623</v>
      </c>
      <c r="D935" s="24">
        <v>778</v>
      </c>
    </row>
    <row r="936" spans="1:4" x14ac:dyDescent="0.25">
      <c r="A936" s="24">
        <v>292</v>
      </c>
      <c r="B936" s="24">
        <v>820016</v>
      </c>
      <c r="C936" s="24" t="s">
        <v>1626</v>
      </c>
      <c r="D936" s="24">
        <v>779</v>
      </c>
    </row>
    <row r="937" spans="1:4" x14ac:dyDescent="0.25">
      <c r="A937" s="24">
        <v>1804</v>
      </c>
      <c r="B937" s="24">
        <v>820008</v>
      </c>
      <c r="C937" s="24" t="s">
        <v>1625</v>
      </c>
      <c r="D937" s="24">
        <v>779</v>
      </c>
    </row>
    <row r="938" spans="1:4" x14ac:dyDescent="0.25">
      <c r="A938" s="24">
        <v>2182</v>
      </c>
      <c r="B938" s="24">
        <v>819999</v>
      </c>
      <c r="C938" s="24" t="s">
        <v>1624</v>
      </c>
      <c r="D938" s="24">
        <v>779</v>
      </c>
    </row>
    <row r="939" spans="1:4" x14ac:dyDescent="0.25">
      <c r="A939" s="24">
        <v>462</v>
      </c>
      <c r="B939" s="24">
        <v>867357</v>
      </c>
      <c r="C939" s="24" t="s">
        <v>3697</v>
      </c>
      <c r="D939" s="24">
        <v>780</v>
      </c>
    </row>
    <row r="940" spans="1:4" x14ac:dyDescent="0.25">
      <c r="A940" s="24">
        <v>2001</v>
      </c>
      <c r="B940" s="24">
        <v>820024</v>
      </c>
      <c r="C940" s="24" t="s">
        <v>1627</v>
      </c>
      <c r="D940" s="24">
        <v>780</v>
      </c>
    </row>
    <row r="941" spans="1:4" x14ac:dyDescent="0.25">
      <c r="A941" s="24">
        <v>2855</v>
      </c>
      <c r="B941" s="24">
        <v>820032</v>
      </c>
      <c r="C941" s="24" t="s">
        <v>1628</v>
      </c>
      <c r="D941" s="24">
        <v>781</v>
      </c>
    </row>
    <row r="942" spans="1:4" x14ac:dyDescent="0.25">
      <c r="A942" s="24">
        <v>2744</v>
      </c>
      <c r="B942" s="24">
        <v>820041</v>
      </c>
      <c r="C942" s="24" t="s">
        <v>1629</v>
      </c>
      <c r="D942" s="24">
        <v>782</v>
      </c>
    </row>
    <row r="943" spans="1:4" x14ac:dyDescent="0.25">
      <c r="A943" s="24">
        <v>2693</v>
      </c>
      <c r="B943" s="24">
        <v>820059</v>
      </c>
      <c r="C943" s="24" t="s">
        <v>1630</v>
      </c>
      <c r="D943" s="24">
        <v>783</v>
      </c>
    </row>
    <row r="944" spans="1:4" x14ac:dyDescent="0.25">
      <c r="A944" s="24">
        <v>1090</v>
      </c>
      <c r="B944" s="24">
        <v>820075</v>
      </c>
      <c r="C944" s="24" t="s">
        <v>1631</v>
      </c>
      <c r="D944" s="24">
        <v>784</v>
      </c>
    </row>
    <row r="945" spans="1:4" x14ac:dyDescent="0.25">
      <c r="A945" s="24">
        <v>2618</v>
      </c>
      <c r="B945" s="24">
        <v>820083</v>
      </c>
      <c r="C945" s="24" t="s">
        <v>1632</v>
      </c>
      <c r="D945" s="24">
        <v>785</v>
      </c>
    </row>
    <row r="946" spans="1:4" x14ac:dyDescent="0.25">
      <c r="A946" s="24">
        <v>3464</v>
      </c>
      <c r="B946" s="24">
        <v>820091</v>
      </c>
      <c r="C946" s="24" t="s">
        <v>1633</v>
      </c>
      <c r="D946" s="24">
        <v>786</v>
      </c>
    </row>
    <row r="947" spans="1:4" x14ac:dyDescent="0.25">
      <c r="A947" s="24">
        <v>3015</v>
      </c>
      <c r="B947" s="24">
        <v>820105</v>
      </c>
      <c r="C947" s="24" t="s">
        <v>1634</v>
      </c>
      <c r="D947" s="24">
        <v>787</v>
      </c>
    </row>
    <row r="948" spans="1:4" x14ac:dyDescent="0.25">
      <c r="A948" s="24">
        <v>3156</v>
      </c>
      <c r="B948" s="24">
        <v>820113</v>
      </c>
      <c r="C948" s="24" t="s">
        <v>1635</v>
      </c>
      <c r="D948" s="24">
        <v>788</v>
      </c>
    </row>
    <row r="949" spans="1:4" x14ac:dyDescent="0.25">
      <c r="A949" s="24">
        <v>255</v>
      </c>
      <c r="B949" s="24">
        <v>820121</v>
      </c>
      <c r="C949" s="24" t="s">
        <v>1636</v>
      </c>
      <c r="D949" s="24">
        <v>789</v>
      </c>
    </row>
    <row r="950" spans="1:4" x14ac:dyDescent="0.25">
      <c r="A950" s="24">
        <v>3374</v>
      </c>
      <c r="B950" s="24">
        <v>820385</v>
      </c>
      <c r="C950" s="24" t="s">
        <v>1638</v>
      </c>
      <c r="D950" s="24">
        <v>790</v>
      </c>
    </row>
    <row r="951" spans="1:4" x14ac:dyDescent="0.25">
      <c r="A951" s="24">
        <v>998</v>
      </c>
      <c r="B951" s="24">
        <v>820393</v>
      </c>
      <c r="C951" s="24" t="s">
        <v>1639</v>
      </c>
      <c r="D951" s="24">
        <v>791</v>
      </c>
    </row>
    <row r="952" spans="1:4" x14ac:dyDescent="0.25">
      <c r="A952" s="24">
        <v>2724</v>
      </c>
      <c r="B952" s="24">
        <v>820407</v>
      </c>
      <c r="C952" s="24" t="s">
        <v>1640</v>
      </c>
      <c r="D952" s="24">
        <v>792</v>
      </c>
    </row>
    <row r="953" spans="1:4" x14ac:dyDescent="0.25">
      <c r="A953" s="24">
        <v>1302</v>
      </c>
      <c r="B953" s="24">
        <v>803383</v>
      </c>
      <c r="C953" s="24" t="s">
        <v>891</v>
      </c>
      <c r="D953" s="24">
        <v>793</v>
      </c>
    </row>
    <row r="954" spans="1:4" x14ac:dyDescent="0.25">
      <c r="A954" s="24">
        <v>3513</v>
      </c>
      <c r="B954" s="24">
        <v>820423</v>
      </c>
      <c r="C954" s="24" t="s">
        <v>1641</v>
      </c>
      <c r="D954" s="24">
        <v>793</v>
      </c>
    </row>
    <row r="955" spans="1:4" x14ac:dyDescent="0.25">
      <c r="A955" s="24">
        <v>2878</v>
      </c>
      <c r="B955" s="24">
        <v>820482</v>
      </c>
      <c r="C955" s="24" t="s">
        <v>1642</v>
      </c>
      <c r="D955" s="24">
        <v>794</v>
      </c>
    </row>
    <row r="956" spans="1:4" x14ac:dyDescent="0.25">
      <c r="A956" s="24">
        <v>2361</v>
      </c>
      <c r="B956" s="24">
        <v>820491</v>
      </c>
      <c r="C956" s="24" t="s">
        <v>1643</v>
      </c>
      <c r="D956" s="24">
        <v>795</v>
      </c>
    </row>
    <row r="957" spans="1:4" x14ac:dyDescent="0.25">
      <c r="A957" s="24">
        <v>3359</v>
      </c>
      <c r="B957" s="24">
        <v>820539</v>
      </c>
      <c r="C957" s="24" t="s">
        <v>1644</v>
      </c>
      <c r="D957" s="24">
        <v>796</v>
      </c>
    </row>
    <row r="958" spans="1:4" x14ac:dyDescent="0.25">
      <c r="A958" s="24">
        <v>586</v>
      </c>
      <c r="B958" s="24">
        <v>820563</v>
      </c>
      <c r="C958" s="24" t="s">
        <v>1647</v>
      </c>
      <c r="D958" s="24">
        <v>797</v>
      </c>
    </row>
    <row r="959" spans="1:4" x14ac:dyDescent="0.25">
      <c r="A959" s="24">
        <v>1816</v>
      </c>
      <c r="B959" s="24">
        <v>820571</v>
      </c>
      <c r="C959" s="24" t="s">
        <v>1648</v>
      </c>
      <c r="D959" s="24">
        <v>798</v>
      </c>
    </row>
    <row r="960" spans="1:4" x14ac:dyDescent="0.25">
      <c r="A960" s="24">
        <v>357</v>
      </c>
      <c r="B960" s="24">
        <v>820598</v>
      </c>
      <c r="C960" s="24" t="s">
        <v>1649</v>
      </c>
      <c r="D960" s="24">
        <v>799</v>
      </c>
    </row>
    <row r="961" spans="1:4" x14ac:dyDescent="0.25">
      <c r="A961" s="24">
        <v>3197</v>
      </c>
      <c r="B961" s="24">
        <v>820610</v>
      </c>
      <c r="C961" s="24" t="s">
        <v>1650</v>
      </c>
      <c r="D961" s="24">
        <v>800</v>
      </c>
    </row>
    <row r="962" spans="1:4" x14ac:dyDescent="0.25">
      <c r="A962" s="24">
        <v>2036</v>
      </c>
      <c r="B962" s="24">
        <v>820636</v>
      </c>
      <c r="C962" s="24" t="s">
        <v>1651</v>
      </c>
      <c r="D962" s="24">
        <v>801</v>
      </c>
    </row>
    <row r="963" spans="1:4" x14ac:dyDescent="0.25">
      <c r="A963" s="24">
        <v>474</v>
      </c>
      <c r="B963" s="24">
        <v>820644</v>
      </c>
      <c r="C963" s="24" t="s">
        <v>1652</v>
      </c>
      <c r="D963" s="24">
        <v>802</v>
      </c>
    </row>
    <row r="964" spans="1:4" x14ac:dyDescent="0.25">
      <c r="A964" s="24">
        <v>2668</v>
      </c>
      <c r="B964" s="24">
        <v>820661</v>
      </c>
      <c r="C964" s="24" t="s">
        <v>1653</v>
      </c>
      <c r="D964" s="24">
        <v>803</v>
      </c>
    </row>
    <row r="965" spans="1:4" x14ac:dyDescent="0.25">
      <c r="A965" s="24">
        <v>1367</v>
      </c>
      <c r="B965" s="24">
        <v>820679</v>
      </c>
      <c r="C965" s="24" t="s">
        <v>1654</v>
      </c>
      <c r="D965" s="24">
        <v>804</v>
      </c>
    </row>
    <row r="966" spans="1:4" x14ac:dyDescent="0.25">
      <c r="A966" s="24">
        <v>513</v>
      </c>
      <c r="B966" s="24">
        <v>820687</v>
      </c>
      <c r="C966" s="24" t="s">
        <v>1655</v>
      </c>
      <c r="D966" s="24">
        <v>805</v>
      </c>
    </row>
    <row r="967" spans="1:4" x14ac:dyDescent="0.25">
      <c r="A967" s="24">
        <v>847</v>
      </c>
      <c r="B967" s="24">
        <v>820695</v>
      </c>
      <c r="C967" s="24" t="s">
        <v>1656</v>
      </c>
      <c r="D967" s="24">
        <v>806</v>
      </c>
    </row>
    <row r="968" spans="1:4" x14ac:dyDescent="0.25">
      <c r="A968" s="24">
        <v>2699</v>
      </c>
      <c r="B968" s="24">
        <v>820709</v>
      </c>
      <c r="C968" s="24" t="s">
        <v>1657</v>
      </c>
      <c r="D968" s="24">
        <v>807</v>
      </c>
    </row>
    <row r="969" spans="1:4" x14ac:dyDescent="0.25">
      <c r="A969" s="24">
        <v>2651</v>
      </c>
      <c r="B969" s="24">
        <v>820725</v>
      </c>
      <c r="C969" s="24" t="s">
        <v>1658</v>
      </c>
      <c r="D969" s="24">
        <v>808</v>
      </c>
    </row>
    <row r="970" spans="1:4" x14ac:dyDescent="0.25">
      <c r="A970" s="24">
        <v>2455</v>
      </c>
      <c r="B970" s="24">
        <v>820733</v>
      </c>
      <c r="C970" s="24" t="s">
        <v>1659</v>
      </c>
      <c r="D970" s="24">
        <v>809</v>
      </c>
    </row>
    <row r="971" spans="1:4" x14ac:dyDescent="0.25">
      <c r="A971" s="24">
        <v>3092</v>
      </c>
      <c r="B971" s="24">
        <v>820750</v>
      </c>
      <c r="C971" s="24" t="s">
        <v>1660</v>
      </c>
      <c r="D971" s="24">
        <v>810</v>
      </c>
    </row>
    <row r="972" spans="1:4" x14ac:dyDescent="0.25">
      <c r="A972" s="24">
        <v>1627</v>
      </c>
      <c r="B972" s="24">
        <v>820776</v>
      </c>
      <c r="C972" s="24" t="s">
        <v>1661</v>
      </c>
      <c r="D972" s="24">
        <v>811</v>
      </c>
    </row>
    <row r="973" spans="1:4" x14ac:dyDescent="0.25">
      <c r="A973" s="24">
        <v>2199</v>
      </c>
      <c r="B973" s="24">
        <v>820784</v>
      </c>
      <c r="C973" s="24" t="s">
        <v>1662</v>
      </c>
      <c r="D973" s="24">
        <v>812</v>
      </c>
    </row>
    <row r="974" spans="1:4" x14ac:dyDescent="0.25">
      <c r="A974" s="24">
        <v>3114</v>
      </c>
      <c r="B974" s="24">
        <v>820792</v>
      </c>
      <c r="C974" s="24" t="s">
        <v>1663</v>
      </c>
      <c r="D974" s="24">
        <v>813</v>
      </c>
    </row>
    <row r="975" spans="1:4" x14ac:dyDescent="0.25">
      <c r="A975" s="24">
        <v>2474</v>
      </c>
      <c r="B975" s="24">
        <v>820831</v>
      </c>
      <c r="C975" s="24" t="s">
        <v>1664</v>
      </c>
      <c r="D975" s="24">
        <v>814</v>
      </c>
    </row>
    <row r="976" spans="1:4" x14ac:dyDescent="0.25">
      <c r="A976" s="24">
        <v>220</v>
      </c>
      <c r="B976" s="24">
        <v>820849</v>
      </c>
      <c r="C976" s="24" t="s">
        <v>1665</v>
      </c>
      <c r="D976" s="24">
        <v>815</v>
      </c>
    </row>
    <row r="977" spans="1:4" x14ac:dyDescent="0.25">
      <c r="A977" s="24">
        <v>3073</v>
      </c>
      <c r="B977" s="24">
        <v>820865</v>
      </c>
      <c r="C977" s="24" t="s">
        <v>1666</v>
      </c>
      <c r="D977" s="24">
        <v>816</v>
      </c>
    </row>
    <row r="978" spans="1:4" x14ac:dyDescent="0.25">
      <c r="A978" s="24">
        <v>2393</v>
      </c>
      <c r="B978" s="24">
        <v>841463</v>
      </c>
      <c r="C978" s="24" t="s">
        <v>2635</v>
      </c>
      <c r="D978" s="24">
        <v>817</v>
      </c>
    </row>
    <row r="979" spans="1:4" x14ac:dyDescent="0.25">
      <c r="A979" s="24">
        <v>2904</v>
      </c>
      <c r="B979" s="24">
        <v>820873</v>
      </c>
      <c r="C979" s="24" t="s">
        <v>1667</v>
      </c>
      <c r="D979" s="24">
        <v>818</v>
      </c>
    </row>
    <row r="980" spans="1:4" x14ac:dyDescent="0.25">
      <c r="A980" s="24">
        <v>1619</v>
      </c>
      <c r="B980" s="24">
        <v>820881</v>
      </c>
      <c r="C980" s="24" t="s">
        <v>1668</v>
      </c>
      <c r="D980" s="24">
        <v>819</v>
      </c>
    </row>
    <row r="981" spans="1:4" x14ac:dyDescent="0.25">
      <c r="A981" s="24">
        <v>2600</v>
      </c>
      <c r="B981" s="24">
        <v>820903</v>
      </c>
      <c r="C981" s="24" t="s">
        <v>1669</v>
      </c>
      <c r="D981" s="24">
        <v>820</v>
      </c>
    </row>
    <row r="982" spans="1:4" x14ac:dyDescent="0.25">
      <c r="A982" s="24">
        <v>1441</v>
      </c>
      <c r="B982" s="24">
        <v>820911</v>
      </c>
      <c r="C982" s="24" t="s">
        <v>1670</v>
      </c>
      <c r="D982" s="24">
        <v>821</v>
      </c>
    </row>
    <row r="983" spans="1:4" x14ac:dyDescent="0.25">
      <c r="A983" s="24">
        <v>2018</v>
      </c>
      <c r="B983" s="24">
        <v>820938</v>
      </c>
      <c r="C983" s="24" t="s">
        <v>1671</v>
      </c>
      <c r="D983" s="24">
        <v>822</v>
      </c>
    </row>
    <row r="984" spans="1:4" x14ac:dyDescent="0.25">
      <c r="A984" s="24">
        <v>349</v>
      </c>
      <c r="B984" s="24">
        <v>820946</v>
      </c>
      <c r="C984" s="24" t="s">
        <v>1672</v>
      </c>
      <c r="D984" s="24">
        <v>823</v>
      </c>
    </row>
    <row r="985" spans="1:4" x14ac:dyDescent="0.25">
      <c r="A985" s="24">
        <v>130</v>
      </c>
      <c r="B985" s="24">
        <v>820954</v>
      </c>
      <c r="C985" s="24" t="s">
        <v>1673</v>
      </c>
      <c r="D985" s="24">
        <v>824</v>
      </c>
    </row>
    <row r="986" spans="1:4" x14ac:dyDescent="0.25">
      <c r="A986" s="24">
        <v>512</v>
      </c>
      <c r="B986" s="24">
        <v>820997</v>
      </c>
      <c r="C986" s="24" t="s">
        <v>1676</v>
      </c>
      <c r="D986" s="24">
        <v>825</v>
      </c>
    </row>
    <row r="987" spans="1:4" x14ac:dyDescent="0.25">
      <c r="A987" s="24">
        <v>3079</v>
      </c>
      <c r="B987" s="24">
        <v>820989</v>
      </c>
      <c r="C987" s="24" t="s">
        <v>1607</v>
      </c>
      <c r="D987" s="24">
        <v>825</v>
      </c>
    </row>
    <row r="988" spans="1:4" x14ac:dyDescent="0.25">
      <c r="A988" s="24">
        <v>379</v>
      </c>
      <c r="B988" s="24">
        <v>821004</v>
      </c>
      <c r="C988" s="24" t="s">
        <v>1677</v>
      </c>
      <c r="D988" s="24">
        <v>826</v>
      </c>
    </row>
    <row r="989" spans="1:4" x14ac:dyDescent="0.25">
      <c r="A989" s="24">
        <v>2110</v>
      </c>
      <c r="B989" s="24">
        <v>821012</v>
      </c>
      <c r="C989" s="24" t="s">
        <v>1678</v>
      </c>
      <c r="D989" s="24">
        <v>827</v>
      </c>
    </row>
    <row r="990" spans="1:4" x14ac:dyDescent="0.25">
      <c r="A990" s="24">
        <v>1176</v>
      </c>
      <c r="B990" s="24">
        <v>821039</v>
      </c>
      <c r="C990" s="24" t="s">
        <v>1679</v>
      </c>
      <c r="D990" s="24">
        <v>828</v>
      </c>
    </row>
    <row r="991" spans="1:4" x14ac:dyDescent="0.25">
      <c r="A991" s="24">
        <v>1225</v>
      </c>
      <c r="B991" s="24">
        <v>821047</v>
      </c>
      <c r="C991" s="24" t="s">
        <v>1680</v>
      </c>
      <c r="D991" s="24">
        <v>829</v>
      </c>
    </row>
    <row r="992" spans="1:4" x14ac:dyDescent="0.25">
      <c r="A992" s="24">
        <v>1785</v>
      </c>
      <c r="B992" s="24">
        <v>821055</v>
      </c>
      <c r="C992" s="24" t="s">
        <v>1681</v>
      </c>
      <c r="D992" s="24">
        <v>830</v>
      </c>
    </row>
    <row r="993" spans="1:4" x14ac:dyDescent="0.25">
      <c r="A993" s="24">
        <v>376</v>
      </c>
      <c r="B993" s="24">
        <v>821063</v>
      </c>
      <c r="C993" s="24" t="s">
        <v>1682</v>
      </c>
      <c r="D993" s="24">
        <v>831</v>
      </c>
    </row>
    <row r="994" spans="1:4" x14ac:dyDescent="0.25">
      <c r="A994" s="24">
        <v>2223</v>
      </c>
      <c r="B994" s="24">
        <v>821071</v>
      </c>
      <c r="C994" s="24" t="s">
        <v>1682</v>
      </c>
      <c r="D994" s="24">
        <v>832</v>
      </c>
    </row>
    <row r="995" spans="1:4" x14ac:dyDescent="0.25">
      <c r="A995" s="24">
        <v>1067</v>
      </c>
      <c r="B995" s="24">
        <v>821098</v>
      </c>
      <c r="C995" s="24" t="s">
        <v>1683</v>
      </c>
      <c r="D995" s="24">
        <v>833</v>
      </c>
    </row>
    <row r="996" spans="1:4" x14ac:dyDescent="0.25">
      <c r="A996" s="24">
        <v>3169</v>
      </c>
      <c r="B996" s="24">
        <v>821110</v>
      </c>
      <c r="C996" s="24" t="s">
        <v>1684</v>
      </c>
      <c r="D996" s="24">
        <v>834</v>
      </c>
    </row>
    <row r="997" spans="1:4" x14ac:dyDescent="0.25">
      <c r="A997" s="24">
        <v>1803</v>
      </c>
      <c r="B997" s="24">
        <v>821128</v>
      </c>
      <c r="C997" s="24" t="s">
        <v>1685</v>
      </c>
      <c r="D997" s="24">
        <v>835</v>
      </c>
    </row>
    <row r="998" spans="1:4" x14ac:dyDescent="0.25">
      <c r="A998" s="24">
        <v>2152</v>
      </c>
      <c r="B998" s="24">
        <v>821136</v>
      </c>
      <c r="C998" s="24" t="s">
        <v>1686</v>
      </c>
      <c r="D998" s="24">
        <v>836</v>
      </c>
    </row>
    <row r="999" spans="1:4" x14ac:dyDescent="0.25">
      <c r="A999" s="24">
        <v>2059</v>
      </c>
      <c r="B999" s="24">
        <v>821144</v>
      </c>
      <c r="C999" s="24" t="s">
        <v>1687</v>
      </c>
      <c r="D999" s="24">
        <v>836</v>
      </c>
    </row>
    <row r="1000" spans="1:4" x14ac:dyDescent="0.25">
      <c r="A1000" s="24">
        <v>1593</v>
      </c>
      <c r="B1000" s="24">
        <v>821152</v>
      </c>
      <c r="C1000" s="24" t="s">
        <v>1688</v>
      </c>
      <c r="D1000" s="24">
        <v>837</v>
      </c>
    </row>
    <row r="1001" spans="1:4" x14ac:dyDescent="0.25">
      <c r="A1001" s="24">
        <v>332</v>
      </c>
      <c r="B1001" s="24">
        <v>821187</v>
      </c>
      <c r="C1001" s="24" t="s">
        <v>1691</v>
      </c>
      <c r="D1001" s="24">
        <v>838</v>
      </c>
    </row>
    <row r="1002" spans="1:4" x14ac:dyDescent="0.25">
      <c r="A1002" s="24">
        <v>897</v>
      </c>
      <c r="B1002" s="24">
        <v>824402</v>
      </c>
      <c r="C1002" s="24" t="s">
        <v>1870</v>
      </c>
      <c r="D1002" s="24">
        <v>838</v>
      </c>
    </row>
    <row r="1003" spans="1:4" x14ac:dyDescent="0.25">
      <c r="A1003" s="24">
        <v>1991</v>
      </c>
      <c r="B1003" s="24">
        <v>821209</v>
      </c>
      <c r="C1003" s="24" t="s">
        <v>1692</v>
      </c>
      <c r="D1003" s="24">
        <v>839</v>
      </c>
    </row>
    <row r="1004" spans="1:4" x14ac:dyDescent="0.25">
      <c r="A1004" s="24">
        <v>1481</v>
      </c>
      <c r="B1004" s="24">
        <v>821225</v>
      </c>
      <c r="C1004" s="24" t="s">
        <v>1693</v>
      </c>
      <c r="D1004" s="24">
        <v>840</v>
      </c>
    </row>
    <row r="1005" spans="1:4" x14ac:dyDescent="0.25">
      <c r="A1005" s="24">
        <v>145</v>
      </c>
      <c r="B1005" s="24">
        <v>821241</v>
      </c>
      <c r="C1005" s="24" t="s">
        <v>1694</v>
      </c>
      <c r="D1005" s="24">
        <v>841</v>
      </c>
    </row>
    <row r="1006" spans="1:4" x14ac:dyDescent="0.25">
      <c r="A1006" s="24">
        <v>1497</v>
      </c>
      <c r="B1006" s="24">
        <v>821250</v>
      </c>
      <c r="C1006" s="24" t="s">
        <v>1695</v>
      </c>
      <c r="D1006" s="24">
        <v>842</v>
      </c>
    </row>
    <row r="1007" spans="1:4" x14ac:dyDescent="0.25">
      <c r="A1007" s="24">
        <v>1478</v>
      </c>
      <c r="B1007" s="24">
        <v>821276</v>
      </c>
      <c r="C1007" s="24" t="s">
        <v>1696</v>
      </c>
      <c r="D1007" s="24">
        <v>843</v>
      </c>
    </row>
    <row r="1008" spans="1:4" x14ac:dyDescent="0.25">
      <c r="A1008" s="24">
        <v>1885</v>
      </c>
      <c r="B1008" s="24">
        <v>821284</v>
      </c>
      <c r="C1008" s="24" t="s">
        <v>1697</v>
      </c>
      <c r="D1008" s="24">
        <v>844</v>
      </c>
    </row>
    <row r="1009" spans="1:4" x14ac:dyDescent="0.25">
      <c r="A1009" s="24">
        <v>52</v>
      </c>
      <c r="B1009" s="24">
        <v>821292</v>
      </c>
      <c r="C1009" s="24" t="s">
        <v>1698</v>
      </c>
      <c r="D1009" s="24">
        <v>845</v>
      </c>
    </row>
    <row r="1010" spans="1:4" x14ac:dyDescent="0.25">
      <c r="A1010" s="24">
        <v>2228</v>
      </c>
      <c r="B1010" s="24">
        <v>821306</v>
      </c>
      <c r="C1010" s="24" t="s">
        <v>1699</v>
      </c>
      <c r="D1010" s="24">
        <v>846</v>
      </c>
    </row>
    <row r="1011" spans="1:4" x14ac:dyDescent="0.25">
      <c r="A1011" s="24">
        <v>1136</v>
      </c>
      <c r="B1011" s="24">
        <v>821373</v>
      </c>
      <c r="C1011" s="24" t="s">
        <v>1701</v>
      </c>
      <c r="D1011" s="24">
        <v>847</v>
      </c>
    </row>
    <row r="1012" spans="1:4" x14ac:dyDescent="0.25">
      <c r="A1012" s="24">
        <v>3444</v>
      </c>
      <c r="B1012" s="24">
        <v>821390</v>
      </c>
      <c r="C1012" s="24" t="s">
        <v>1702</v>
      </c>
      <c r="D1012" s="24">
        <v>848</v>
      </c>
    </row>
    <row r="1013" spans="1:4" x14ac:dyDescent="0.25">
      <c r="A1013" s="24">
        <v>2649</v>
      </c>
      <c r="B1013" s="24">
        <v>821403</v>
      </c>
      <c r="C1013" s="24" t="s">
        <v>1703</v>
      </c>
      <c r="D1013" s="24">
        <v>849</v>
      </c>
    </row>
    <row r="1014" spans="1:4" x14ac:dyDescent="0.25">
      <c r="A1014" s="24">
        <v>743</v>
      </c>
      <c r="B1014" s="24">
        <v>821411</v>
      </c>
      <c r="C1014" s="24" t="s">
        <v>1704</v>
      </c>
      <c r="D1014" s="24">
        <v>850</v>
      </c>
    </row>
    <row r="1015" spans="1:4" x14ac:dyDescent="0.25">
      <c r="A1015" s="24">
        <v>3305</v>
      </c>
      <c r="B1015" s="24">
        <v>813982</v>
      </c>
      <c r="C1015" s="24" t="s">
        <v>1334</v>
      </c>
      <c r="D1015" s="24">
        <v>850</v>
      </c>
    </row>
    <row r="1016" spans="1:4" x14ac:dyDescent="0.25">
      <c r="A1016" s="24">
        <v>1997</v>
      </c>
      <c r="B1016" s="24">
        <v>821420</v>
      </c>
      <c r="C1016" s="24" t="s">
        <v>1705</v>
      </c>
      <c r="D1016" s="24">
        <v>851</v>
      </c>
    </row>
    <row r="1017" spans="1:4" x14ac:dyDescent="0.25">
      <c r="A1017" s="24">
        <v>1384</v>
      </c>
      <c r="B1017" s="24">
        <v>821438</v>
      </c>
      <c r="C1017" s="24" t="s">
        <v>1344</v>
      </c>
      <c r="D1017" s="24">
        <v>852</v>
      </c>
    </row>
    <row r="1018" spans="1:4" x14ac:dyDescent="0.25">
      <c r="A1018" s="24">
        <v>1465</v>
      </c>
      <c r="B1018" s="24">
        <v>821446</v>
      </c>
      <c r="C1018" s="24" t="s">
        <v>1706</v>
      </c>
      <c r="D1018" s="24">
        <v>852</v>
      </c>
    </row>
    <row r="1019" spans="1:4" x14ac:dyDescent="0.25">
      <c r="A1019" s="24">
        <v>2575</v>
      </c>
      <c r="B1019" s="24">
        <v>821454</v>
      </c>
      <c r="C1019" s="24" t="s">
        <v>1708</v>
      </c>
      <c r="D1019" s="24">
        <v>853</v>
      </c>
    </row>
    <row r="1020" spans="1:4" x14ac:dyDescent="0.25">
      <c r="A1020" s="24">
        <v>37</v>
      </c>
      <c r="B1020" s="24">
        <v>821471</v>
      </c>
      <c r="C1020" s="24" t="s">
        <v>1709</v>
      </c>
      <c r="D1020" s="24">
        <v>854</v>
      </c>
    </row>
    <row r="1021" spans="1:4" x14ac:dyDescent="0.25">
      <c r="A1021" s="24">
        <v>995</v>
      </c>
      <c r="B1021" s="24">
        <v>821501</v>
      </c>
      <c r="C1021" s="24" t="s">
        <v>1710</v>
      </c>
      <c r="D1021" s="24">
        <v>855</v>
      </c>
    </row>
    <row r="1022" spans="1:4" x14ac:dyDescent="0.25">
      <c r="A1022" s="24">
        <v>683</v>
      </c>
      <c r="B1022" s="24">
        <v>821519</v>
      </c>
      <c r="C1022" s="24" t="s">
        <v>1711</v>
      </c>
      <c r="D1022" s="24">
        <v>856</v>
      </c>
    </row>
    <row r="1023" spans="1:4" x14ac:dyDescent="0.25">
      <c r="A1023" s="24">
        <v>541</v>
      </c>
      <c r="B1023" s="24">
        <v>821527</v>
      </c>
      <c r="C1023" s="24" t="s">
        <v>1712</v>
      </c>
      <c r="D1023" s="24">
        <v>857</v>
      </c>
    </row>
    <row r="1024" spans="1:4" x14ac:dyDescent="0.25">
      <c r="A1024" s="24">
        <v>1201</v>
      </c>
      <c r="B1024" s="24">
        <v>821551</v>
      </c>
      <c r="C1024" s="24" t="s">
        <v>1714</v>
      </c>
      <c r="D1024" s="24">
        <v>858</v>
      </c>
    </row>
    <row r="1025" spans="1:4" x14ac:dyDescent="0.25">
      <c r="A1025" s="24">
        <v>260</v>
      </c>
      <c r="B1025" s="24">
        <v>821560</v>
      </c>
      <c r="C1025" s="24" t="s">
        <v>1715</v>
      </c>
      <c r="D1025" s="24">
        <v>859</v>
      </c>
    </row>
    <row r="1026" spans="1:4" x14ac:dyDescent="0.25">
      <c r="A1026" s="24">
        <v>3548</v>
      </c>
      <c r="B1026" s="24">
        <v>821586</v>
      </c>
      <c r="C1026" s="24" t="s">
        <v>1716</v>
      </c>
      <c r="D1026" s="24">
        <v>860</v>
      </c>
    </row>
    <row r="1027" spans="1:4" x14ac:dyDescent="0.25">
      <c r="A1027" s="24">
        <v>2592</v>
      </c>
      <c r="B1027" s="24">
        <v>821632</v>
      </c>
      <c r="C1027" s="24" t="s">
        <v>1717</v>
      </c>
      <c r="D1027" s="24">
        <v>861</v>
      </c>
    </row>
    <row r="1028" spans="1:4" x14ac:dyDescent="0.25">
      <c r="A1028" s="24">
        <v>491</v>
      </c>
      <c r="B1028" s="24">
        <v>821713</v>
      </c>
      <c r="C1028" s="24" t="s">
        <v>1718</v>
      </c>
      <c r="D1028" s="24">
        <v>862</v>
      </c>
    </row>
    <row r="1029" spans="1:4" x14ac:dyDescent="0.25">
      <c r="A1029" s="24">
        <v>2302</v>
      </c>
      <c r="B1029" s="24">
        <v>821721</v>
      </c>
      <c r="C1029" s="24" t="s">
        <v>1719</v>
      </c>
      <c r="D1029" s="24">
        <v>863</v>
      </c>
    </row>
    <row r="1030" spans="1:4" x14ac:dyDescent="0.25">
      <c r="A1030" s="24">
        <v>418</v>
      </c>
      <c r="B1030" s="24">
        <v>821748</v>
      </c>
      <c r="C1030" s="24" t="s">
        <v>1721</v>
      </c>
      <c r="D1030" s="24">
        <v>864</v>
      </c>
    </row>
    <row r="1031" spans="1:4" x14ac:dyDescent="0.25">
      <c r="A1031" s="24">
        <v>1714</v>
      </c>
      <c r="B1031" s="24">
        <v>821730</v>
      </c>
      <c r="C1031" s="24" t="s">
        <v>1720</v>
      </c>
      <c r="D1031" s="24">
        <v>864</v>
      </c>
    </row>
    <row r="1032" spans="1:4" x14ac:dyDescent="0.25">
      <c r="A1032" s="24">
        <v>530</v>
      </c>
      <c r="B1032" s="24">
        <v>821756</v>
      </c>
      <c r="C1032" s="24" t="s">
        <v>1722</v>
      </c>
      <c r="D1032" s="24">
        <v>865</v>
      </c>
    </row>
    <row r="1033" spans="1:4" x14ac:dyDescent="0.25">
      <c r="A1033" s="24">
        <v>1683</v>
      </c>
      <c r="B1033" s="24">
        <v>821772</v>
      </c>
      <c r="C1033" s="24" t="s">
        <v>1722</v>
      </c>
      <c r="D1033" s="24">
        <v>866</v>
      </c>
    </row>
    <row r="1034" spans="1:4" x14ac:dyDescent="0.25">
      <c r="A1034" s="24">
        <v>421</v>
      </c>
      <c r="B1034" s="24">
        <v>821781</v>
      </c>
      <c r="C1034" s="24" t="s">
        <v>1723</v>
      </c>
      <c r="D1034" s="24">
        <v>867</v>
      </c>
    </row>
    <row r="1035" spans="1:4" x14ac:dyDescent="0.25">
      <c r="A1035" s="24">
        <v>2899</v>
      </c>
      <c r="B1035" s="24">
        <v>821811</v>
      </c>
      <c r="C1035" s="24" t="s">
        <v>1725</v>
      </c>
      <c r="D1035" s="24">
        <v>868</v>
      </c>
    </row>
    <row r="1036" spans="1:4" x14ac:dyDescent="0.25">
      <c r="A1036" s="24">
        <v>3010</v>
      </c>
      <c r="B1036" s="24">
        <v>821845</v>
      </c>
      <c r="C1036" s="24" t="s">
        <v>1726</v>
      </c>
      <c r="D1036" s="24">
        <v>869</v>
      </c>
    </row>
    <row r="1037" spans="1:4" x14ac:dyDescent="0.25">
      <c r="A1037" s="24">
        <v>98</v>
      </c>
      <c r="B1037" s="24">
        <v>821853</v>
      </c>
      <c r="C1037" s="24" t="s">
        <v>1727</v>
      </c>
      <c r="D1037" s="24">
        <v>870</v>
      </c>
    </row>
    <row r="1038" spans="1:4" x14ac:dyDescent="0.25">
      <c r="A1038" s="24">
        <v>1406</v>
      </c>
      <c r="B1038" s="24">
        <v>821870</v>
      </c>
      <c r="C1038" s="24" t="s">
        <v>1728</v>
      </c>
      <c r="D1038" s="24">
        <v>871</v>
      </c>
    </row>
    <row r="1039" spans="1:4" x14ac:dyDescent="0.25">
      <c r="A1039" s="24">
        <v>3351</v>
      </c>
      <c r="B1039" s="24">
        <v>950149</v>
      </c>
      <c r="C1039" s="24" t="s">
        <v>4116</v>
      </c>
      <c r="D1039" s="24">
        <v>871</v>
      </c>
    </row>
    <row r="1040" spans="1:4" x14ac:dyDescent="0.25">
      <c r="A1040" s="24">
        <v>1650</v>
      </c>
      <c r="B1040" s="24">
        <v>821888</v>
      </c>
      <c r="C1040" s="24" t="s">
        <v>1729</v>
      </c>
      <c r="D1040" s="24">
        <v>872</v>
      </c>
    </row>
    <row r="1041" spans="1:4" x14ac:dyDescent="0.25">
      <c r="A1041" s="24">
        <v>2777</v>
      </c>
      <c r="B1041" s="24">
        <v>821896</v>
      </c>
      <c r="C1041" s="24" t="s">
        <v>1730</v>
      </c>
      <c r="D1041" s="24">
        <v>873</v>
      </c>
    </row>
    <row r="1042" spans="1:4" x14ac:dyDescent="0.25">
      <c r="A1042" s="24">
        <v>1625</v>
      </c>
      <c r="B1042" s="24">
        <v>821900</v>
      </c>
      <c r="C1042" s="24" t="s">
        <v>1731</v>
      </c>
      <c r="D1042" s="24">
        <v>874</v>
      </c>
    </row>
    <row r="1043" spans="1:4" x14ac:dyDescent="0.25">
      <c r="A1043" s="24">
        <v>3147</v>
      </c>
      <c r="B1043" s="24">
        <v>821926</v>
      </c>
      <c r="C1043" s="24" t="s">
        <v>1731</v>
      </c>
      <c r="D1043" s="24">
        <v>875</v>
      </c>
    </row>
    <row r="1044" spans="1:4" x14ac:dyDescent="0.25">
      <c r="A1044" s="24">
        <v>2781</v>
      </c>
      <c r="B1044" s="24">
        <v>821934</v>
      </c>
      <c r="C1044" s="24" t="s">
        <v>1732</v>
      </c>
      <c r="D1044" s="24">
        <v>876</v>
      </c>
    </row>
    <row r="1045" spans="1:4" x14ac:dyDescent="0.25">
      <c r="A1045" s="24">
        <v>1861</v>
      </c>
      <c r="B1045" s="24">
        <v>821951</v>
      </c>
      <c r="C1045" s="24" t="s">
        <v>1734</v>
      </c>
      <c r="D1045" s="24">
        <v>877</v>
      </c>
    </row>
    <row r="1046" spans="1:4" x14ac:dyDescent="0.25">
      <c r="A1046" s="24">
        <v>1535</v>
      </c>
      <c r="B1046" s="24">
        <v>821969</v>
      </c>
      <c r="C1046" s="24" t="s">
        <v>1735</v>
      </c>
      <c r="D1046" s="24">
        <v>878</v>
      </c>
    </row>
    <row r="1047" spans="1:4" x14ac:dyDescent="0.25">
      <c r="A1047" s="24">
        <v>1286</v>
      </c>
      <c r="B1047" s="24">
        <v>821977</v>
      </c>
      <c r="C1047" s="24" t="s">
        <v>1735</v>
      </c>
      <c r="D1047" s="24">
        <v>879</v>
      </c>
    </row>
    <row r="1048" spans="1:4" x14ac:dyDescent="0.25">
      <c r="A1048" s="24">
        <v>430</v>
      </c>
      <c r="B1048" s="24">
        <v>821985</v>
      </c>
      <c r="C1048" s="24" t="s">
        <v>1736</v>
      </c>
      <c r="D1048" s="24">
        <v>880</v>
      </c>
    </row>
    <row r="1049" spans="1:4" x14ac:dyDescent="0.25">
      <c r="A1049" s="24">
        <v>1961</v>
      </c>
      <c r="B1049" s="24">
        <v>822001</v>
      </c>
      <c r="C1049" s="24" t="s">
        <v>1737</v>
      </c>
      <c r="D1049" s="24">
        <v>881</v>
      </c>
    </row>
    <row r="1050" spans="1:4" x14ac:dyDescent="0.25">
      <c r="A1050" s="24">
        <v>2938</v>
      </c>
      <c r="B1050" s="24">
        <v>822019</v>
      </c>
      <c r="C1050" s="24" t="s">
        <v>1738</v>
      </c>
      <c r="D1050" s="24">
        <v>882</v>
      </c>
    </row>
    <row r="1051" spans="1:4" x14ac:dyDescent="0.25">
      <c r="A1051" s="24">
        <v>9</v>
      </c>
      <c r="B1051" s="24">
        <v>822027</v>
      </c>
      <c r="C1051" s="24" t="s">
        <v>1738</v>
      </c>
      <c r="D1051" s="24">
        <v>883</v>
      </c>
    </row>
    <row r="1052" spans="1:4" x14ac:dyDescent="0.25">
      <c r="A1052" s="24">
        <v>3074</v>
      </c>
      <c r="B1052" s="24">
        <v>822035</v>
      </c>
      <c r="C1052" s="24" t="s">
        <v>1739</v>
      </c>
      <c r="D1052" s="24">
        <v>884</v>
      </c>
    </row>
    <row r="1053" spans="1:4" x14ac:dyDescent="0.25">
      <c r="A1053" s="24">
        <v>1794</v>
      </c>
      <c r="B1053" s="24">
        <v>822043</v>
      </c>
      <c r="C1053" s="24" t="s">
        <v>1740</v>
      </c>
      <c r="D1053" s="24">
        <v>885</v>
      </c>
    </row>
    <row r="1054" spans="1:4" x14ac:dyDescent="0.25">
      <c r="A1054" s="24">
        <v>1438</v>
      </c>
      <c r="B1054" s="24">
        <v>822060</v>
      </c>
      <c r="C1054" s="24" t="s">
        <v>1742</v>
      </c>
      <c r="D1054" s="24">
        <v>886</v>
      </c>
    </row>
    <row r="1055" spans="1:4" x14ac:dyDescent="0.25">
      <c r="A1055" s="24">
        <v>3083</v>
      </c>
      <c r="B1055" s="24">
        <v>822051</v>
      </c>
      <c r="C1055" s="24" t="s">
        <v>1741</v>
      </c>
      <c r="D1055" s="24">
        <v>886</v>
      </c>
    </row>
    <row r="1056" spans="1:4" x14ac:dyDescent="0.25">
      <c r="A1056" s="24">
        <v>3033</v>
      </c>
      <c r="B1056" s="24">
        <v>822078</v>
      </c>
      <c r="C1056" s="24" t="s">
        <v>1743</v>
      </c>
      <c r="D1056" s="24">
        <v>886</v>
      </c>
    </row>
    <row r="1057" spans="1:4" x14ac:dyDescent="0.25">
      <c r="A1057" s="24">
        <v>1897</v>
      </c>
      <c r="B1057" s="24">
        <v>822086</v>
      </c>
      <c r="C1057" s="24" t="s">
        <v>1744</v>
      </c>
      <c r="D1057" s="24">
        <v>887</v>
      </c>
    </row>
    <row r="1058" spans="1:4" x14ac:dyDescent="0.25">
      <c r="A1058" s="24">
        <v>1045</v>
      </c>
      <c r="B1058" s="24">
        <v>822108</v>
      </c>
      <c r="C1058" s="24" t="s">
        <v>1746</v>
      </c>
      <c r="D1058" s="24">
        <v>888</v>
      </c>
    </row>
    <row r="1059" spans="1:4" x14ac:dyDescent="0.25">
      <c r="A1059" s="24">
        <v>3019</v>
      </c>
      <c r="B1059" s="24">
        <v>822124</v>
      </c>
      <c r="C1059" s="24" t="s">
        <v>1747</v>
      </c>
      <c r="D1059" s="24">
        <v>889</v>
      </c>
    </row>
    <row r="1060" spans="1:4" x14ac:dyDescent="0.25">
      <c r="A1060" s="24">
        <v>2867</v>
      </c>
      <c r="B1060" s="24">
        <v>822167</v>
      </c>
      <c r="C1060" s="24" t="s">
        <v>1750</v>
      </c>
      <c r="D1060" s="24">
        <v>890</v>
      </c>
    </row>
    <row r="1061" spans="1:4" x14ac:dyDescent="0.25">
      <c r="A1061" s="24">
        <v>2508</v>
      </c>
      <c r="B1061" s="24">
        <v>822141</v>
      </c>
      <c r="C1061" s="24" t="s">
        <v>1749</v>
      </c>
      <c r="D1061" s="24">
        <v>891</v>
      </c>
    </row>
    <row r="1062" spans="1:4" x14ac:dyDescent="0.25">
      <c r="A1062" s="24">
        <v>1077</v>
      </c>
      <c r="B1062" s="24">
        <v>822183</v>
      </c>
      <c r="C1062" s="24" t="s">
        <v>1749</v>
      </c>
      <c r="D1062" s="24">
        <v>892</v>
      </c>
    </row>
    <row r="1063" spans="1:4" x14ac:dyDescent="0.25">
      <c r="A1063" s="24">
        <v>3544</v>
      </c>
      <c r="B1063" s="24">
        <v>822191</v>
      </c>
      <c r="C1063" s="24" t="s">
        <v>1751</v>
      </c>
      <c r="D1063" s="24">
        <v>892</v>
      </c>
    </row>
    <row r="1064" spans="1:4" x14ac:dyDescent="0.25">
      <c r="A1064" s="24">
        <v>1993</v>
      </c>
      <c r="B1064" s="24">
        <v>822205</v>
      </c>
      <c r="C1064" s="24" t="s">
        <v>1752</v>
      </c>
      <c r="D1064" s="24">
        <v>893</v>
      </c>
    </row>
    <row r="1065" spans="1:4" x14ac:dyDescent="0.25">
      <c r="A1065" s="24">
        <v>413</v>
      </c>
      <c r="B1065" s="24">
        <v>822213</v>
      </c>
      <c r="C1065" s="24" t="s">
        <v>1753</v>
      </c>
      <c r="D1065" s="24">
        <v>894</v>
      </c>
    </row>
    <row r="1066" spans="1:4" x14ac:dyDescent="0.25">
      <c r="A1066" s="24">
        <v>2194</v>
      </c>
      <c r="B1066" s="24">
        <v>822221</v>
      </c>
      <c r="C1066" s="24" t="s">
        <v>1754</v>
      </c>
      <c r="D1066" s="24">
        <v>895</v>
      </c>
    </row>
    <row r="1067" spans="1:4" x14ac:dyDescent="0.25">
      <c r="A1067" s="24">
        <v>509</v>
      </c>
      <c r="B1067" s="24">
        <v>822248</v>
      </c>
      <c r="C1067" s="24" t="s">
        <v>1756</v>
      </c>
      <c r="D1067" s="24">
        <v>896</v>
      </c>
    </row>
    <row r="1068" spans="1:4" x14ac:dyDescent="0.25">
      <c r="A1068" s="24">
        <v>479</v>
      </c>
      <c r="B1068" s="24">
        <v>822272</v>
      </c>
      <c r="C1068" s="24" t="s">
        <v>1758</v>
      </c>
      <c r="D1068" s="24">
        <v>897</v>
      </c>
    </row>
    <row r="1069" spans="1:4" x14ac:dyDescent="0.25">
      <c r="A1069" s="24">
        <v>1711</v>
      </c>
      <c r="B1069" s="24">
        <v>838004</v>
      </c>
      <c r="C1069" s="24" t="s">
        <v>2476</v>
      </c>
      <c r="D1069" s="24">
        <v>897</v>
      </c>
    </row>
    <row r="1070" spans="1:4" x14ac:dyDescent="0.25">
      <c r="A1070" s="24">
        <v>836</v>
      </c>
      <c r="B1070" s="24">
        <v>822281</v>
      </c>
      <c r="C1070" s="24" t="s">
        <v>1759</v>
      </c>
      <c r="D1070" s="24">
        <v>898</v>
      </c>
    </row>
    <row r="1071" spans="1:4" x14ac:dyDescent="0.25">
      <c r="A1071" s="24">
        <v>482</v>
      </c>
      <c r="B1071" s="24">
        <v>822302</v>
      </c>
      <c r="C1071" s="24" t="s">
        <v>1760</v>
      </c>
      <c r="D1071" s="24">
        <v>899</v>
      </c>
    </row>
    <row r="1072" spans="1:4" x14ac:dyDescent="0.25">
      <c r="A1072" s="24">
        <v>1530</v>
      </c>
      <c r="B1072" s="24">
        <v>822337</v>
      </c>
      <c r="C1072" s="24" t="s">
        <v>1761</v>
      </c>
      <c r="D1072" s="24">
        <v>900</v>
      </c>
    </row>
    <row r="1073" spans="1:4" x14ac:dyDescent="0.25">
      <c r="A1073" s="24">
        <v>617</v>
      </c>
      <c r="B1073" s="24">
        <v>822329</v>
      </c>
      <c r="C1073" s="24" t="s">
        <v>1761</v>
      </c>
      <c r="D1073" s="24">
        <v>901</v>
      </c>
    </row>
    <row r="1074" spans="1:4" x14ac:dyDescent="0.25">
      <c r="A1074" s="24">
        <v>2293</v>
      </c>
      <c r="B1074" s="24">
        <v>822345</v>
      </c>
      <c r="C1074" s="24" t="s">
        <v>1762</v>
      </c>
      <c r="D1074" s="24">
        <v>902</v>
      </c>
    </row>
    <row r="1075" spans="1:4" x14ac:dyDescent="0.25">
      <c r="A1075" s="24">
        <v>64</v>
      </c>
      <c r="B1075" s="24">
        <v>822353</v>
      </c>
      <c r="C1075" s="24" t="s">
        <v>1763</v>
      </c>
      <c r="D1075" s="24">
        <v>903</v>
      </c>
    </row>
    <row r="1076" spans="1:4" x14ac:dyDescent="0.25">
      <c r="A1076" s="24">
        <v>1085</v>
      </c>
      <c r="B1076" s="24">
        <v>822388</v>
      </c>
      <c r="C1076" s="24" t="s">
        <v>1764</v>
      </c>
      <c r="D1076" s="24">
        <v>904</v>
      </c>
    </row>
    <row r="1077" spans="1:4" x14ac:dyDescent="0.25">
      <c r="A1077" s="24">
        <v>757</v>
      </c>
      <c r="B1077" s="24">
        <v>822396</v>
      </c>
      <c r="C1077" s="24" t="s">
        <v>1765</v>
      </c>
      <c r="D1077" s="24">
        <v>905</v>
      </c>
    </row>
    <row r="1078" spans="1:4" x14ac:dyDescent="0.25">
      <c r="A1078" s="24">
        <v>204</v>
      </c>
      <c r="B1078" s="24">
        <v>844977</v>
      </c>
      <c r="C1078" s="24" t="s">
        <v>2773</v>
      </c>
      <c r="D1078" s="24">
        <v>906</v>
      </c>
    </row>
    <row r="1079" spans="1:4" x14ac:dyDescent="0.25">
      <c r="A1079" s="24">
        <v>939</v>
      </c>
      <c r="B1079" s="24">
        <v>822400</v>
      </c>
      <c r="C1079" s="24" t="s">
        <v>895</v>
      </c>
      <c r="D1079" s="24">
        <v>906</v>
      </c>
    </row>
    <row r="1080" spans="1:4" x14ac:dyDescent="0.25">
      <c r="A1080" s="24">
        <v>2948</v>
      </c>
      <c r="B1080" s="24">
        <v>822418</v>
      </c>
      <c r="C1080" s="24" t="s">
        <v>1766</v>
      </c>
      <c r="D1080" s="24">
        <v>906</v>
      </c>
    </row>
    <row r="1081" spans="1:4" x14ac:dyDescent="0.25">
      <c r="A1081" s="24">
        <v>2842</v>
      </c>
      <c r="B1081" s="24">
        <v>822434</v>
      </c>
      <c r="C1081" s="24" t="s">
        <v>1767</v>
      </c>
      <c r="D1081" s="24">
        <v>907</v>
      </c>
    </row>
    <row r="1082" spans="1:4" x14ac:dyDescent="0.25">
      <c r="A1082" s="24">
        <v>187</v>
      </c>
      <c r="B1082" s="24">
        <v>822451</v>
      </c>
      <c r="C1082" s="24" t="s">
        <v>1768</v>
      </c>
      <c r="D1082" s="24">
        <v>908</v>
      </c>
    </row>
    <row r="1083" spans="1:4" x14ac:dyDescent="0.25">
      <c r="A1083" s="24">
        <v>1489</v>
      </c>
      <c r="B1083" s="24">
        <v>822485</v>
      </c>
      <c r="C1083" s="24" t="s">
        <v>1769</v>
      </c>
      <c r="D1083" s="24">
        <v>909</v>
      </c>
    </row>
    <row r="1084" spans="1:4" x14ac:dyDescent="0.25">
      <c r="A1084" s="24">
        <v>1180</v>
      </c>
      <c r="B1084" s="24">
        <v>822493</v>
      </c>
      <c r="C1084" s="24" t="s">
        <v>1770</v>
      </c>
      <c r="D1084" s="24">
        <v>910</v>
      </c>
    </row>
    <row r="1085" spans="1:4" x14ac:dyDescent="0.25">
      <c r="A1085" s="24">
        <v>2196</v>
      </c>
      <c r="B1085" s="24">
        <v>822507</v>
      </c>
      <c r="C1085" s="24" t="s">
        <v>1771</v>
      </c>
      <c r="D1085" s="24">
        <v>911</v>
      </c>
    </row>
    <row r="1086" spans="1:4" x14ac:dyDescent="0.25">
      <c r="A1086" s="24">
        <v>2579</v>
      </c>
      <c r="B1086" s="24">
        <v>822515</v>
      </c>
      <c r="C1086" s="24" t="s">
        <v>1772</v>
      </c>
      <c r="D1086" s="24">
        <v>912</v>
      </c>
    </row>
    <row r="1087" spans="1:4" x14ac:dyDescent="0.25">
      <c r="A1087" s="24">
        <v>469</v>
      </c>
      <c r="B1087" s="24">
        <v>822566</v>
      </c>
      <c r="C1087" s="24" t="s">
        <v>1773</v>
      </c>
      <c r="D1087" s="24">
        <v>913</v>
      </c>
    </row>
    <row r="1088" spans="1:4" x14ac:dyDescent="0.25">
      <c r="A1088" s="24">
        <v>424</v>
      </c>
      <c r="B1088" s="24">
        <v>822574</v>
      </c>
      <c r="C1088" s="24" t="s">
        <v>1774</v>
      </c>
      <c r="D1088" s="24">
        <v>914</v>
      </c>
    </row>
    <row r="1089" spans="1:4" x14ac:dyDescent="0.25">
      <c r="A1089" s="24">
        <v>3488</v>
      </c>
      <c r="B1089" s="24">
        <v>822621</v>
      </c>
      <c r="C1089" s="24" t="s">
        <v>1775</v>
      </c>
      <c r="D1089" s="24">
        <v>915</v>
      </c>
    </row>
    <row r="1090" spans="1:4" x14ac:dyDescent="0.25">
      <c r="A1090" s="24">
        <v>1191</v>
      </c>
      <c r="B1090" s="24">
        <v>822655</v>
      </c>
      <c r="C1090" s="24" t="s">
        <v>1776</v>
      </c>
      <c r="D1090" s="24">
        <v>916</v>
      </c>
    </row>
    <row r="1091" spans="1:4" x14ac:dyDescent="0.25">
      <c r="A1091" s="24">
        <v>1457</v>
      </c>
      <c r="B1091" s="24">
        <v>822671</v>
      </c>
      <c r="C1091" s="24" t="s">
        <v>1778</v>
      </c>
      <c r="D1091" s="24">
        <v>917</v>
      </c>
    </row>
    <row r="1092" spans="1:4" x14ac:dyDescent="0.25">
      <c r="A1092" s="24">
        <v>1092</v>
      </c>
      <c r="B1092" s="24">
        <v>822663</v>
      </c>
      <c r="C1092" s="24" t="s">
        <v>1777</v>
      </c>
      <c r="D1092" s="24">
        <v>917</v>
      </c>
    </row>
    <row r="1093" spans="1:4" x14ac:dyDescent="0.25">
      <c r="A1093" s="24">
        <v>2384</v>
      </c>
      <c r="B1093" s="24">
        <v>822680</v>
      </c>
      <c r="C1093" s="24" t="s">
        <v>1779</v>
      </c>
      <c r="D1093" s="24">
        <v>917</v>
      </c>
    </row>
    <row r="1094" spans="1:4" x14ac:dyDescent="0.25">
      <c r="A1094" s="24">
        <v>176</v>
      </c>
      <c r="B1094" s="24">
        <v>822698</v>
      </c>
      <c r="C1094" s="24" t="s">
        <v>1780</v>
      </c>
      <c r="D1094" s="24">
        <v>918</v>
      </c>
    </row>
    <row r="1095" spans="1:4" x14ac:dyDescent="0.25">
      <c r="A1095" s="24">
        <v>1300</v>
      </c>
      <c r="B1095" s="24">
        <v>822728</v>
      </c>
      <c r="C1095" s="24" t="s">
        <v>1781</v>
      </c>
      <c r="D1095" s="24">
        <v>919</v>
      </c>
    </row>
    <row r="1096" spans="1:4" x14ac:dyDescent="0.25">
      <c r="A1096" s="24">
        <v>2840</v>
      </c>
      <c r="B1096" s="24">
        <v>822736</v>
      </c>
      <c r="C1096" s="24" t="s">
        <v>1782</v>
      </c>
      <c r="D1096" s="24">
        <v>920</v>
      </c>
    </row>
    <row r="1097" spans="1:4" x14ac:dyDescent="0.25">
      <c r="A1097" s="24">
        <v>2993</v>
      </c>
      <c r="B1097" s="24">
        <v>822744</v>
      </c>
      <c r="C1097" s="24" t="s">
        <v>1783</v>
      </c>
      <c r="D1097" s="24">
        <v>921</v>
      </c>
    </row>
    <row r="1098" spans="1:4" x14ac:dyDescent="0.25">
      <c r="A1098" s="24">
        <v>3271</v>
      </c>
      <c r="B1098" s="24">
        <v>822795</v>
      </c>
      <c r="C1098" s="24" t="s">
        <v>847</v>
      </c>
      <c r="D1098" s="24">
        <v>922</v>
      </c>
    </row>
    <row r="1099" spans="1:4" x14ac:dyDescent="0.25">
      <c r="A1099" s="24">
        <v>1398</v>
      </c>
      <c r="B1099" s="24">
        <v>802778</v>
      </c>
      <c r="C1099" s="24" t="s">
        <v>847</v>
      </c>
      <c r="D1099" s="24">
        <v>923</v>
      </c>
    </row>
    <row r="1100" spans="1:4" x14ac:dyDescent="0.25">
      <c r="A1100" s="24">
        <v>2773</v>
      </c>
      <c r="B1100" s="24">
        <v>822817</v>
      </c>
      <c r="C1100" s="24" t="s">
        <v>1784</v>
      </c>
      <c r="D1100" s="24">
        <v>924</v>
      </c>
    </row>
    <row r="1101" spans="1:4" x14ac:dyDescent="0.25">
      <c r="A1101" s="24">
        <v>1583</v>
      </c>
      <c r="B1101" s="24">
        <v>869023</v>
      </c>
      <c r="C1101" s="24" t="s">
        <v>1785</v>
      </c>
      <c r="D1101" s="24">
        <v>925</v>
      </c>
    </row>
    <row r="1102" spans="1:4" x14ac:dyDescent="0.25">
      <c r="A1102" s="24">
        <v>1856</v>
      </c>
      <c r="B1102" s="24">
        <v>822833</v>
      </c>
      <c r="C1102" s="24" t="s">
        <v>1786</v>
      </c>
      <c r="D1102" s="24">
        <v>926</v>
      </c>
    </row>
    <row r="1103" spans="1:4" x14ac:dyDescent="0.25">
      <c r="A1103" s="24">
        <v>1167</v>
      </c>
      <c r="B1103" s="24">
        <v>822841</v>
      </c>
      <c r="C1103" s="24" t="s">
        <v>1787</v>
      </c>
      <c r="D1103" s="24">
        <v>927</v>
      </c>
    </row>
    <row r="1104" spans="1:4" x14ac:dyDescent="0.25">
      <c r="A1104" s="24">
        <v>2862</v>
      </c>
      <c r="B1104" s="24">
        <v>822850</v>
      </c>
      <c r="C1104" s="24" t="s">
        <v>1788</v>
      </c>
      <c r="D1104" s="24">
        <v>928</v>
      </c>
    </row>
    <row r="1105" spans="1:4" x14ac:dyDescent="0.25">
      <c r="A1105" s="24">
        <v>251</v>
      </c>
      <c r="B1105" s="24">
        <v>822868</v>
      </c>
      <c r="C1105" s="24" t="s">
        <v>1789</v>
      </c>
      <c r="D1105" s="24">
        <v>929</v>
      </c>
    </row>
    <row r="1106" spans="1:4" x14ac:dyDescent="0.25">
      <c r="A1106" s="24">
        <v>2780</v>
      </c>
      <c r="B1106" s="24">
        <v>822906</v>
      </c>
      <c r="C1106" s="24" t="s">
        <v>1792</v>
      </c>
      <c r="D1106" s="24">
        <v>930</v>
      </c>
    </row>
    <row r="1107" spans="1:4" x14ac:dyDescent="0.25">
      <c r="A1107" s="24">
        <v>2630</v>
      </c>
      <c r="B1107" s="24">
        <v>822914</v>
      </c>
      <c r="C1107" s="24" t="s">
        <v>1793</v>
      </c>
      <c r="D1107" s="24">
        <v>931</v>
      </c>
    </row>
    <row r="1108" spans="1:4" x14ac:dyDescent="0.25">
      <c r="A1108" s="24">
        <v>427</v>
      </c>
      <c r="B1108" s="24">
        <v>822922</v>
      </c>
      <c r="C1108" s="24" t="s">
        <v>1794</v>
      </c>
      <c r="D1108" s="24">
        <v>932</v>
      </c>
    </row>
    <row r="1109" spans="1:4" x14ac:dyDescent="0.25">
      <c r="A1109" s="24">
        <v>232</v>
      </c>
      <c r="B1109" s="24">
        <v>822931</v>
      </c>
      <c r="C1109" s="24" t="s">
        <v>1795</v>
      </c>
      <c r="D1109" s="24">
        <v>933</v>
      </c>
    </row>
    <row r="1110" spans="1:4" x14ac:dyDescent="0.25">
      <c r="A1110" s="24">
        <v>607</v>
      </c>
      <c r="B1110" s="24">
        <v>822957</v>
      </c>
      <c r="C1110" s="24" t="s">
        <v>1796</v>
      </c>
      <c r="D1110" s="24">
        <v>934</v>
      </c>
    </row>
    <row r="1111" spans="1:4" x14ac:dyDescent="0.25">
      <c r="A1111" s="24">
        <v>55</v>
      </c>
      <c r="B1111" s="24">
        <v>822965</v>
      </c>
      <c r="C1111" s="24" t="s">
        <v>1797</v>
      </c>
      <c r="D1111" s="24">
        <v>935</v>
      </c>
    </row>
    <row r="1112" spans="1:4" x14ac:dyDescent="0.25">
      <c r="A1112" s="24">
        <v>241</v>
      </c>
      <c r="B1112" s="24">
        <v>822973</v>
      </c>
      <c r="C1112" s="24" t="s">
        <v>1798</v>
      </c>
      <c r="D1112" s="24">
        <v>936</v>
      </c>
    </row>
    <row r="1113" spans="1:4" x14ac:dyDescent="0.25">
      <c r="A1113" s="24">
        <v>2081</v>
      </c>
      <c r="B1113" s="24">
        <v>822981</v>
      </c>
      <c r="C1113" s="24" t="s">
        <v>1799</v>
      </c>
      <c r="D1113" s="24">
        <v>937</v>
      </c>
    </row>
    <row r="1114" spans="1:4" x14ac:dyDescent="0.25">
      <c r="A1114" s="24">
        <v>144</v>
      </c>
      <c r="B1114" s="24">
        <v>822990</v>
      </c>
      <c r="C1114" s="24" t="s">
        <v>1800</v>
      </c>
      <c r="D1114" s="24">
        <v>938</v>
      </c>
    </row>
    <row r="1115" spans="1:4" x14ac:dyDescent="0.25">
      <c r="A1115" s="24">
        <v>1257</v>
      </c>
      <c r="B1115" s="24">
        <v>823023</v>
      </c>
      <c r="C1115" s="24" t="s">
        <v>1802</v>
      </c>
      <c r="D1115" s="24">
        <v>939</v>
      </c>
    </row>
    <row r="1116" spans="1:4" x14ac:dyDescent="0.25">
      <c r="A1116" s="24">
        <v>3257</v>
      </c>
      <c r="B1116" s="24">
        <v>823031</v>
      </c>
      <c r="C1116" s="24" t="s">
        <v>1803</v>
      </c>
      <c r="D1116" s="24">
        <v>940</v>
      </c>
    </row>
    <row r="1117" spans="1:4" x14ac:dyDescent="0.25">
      <c r="A1117" s="24">
        <v>1298</v>
      </c>
      <c r="B1117" s="24">
        <v>823066</v>
      </c>
      <c r="C1117" s="24" t="s">
        <v>1805</v>
      </c>
      <c r="D1117" s="24">
        <v>941</v>
      </c>
    </row>
    <row r="1118" spans="1:4" x14ac:dyDescent="0.25">
      <c r="A1118" s="24">
        <v>3509</v>
      </c>
      <c r="B1118" s="24">
        <v>823058</v>
      </c>
      <c r="C1118" s="24" t="s">
        <v>1804</v>
      </c>
      <c r="D1118" s="24">
        <v>941</v>
      </c>
    </row>
    <row r="1119" spans="1:4" x14ac:dyDescent="0.25">
      <c r="A1119" s="24">
        <v>320</v>
      </c>
      <c r="B1119" s="24">
        <v>838152</v>
      </c>
      <c r="C1119" s="24" t="s">
        <v>2484</v>
      </c>
      <c r="D1119" s="24">
        <v>942</v>
      </c>
    </row>
    <row r="1120" spans="1:4" x14ac:dyDescent="0.25">
      <c r="A1120" s="24">
        <v>465</v>
      </c>
      <c r="B1120" s="24">
        <v>823112</v>
      </c>
      <c r="C1120" s="24" t="s">
        <v>1806</v>
      </c>
      <c r="D1120" s="24">
        <v>942</v>
      </c>
    </row>
    <row r="1121" spans="1:4" x14ac:dyDescent="0.25">
      <c r="A1121" s="24">
        <v>3100</v>
      </c>
      <c r="B1121" s="24">
        <v>823121</v>
      </c>
      <c r="C1121" s="24" t="s">
        <v>1807</v>
      </c>
      <c r="D1121" s="24">
        <v>942</v>
      </c>
    </row>
    <row r="1122" spans="1:4" x14ac:dyDescent="0.25">
      <c r="A1122" s="24">
        <v>2574</v>
      </c>
      <c r="B1122" s="24">
        <v>823147</v>
      </c>
      <c r="C1122" s="24" t="s">
        <v>1808</v>
      </c>
      <c r="D1122" s="24">
        <v>943</v>
      </c>
    </row>
    <row r="1123" spans="1:4" x14ac:dyDescent="0.25">
      <c r="A1123" s="24">
        <v>529</v>
      </c>
      <c r="B1123" s="24">
        <v>823155</v>
      </c>
      <c r="C1123" s="24" t="s">
        <v>1807</v>
      </c>
      <c r="D1123" s="24">
        <v>944</v>
      </c>
    </row>
    <row r="1124" spans="1:4" x14ac:dyDescent="0.25">
      <c r="A1124" s="24">
        <v>3323</v>
      </c>
      <c r="B1124" s="24">
        <v>823163</v>
      </c>
      <c r="C1124" s="24" t="s">
        <v>1809</v>
      </c>
      <c r="D1124" s="24">
        <v>945</v>
      </c>
    </row>
    <row r="1125" spans="1:4" x14ac:dyDescent="0.25">
      <c r="A1125" s="24">
        <v>416</v>
      </c>
      <c r="B1125" s="24">
        <v>823171</v>
      </c>
      <c r="C1125" s="24" t="s">
        <v>1810</v>
      </c>
      <c r="D1125" s="24">
        <v>946</v>
      </c>
    </row>
    <row r="1126" spans="1:4" x14ac:dyDescent="0.25">
      <c r="A1126" s="24">
        <v>2376</v>
      </c>
      <c r="B1126" s="24">
        <v>823180</v>
      </c>
      <c r="C1126" s="24" t="s">
        <v>1811</v>
      </c>
      <c r="D1126" s="24">
        <v>947</v>
      </c>
    </row>
    <row r="1127" spans="1:4" x14ac:dyDescent="0.25">
      <c r="A1127" s="24">
        <v>740</v>
      </c>
      <c r="B1127" s="24">
        <v>823210</v>
      </c>
      <c r="C1127" s="24" t="s">
        <v>1812</v>
      </c>
      <c r="D1127" s="24">
        <v>948</v>
      </c>
    </row>
    <row r="1128" spans="1:4" x14ac:dyDescent="0.25">
      <c r="A1128" s="24">
        <v>696</v>
      </c>
      <c r="B1128" s="24">
        <v>823228</v>
      </c>
      <c r="C1128" s="24" t="s">
        <v>1813</v>
      </c>
      <c r="D1128" s="24">
        <v>949</v>
      </c>
    </row>
    <row r="1129" spans="1:4" x14ac:dyDescent="0.25">
      <c r="A1129" s="24">
        <v>1358</v>
      </c>
      <c r="B1129" s="24">
        <v>823236</v>
      </c>
      <c r="C1129" s="24" t="s">
        <v>1814</v>
      </c>
      <c r="D1129" s="24">
        <v>950</v>
      </c>
    </row>
    <row r="1130" spans="1:4" x14ac:dyDescent="0.25">
      <c r="A1130" s="24">
        <v>1274</v>
      </c>
      <c r="B1130" s="24">
        <v>823252</v>
      </c>
      <c r="C1130" s="24" t="s">
        <v>1815</v>
      </c>
      <c r="D1130" s="24">
        <v>951</v>
      </c>
    </row>
    <row r="1131" spans="1:4" x14ac:dyDescent="0.25">
      <c r="A1131" s="24">
        <v>3535</v>
      </c>
      <c r="B1131" s="24">
        <v>823261</v>
      </c>
      <c r="C1131" s="24" t="s">
        <v>1816</v>
      </c>
      <c r="D1131" s="24">
        <v>952</v>
      </c>
    </row>
    <row r="1132" spans="1:4" x14ac:dyDescent="0.25">
      <c r="A1132" s="24">
        <v>1374</v>
      </c>
      <c r="B1132" s="24">
        <v>823287</v>
      </c>
      <c r="C1132" s="24" t="s">
        <v>1817</v>
      </c>
      <c r="D1132" s="24">
        <v>953</v>
      </c>
    </row>
    <row r="1133" spans="1:4" x14ac:dyDescent="0.25">
      <c r="A1133" s="24">
        <v>2792</v>
      </c>
      <c r="B1133" s="24">
        <v>823325</v>
      </c>
      <c r="C1133" s="24" t="s">
        <v>1819</v>
      </c>
      <c r="D1133" s="24">
        <v>954</v>
      </c>
    </row>
    <row r="1134" spans="1:4" x14ac:dyDescent="0.25">
      <c r="A1134" s="24">
        <v>280</v>
      </c>
      <c r="B1134" s="24">
        <v>823333</v>
      </c>
      <c r="C1134" s="24" t="s">
        <v>1820</v>
      </c>
      <c r="D1134" s="24">
        <v>955</v>
      </c>
    </row>
    <row r="1135" spans="1:4" x14ac:dyDescent="0.25">
      <c r="A1135" s="24">
        <v>3162</v>
      </c>
      <c r="B1135" s="24">
        <v>823350</v>
      </c>
      <c r="C1135" s="24" t="s">
        <v>1821</v>
      </c>
      <c r="D1135" s="24">
        <v>956</v>
      </c>
    </row>
    <row r="1136" spans="1:4" x14ac:dyDescent="0.25">
      <c r="A1136" s="24">
        <v>1491</v>
      </c>
      <c r="B1136" s="24">
        <v>823384</v>
      </c>
      <c r="C1136" s="24" t="s">
        <v>1822</v>
      </c>
      <c r="D1136" s="24">
        <v>957</v>
      </c>
    </row>
    <row r="1137" spans="1:4" x14ac:dyDescent="0.25">
      <c r="A1137" s="24">
        <v>256</v>
      </c>
      <c r="B1137" s="24">
        <v>823422</v>
      </c>
      <c r="C1137" s="24" t="s">
        <v>1823</v>
      </c>
      <c r="D1137" s="24">
        <v>958</v>
      </c>
    </row>
    <row r="1138" spans="1:4" x14ac:dyDescent="0.25">
      <c r="A1138" s="24">
        <v>3313</v>
      </c>
      <c r="B1138" s="24">
        <v>823449</v>
      </c>
      <c r="C1138" s="24" t="s">
        <v>1824</v>
      </c>
      <c r="D1138" s="24">
        <v>959</v>
      </c>
    </row>
    <row r="1139" spans="1:4" x14ac:dyDescent="0.25">
      <c r="A1139" s="24">
        <v>1343</v>
      </c>
      <c r="B1139" s="24">
        <v>823457</v>
      </c>
      <c r="C1139" s="24" t="s">
        <v>1824</v>
      </c>
      <c r="D1139" s="24">
        <v>960</v>
      </c>
    </row>
    <row r="1140" spans="1:4" x14ac:dyDescent="0.25">
      <c r="A1140" s="24">
        <v>1052</v>
      </c>
      <c r="B1140" s="24">
        <v>823473</v>
      </c>
      <c r="C1140" s="24" t="s">
        <v>1825</v>
      </c>
      <c r="D1140" s="24">
        <v>961</v>
      </c>
    </row>
    <row r="1141" spans="1:4" x14ac:dyDescent="0.25">
      <c r="A1141" s="24">
        <v>2925</v>
      </c>
      <c r="B1141" s="24">
        <v>823490</v>
      </c>
      <c r="C1141" s="24" t="s">
        <v>1826</v>
      </c>
      <c r="D1141" s="24">
        <v>962</v>
      </c>
    </row>
    <row r="1142" spans="1:4" x14ac:dyDescent="0.25">
      <c r="A1142" s="24">
        <v>2350</v>
      </c>
      <c r="B1142" s="24">
        <v>823503</v>
      </c>
      <c r="C1142" s="24" t="s">
        <v>1827</v>
      </c>
      <c r="D1142" s="24">
        <v>963</v>
      </c>
    </row>
    <row r="1143" spans="1:4" x14ac:dyDescent="0.25">
      <c r="A1143" s="24">
        <v>2137</v>
      </c>
      <c r="B1143" s="24">
        <v>823511</v>
      </c>
      <c r="C1143" s="24" t="s">
        <v>1827</v>
      </c>
      <c r="D1143" s="24">
        <v>964</v>
      </c>
    </row>
    <row r="1144" spans="1:4" x14ac:dyDescent="0.25">
      <c r="A1144" s="24">
        <v>679</v>
      </c>
      <c r="B1144" s="24">
        <v>823520</v>
      </c>
      <c r="C1144" s="24" t="s">
        <v>1828</v>
      </c>
      <c r="D1144" s="24">
        <v>965</v>
      </c>
    </row>
    <row r="1145" spans="1:4" x14ac:dyDescent="0.25">
      <c r="A1145" s="24">
        <v>2884</v>
      </c>
      <c r="B1145" s="24">
        <v>823538</v>
      </c>
      <c r="C1145" s="24" t="s">
        <v>1829</v>
      </c>
      <c r="D1145" s="24">
        <v>966</v>
      </c>
    </row>
    <row r="1146" spans="1:4" x14ac:dyDescent="0.25">
      <c r="A1146" s="24">
        <v>3339</v>
      </c>
      <c r="B1146" s="24">
        <v>823546</v>
      </c>
      <c r="C1146" s="24" t="s">
        <v>1830</v>
      </c>
      <c r="D1146" s="24">
        <v>967</v>
      </c>
    </row>
    <row r="1147" spans="1:4" x14ac:dyDescent="0.25">
      <c r="A1147" s="24">
        <v>2801</v>
      </c>
      <c r="B1147" s="24">
        <v>823554</v>
      </c>
      <c r="C1147" s="24" t="s">
        <v>1831</v>
      </c>
      <c r="D1147" s="24">
        <v>968</v>
      </c>
    </row>
    <row r="1148" spans="1:4" x14ac:dyDescent="0.25">
      <c r="A1148" s="24">
        <v>1172</v>
      </c>
      <c r="B1148" s="24">
        <v>823571</v>
      </c>
      <c r="C1148" s="24" t="s">
        <v>1832</v>
      </c>
      <c r="D1148" s="24">
        <v>969</v>
      </c>
    </row>
    <row r="1149" spans="1:4" x14ac:dyDescent="0.25">
      <c r="A1149" s="24">
        <v>2179</v>
      </c>
      <c r="B1149" s="24">
        <v>823589</v>
      </c>
      <c r="C1149" s="24" t="s">
        <v>1833</v>
      </c>
      <c r="D1149" s="24">
        <v>970</v>
      </c>
    </row>
    <row r="1150" spans="1:4" x14ac:dyDescent="0.25">
      <c r="A1150" s="24">
        <v>2788</v>
      </c>
      <c r="B1150" s="24">
        <v>823601</v>
      </c>
      <c r="C1150" s="24" t="s">
        <v>1835</v>
      </c>
      <c r="D1150" s="24">
        <v>971</v>
      </c>
    </row>
    <row r="1151" spans="1:4" x14ac:dyDescent="0.25">
      <c r="A1151" s="24">
        <v>820</v>
      </c>
      <c r="B1151" s="24">
        <v>823627</v>
      </c>
      <c r="C1151" s="24" t="s">
        <v>1836</v>
      </c>
      <c r="D1151" s="24">
        <v>972</v>
      </c>
    </row>
    <row r="1152" spans="1:4" x14ac:dyDescent="0.25">
      <c r="A1152" s="24">
        <v>1444</v>
      </c>
      <c r="B1152" s="24">
        <v>823635</v>
      </c>
      <c r="C1152" s="24" t="s">
        <v>1837</v>
      </c>
      <c r="D1152" s="24">
        <v>973</v>
      </c>
    </row>
    <row r="1153" spans="1:4" x14ac:dyDescent="0.25">
      <c r="A1153" s="24">
        <v>2921</v>
      </c>
      <c r="B1153" s="24">
        <v>823643</v>
      </c>
      <c r="C1153" s="24" t="s">
        <v>1838</v>
      </c>
      <c r="D1153" s="24">
        <v>974</v>
      </c>
    </row>
    <row r="1154" spans="1:4" x14ac:dyDescent="0.25">
      <c r="A1154" s="24">
        <v>1389</v>
      </c>
      <c r="B1154" s="24">
        <v>823651</v>
      </c>
      <c r="C1154" s="24" t="s">
        <v>1839</v>
      </c>
      <c r="D1154" s="24">
        <v>975</v>
      </c>
    </row>
    <row r="1155" spans="1:4" x14ac:dyDescent="0.25">
      <c r="A1155" s="24">
        <v>1728</v>
      </c>
      <c r="B1155" s="24">
        <v>823686</v>
      </c>
      <c r="C1155" s="24" t="s">
        <v>1842</v>
      </c>
      <c r="D1155" s="24">
        <v>976</v>
      </c>
    </row>
    <row r="1156" spans="1:4" x14ac:dyDescent="0.25">
      <c r="A1156" s="24">
        <v>1940</v>
      </c>
      <c r="B1156" s="24">
        <v>875384</v>
      </c>
      <c r="C1156" s="24" t="s">
        <v>4089</v>
      </c>
      <c r="D1156" s="24">
        <v>976</v>
      </c>
    </row>
    <row r="1157" spans="1:4" x14ac:dyDescent="0.25">
      <c r="A1157" s="24">
        <v>777</v>
      </c>
      <c r="B1157" s="24">
        <v>823708</v>
      </c>
      <c r="C1157" s="24" t="s">
        <v>1843</v>
      </c>
      <c r="D1157" s="24">
        <v>977</v>
      </c>
    </row>
    <row r="1158" spans="1:4" x14ac:dyDescent="0.25">
      <c r="A1158" s="24">
        <v>890</v>
      </c>
      <c r="B1158" s="24">
        <v>823732</v>
      </c>
      <c r="C1158" s="24" t="s">
        <v>1844</v>
      </c>
      <c r="D1158" s="24">
        <v>977</v>
      </c>
    </row>
    <row r="1159" spans="1:4" x14ac:dyDescent="0.25">
      <c r="A1159" s="24">
        <v>460</v>
      </c>
      <c r="B1159" s="24">
        <v>823741</v>
      </c>
      <c r="C1159" s="24" t="s">
        <v>1845</v>
      </c>
      <c r="D1159" s="24">
        <v>978</v>
      </c>
    </row>
    <row r="1160" spans="1:4" x14ac:dyDescent="0.25">
      <c r="A1160" s="24">
        <v>2504</v>
      </c>
      <c r="B1160" s="24">
        <v>823759</v>
      </c>
      <c r="C1160" s="24" t="s">
        <v>1846</v>
      </c>
      <c r="D1160" s="24">
        <v>979</v>
      </c>
    </row>
    <row r="1161" spans="1:4" x14ac:dyDescent="0.25">
      <c r="A1161" s="24">
        <v>3241</v>
      </c>
      <c r="B1161" s="24">
        <v>823767</v>
      </c>
      <c r="C1161" s="24" t="s">
        <v>1847</v>
      </c>
      <c r="D1161" s="24">
        <v>980</v>
      </c>
    </row>
    <row r="1162" spans="1:4" x14ac:dyDescent="0.25">
      <c r="A1162" s="24">
        <v>640</v>
      </c>
      <c r="B1162" s="24">
        <v>819085</v>
      </c>
      <c r="C1162" s="24" t="s">
        <v>1582</v>
      </c>
      <c r="D1162" s="24">
        <v>981</v>
      </c>
    </row>
    <row r="1163" spans="1:4" x14ac:dyDescent="0.25">
      <c r="A1163" s="24">
        <v>2314</v>
      </c>
      <c r="B1163" s="24">
        <v>823775</v>
      </c>
      <c r="C1163" s="24" t="s">
        <v>1848</v>
      </c>
      <c r="D1163" s="24">
        <v>982</v>
      </c>
    </row>
    <row r="1164" spans="1:4" x14ac:dyDescent="0.25">
      <c r="A1164" s="24">
        <v>96</v>
      </c>
      <c r="B1164" s="24">
        <v>823805</v>
      </c>
      <c r="C1164" s="24" t="s">
        <v>1850</v>
      </c>
      <c r="D1164" s="24">
        <v>983</v>
      </c>
    </row>
    <row r="1165" spans="1:4" x14ac:dyDescent="0.25">
      <c r="A1165" s="24">
        <v>860</v>
      </c>
      <c r="B1165" s="24">
        <v>823791</v>
      </c>
      <c r="C1165" s="24" t="s">
        <v>1849</v>
      </c>
      <c r="D1165" s="24">
        <v>983</v>
      </c>
    </row>
    <row r="1166" spans="1:4" x14ac:dyDescent="0.25">
      <c r="A1166" s="24">
        <v>3049</v>
      </c>
      <c r="B1166" s="24">
        <v>830178</v>
      </c>
      <c r="C1166" s="24" t="s">
        <v>2107</v>
      </c>
      <c r="D1166" s="24">
        <v>984</v>
      </c>
    </row>
    <row r="1167" spans="1:4" x14ac:dyDescent="0.25">
      <c r="A1167" s="24">
        <v>2819</v>
      </c>
      <c r="B1167" s="24">
        <v>823813</v>
      </c>
      <c r="C1167" s="24" t="s">
        <v>1851</v>
      </c>
      <c r="D1167" s="24">
        <v>985</v>
      </c>
    </row>
    <row r="1168" spans="1:4" x14ac:dyDescent="0.25">
      <c r="A1168" s="24">
        <v>2051</v>
      </c>
      <c r="B1168" s="24">
        <v>823945</v>
      </c>
      <c r="C1168" s="24" t="s">
        <v>1852</v>
      </c>
      <c r="D1168" s="24">
        <v>986</v>
      </c>
    </row>
    <row r="1169" spans="1:4" x14ac:dyDescent="0.25">
      <c r="A1169" s="24">
        <v>717</v>
      </c>
      <c r="B1169" s="24">
        <v>823970</v>
      </c>
      <c r="C1169" s="24" t="s">
        <v>1853</v>
      </c>
      <c r="D1169" s="24">
        <v>987</v>
      </c>
    </row>
    <row r="1170" spans="1:4" x14ac:dyDescent="0.25">
      <c r="A1170" s="24">
        <v>2102</v>
      </c>
      <c r="B1170" s="24">
        <v>824003</v>
      </c>
      <c r="C1170" s="24" t="s">
        <v>1854</v>
      </c>
      <c r="D1170" s="24">
        <v>988</v>
      </c>
    </row>
    <row r="1171" spans="1:4" x14ac:dyDescent="0.25">
      <c r="A1171" s="24">
        <v>1240</v>
      </c>
      <c r="B1171" s="24">
        <v>824011</v>
      </c>
      <c r="C1171" s="24" t="s">
        <v>1855</v>
      </c>
      <c r="D1171" s="24">
        <v>989</v>
      </c>
    </row>
    <row r="1172" spans="1:4" x14ac:dyDescent="0.25">
      <c r="A1172" s="24">
        <v>669</v>
      </c>
      <c r="B1172" s="24">
        <v>824020</v>
      </c>
      <c r="C1172" s="24" t="s">
        <v>1856</v>
      </c>
      <c r="D1172" s="24">
        <v>990</v>
      </c>
    </row>
    <row r="1173" spans="1:4" x14ac:dyDescent="0.25">
      <c r="A1173" s="24">
        <v>752</v>
      </c>
      <c r="B1173" s="24">
        <v>824038</v>
      </c>
      <c r="C1173" s="24" t="s">
        <v>1857</v>
      </c>
      <c r="D1173" s="24">
        <v>991</v>
      </c>
    </row>
    <row r="1174" spans="1:4" x14ac:dyDescent="0.25">
      <c r="A1174" s="24">
        <v>3446</v>
      </c>
      <c r="B1174" s="24">
        <v>824054</v>
      </c>
      <c r="C1174" s="24" t="s">
        <v>1858</v>
      </c>
      <c r="D1174" s="24">
        <v>992</v>
      </c>
    </row>
    <row r="1175" spans="1:4" x14ac:dyDescent="0.25">
      <c r="A1175" s="24">
        <v>1554</v>
      </c>
      <c r="B1175" s="24">
        <v>830879</v>
      </c>
      <c r="C1175" s="24" t="s">
        <v>2139</v>
      </c>
      <c r="D1175" s="24">
        <v>993</v>
      </c>
    </row>
    <row r="1176" spans="1:4" x14ac:dyDescent="0.25">
      <c r="A1176" s="24">
        <v>1508</v>
      </c>
      <c r="B1176" s="24">
        <v>824089</v>
      </c>
      <c r="C1176" s="24" t="s">
        <v>1860</v>
      </c>
      <c r="D1176" s="24">
        <v>993</v>
      </c>
    </row>
    <row r="1177" spans="1:4" x14ac:dyDescent="0.25">
      <c r="A1177" s="24">
        <v>1761</v>
      </c>
      <c r="B1177" s="24">
        <v>822132</v>
      </c>
      <c r="C1177" s="24" t="s">
        <v>1748</v>
      </c>
      <c r="D1177" s="24">
        <v>994</v>
      </c>
    </row>
    <row r="1178" spans="1:4" x14ac:dyDescent="0.25">
      <c r="A1178" s="24">
        <v>3333</v>
      </c>
      <c r="B1178" s="24">
        <v>824101</v>
      </c>
      <c r="C1178" s="24" t="s">
        <v>1861</v>
      </c>
      <c r="D1178" s="24">
        <v>994</v>
      </c>
    </row>
    <row r="1179" spans="1:4" x14ac:dyDescent="0.25">
      <c r="A1179" s="24">
        <v>3038</v>
      </c>
      <c r="B1179" s="24">
        <v>824127</v>
      </c>
      <c r="C1179" s="24" t="s">
        <v>1862</v>
      </c>
      <c r="D1179" s="24">
        <v>995</v>
      </c>
    </row>
    <row r="1180" spans="1:4" x14ac:dyDescent="0.25">
      <c r="A1180" s="24">
        <v>3369</v>
      </c>
      <c r="B1180" s="24">
        <v>824135</v>
      </c>
      <c r="C1180" s="24" t="s">
        <v>1863</v>
      </c>
      <c r="D1180" s="24">
        <v>996</v>
      </c>
    </row>
    <row r="1181" spans="1:4" x14ac:dyDescent="0.25">
      <c r="A1181" s="24">
        <v>1480</v>
      </c>
      <c r="B1181" s="24">
        <v>824143</v>
      </c>
      <c r="C1181" s="24" t="s">
        <v>1864</v>
      </c>
      <c r="D1181" s="24">
        <v>997</v>
      </c>
    </row>
    <row r="1182" spans="1:4" x14ac:dyDescent="0.25">
      <c r="A1182" s="24">
        <v>1005</v>
      </c>
      <c r="B1182" s="24">
        <v>824151</v>
      </c>
      <c r="C1182" s="24" t="s">
        <v>1865</v>
      </c>
      <c r="D1182" s="24">
        <v>998</v>
      </c>
    </row>
    <row r="1183" spans="1:4" x14ac:dyDescent="0.25">
      <c r="A1183" s="24">
        <v>3096</v>
      </c>
      <c r="B1183" s="24">
        <v>824224</v>
      </c>
      <c r="C1183" s="24" t="s">
        <v>1866</v>
      </c>
      <c r="D1183" s="24">
        <v>999</v>
      </c>
    </row>
    <row r="1184" spans="1:4" x14ac:dyDescent="0.25">
      <c r="A1184" s="24">
        <v>2686</v>
      </c>
      <c r="B1184" s="24">
        <v>824348</v>
      </c>
      <c r="C1184" s="24" t="s">
        <v>1867</v>
      </c>
      <c r="D1184" s="24">
        <v>1000</v>
      </c>
    </row>
    <row r="1185" spans="1:4" x14ac:dyDescent="0.25">
      <c r="A1185" s="24">
        <v>3031</v>
      </c>
      <c r="B1185" s="24">
        <v>824364</v>
      </c>
      <c r="C1185" s="24" t="s">
        <v>1868</v>
      </c>
      <c r="D1185" s="24">
        <v>1001</v>
      </c>
    </row>
    <row r="1186" spans="1:4" x14ac:dyDescent="0.25">
      <c r="A1186" s="24">
        <v>3105</v>
      </c>
      <c r="B1186" s="24">
        <v>858960</v>
      </c>
      <c r="C1186" s="24" t="s">
        <v>3347</v>
      </c>
      <c r="D1186" s="24">
        <v>1002</v>
      </c>
    </row>
    <row r="1187" spans="1:4" x14ac:dyDescent="0.25">
      <c r="A1187" s="24">
        <v>3048</v>
      </c>
      <c r="B1187" s="24">
        <v>824381</v>
      </c>
      <c r="C1187" s="24" t="s">
        <v>1869</v>
      </c>
      <c r="D1187" s="24">
        <v>1003</v>
      </c>
    </row>
    <row r="1188" spans="1:4" x14ac:dyDescent="0.25">
      <c r="A1188" s="24">
        <v>1452</v>
      </c>
      <c r="B1188" s="24">
        <v>824437</v>
      </c>
      <c r="C1188" s="24" t="s">
        <v>1871</v>
      </c>
      <c r="D1188" s="24">
        <v>1004</v>
      </c>
    </row>
    <row r="1189" spans="1:4" x14ac:dyDescent="0.25">
      <c r="A1189" s="24">
        <v>2706</v>
      </c>
      <c r="B1189" s="24">
        <v>824551</v>
      </c>
      <c r="C1189" s="24" t="s">
        <v>1872</v>
      </c>
      <c r="D1189" s="24">
        <v>1005</v>
      </c>
    </row>
    <row r="1190" spans="1:4" x14ac:dyDescent="0.25">
      <c r="A1190" s="24">
        <v>3208</v>
      </c>
      <c r="B1190" s="24">
        <v>824844</v>
      </c>
      <c r="C1190" s="24" t="s">
        <v>1872</v>
      </c>
      <c r="D1190" s="24">
        <v>1006</v>
      </c>
    </row>
    <row r="1191" spans="1:4" x14ac:dyDescent="0.25">
      <c r="A1191" s="24">
        <v>797</v>
      </c>
      <c r="B1191" s="24">
        <v>824852</v>
      </c>
      <c r="C1191" s="24" t="s">
        <v>1873</v>
      </c>
      <c r="D1191" s="24">
        <v>1007</v>
      </c>
    </row>
    <row r="1192" spans="1:4" x14ac:dyDescent="0.25">
      <c r="A1192" s="24">
        <v>2138</v>
      </c>
      <c r="B1192" s="24">
        <v>824887</v>
      </c>
      <c r="C1192" s="24" t="s">
        <v>1875</v>
      </c>
      <c r="D1192" s="24">
        <v>1008</v>
      </c>
    </row>
    <row r="1193" spans="1:4" x14ac:dyDescent="0.25">
      <c r="A1193" s="24">
        <v>1015</v>
      </c>
      <c r="B1193" s="24">
        <v>824895</v>
      </c>
      <c r="C1193" s="24" t="s">
        <v>1876</v>
      </c>
      <c r="D1193" s="24">
        <v>1009</v>
      </c>
    </row>
    <row r="1194" spans="1:4" x14ac:dyDescent="0.25">
      <c r="A1194" s="24">
        <v>3508</v>
      </c>
      <c r="B1194" s="24">
        <v>824925</v>
      </c>
      <c r="C1194" s="24" t="s">
        <v>1877</v>
      </c>
      <c r="D1194" s="24">
        <v>1010</v>
      </c>
    </row>
    <row r="1195" spans="1:4" x14ac:dyDescent="0.25">
      <c r="A1195" s="24">
        <v>2997</v>
      </c>
      <c r="B1195" s="24">
        <v>824941</v>
      </c>
      <c r="C1195" s="24" t="s">
        <v>1878</v>
      </c>
      <c r="D1195" s="24">
        <v>1011</v>
      </c>
    </row>
    <row r="1196" spans="1:4" x14ac:dyDescent="0.25">
      <c r="A1196" s="24">
        <v>1212</v>
      </c>
      <c r="B1196" s="24">
        <v>824976</v>
      </c>
      <c r="C1196" s="24" t="s">
        <v>1880</v>
      </c>
      <c r="D1196" s="24">
        <v>1012</v>
      </c>
    </row>
    <row r="1197" spans="1:4" x14ac:dyDescent="0.25">
      <c r="A1197" s="24">
        <v>3324</v>
      </c>
      <c r="B1197" s="24">
        <v>824984</v>
      </c>
      <c r="C1197" s="24" t="s">
        <v>1881</v>
      </c>
      <c r="D1197" s="24">
        <v>1013</v>
      </c>
    </row>
    <row r="1198" spans="1:4" x14ac:dyDescent="0.25">
      <c r="A1198" s="24">
        <v>1802</v>
      </c>
      <c r="B1198" s="24">
        <v>824992</v>
      </c>
      <c r="C1198" s="24" t="s">
        <v>1882</v>
      </c>
      <c r="D1198" s="24">
        <v>1014</v>
      </c>
    </row>
    <row r="1199" spans="1:4" x14ac:dyDescent="0.25">
      <c r="A1199" s="24">
        <v>1171</v>
      </c>
      <c r="B1199" s="24">
        <v>825018</v>
      </c>
      <c r="C1199" s="24" t="s">
        <v>1883</v>
      </c>
      <c r="D1199" s="24">
        <v>1015</v>
      </c>
    </row>
    <row r="1200" spans="1:4" x14ac:dyDescent="0.25">
      <c r="A1200" s="24">
        <v>1400</v>
      </c>
      <c r="B1200" s="24">
        <v>825026</v>
      </c>
      <c r="C1200" s="24" t="s">
        <v>1884</v>
      </c>
      <c r="D1200" s="24">
        <v>1016</v>
      </c>
    </row>
    <row r="1201" spans="1:4" x14ac:dyDescent="0.25">
      <c r="A1201" s="24">
        <v>3021</v>
      </c>
      <c r="B1201" s="24">
        <v>825051</v>
      </c>
      <c r="C1201" s="24" t="s">
        <v>1885</v>
      </c>
      <c r="D1201" s="24">
        <v>1017</v>
      </c>
    </row>
    <row r="1202" spans="1:4" x14ac:dyDescent="0.25">
      <c r="A1202" s="24">
        <v>247</v>
      </c>
      <c r="B1202" s="24">
        <v>825077</v>
      </c>
      <c r="C1202" s="24" t="s">
        <v>1887</v>
      </c>
      <c r="D1202" s="24">
        <v>1018</v>
      </c>
    </row>
    <row r="1203" spans="1:4" x14ac:dyDescent="0.25">
      <c r="A1203" s="24">
        <v>3484</v>
      </c>
      <c r="B1203" s="24">
        <v>830615</v>
      </c>
      <c r="C1203" s="24" t="s">
        <v>2130</v>
      </c>
      <c r="D1203" s="24">
        <v>1018</v>
      </c>
    </row>
    <row r="1204" spans="1:4" x14ac:dyDescent="0.25">
      <c r="A1204" s="24">
        <v>80</v>
      </c>
      <c r="B1204" s="24">
        <v>825093</v>
      </c>
      <c r="C1204" s="24" t="s">
        <v>1889</v>
      </c>
      <c r="D1204" s="24">
        <v>1019</v>
      </c>
    </row>
    <row r="1205" spans="1:4" x14ac:dyDescent="0.25">
      <c r="A1205" s="24">
        <v>570</v>
      </c>
      <c r="B1205" s="24">
        <v>825107</v>
      </c>
      <c r="C1205" s="24" t="s">
        <v>1890</v>
      </c>
      <c r="D1205" s="24">
        <v>1019</v>
      </c>
    </row>
    <row r="1206" spans="1:4" x14ac:dyDescent="0.25">
      <c r="A1206" s="24">
        <v>2550</v>
      </c>
      <c r="B1206" s="24">
        <v>825085</v>
      </c>
      <c r="C1206" s="24" t="s">
        <v>1888</v>
      </c>
      <c r="D1206" s="24">
        <v>1019</v>
      </c>
    </row>
    <row r="1207" spans="1:4" x14ac:dyDescent="0.25">
      <c r="A1207" s="24">
        <v>1574</v>
      </c>
      <c r="B1207" s="24">
        <v>825115</v>
      </c>
      <c r="C1207" s="24" t="s">
        <v>1891</v>
      </c>
      <c r="D1207" s="24">
        <v>1020</v>
      </c>
    </row>
    <row r="1208" spans="1:4" x14ac:dyDescent="0.25">
      <c r="A1208" s="24">
        <v>3244</v>
      </c>
      <c r="B1208" s="24">
        <v>825123</v>
      </c>
      <c r="C1208" s="24" t="s">
        <v>1892</v>
      </c>
      <c r="D1208" s="24">
        <v>1021</v>
      </c>
    </row>
    <row r="1209" spans="1:4" x14ac:dyDescent="0.25">
      <c r="A1209" s="24">
        <v>1798</v>
      </c>
      <c r="B1209" s="24">
        <v>860549</v>
      </c>
      <c r="C1209" s="24" t="s">
        <v>3425</v>
      </c>
      <c r="D1209" s="24">
        <v>1022</v>
      </c>
    </row>
    <row r="1210" spans="1:4" x14ac:dyDescent="0.25">
      <c r="A1210" s="24">
        <v>1920</v>
      </c>
      <c r="B1210" s="24">
        <v>825131</v>
      </c>
      <c r="C1210" s="24" t="s">
        <v>1893</v>
      </c>
      <c r="D1210" s="24">
        <v>1022</v>
      </c>
    </row>
    <row r="1211" spans="1:4" x14ac:dyDescent="0.25">
      <c r="A1211" s="24">
        <v>450</v>
      </c>
      <c r="B1211" s="24">
        <v>825166</v>
      </c>
      <c r="C1211" s="24" t="s">
        <v>1894</v>
      </c>
      <c r="D1211" s="24">
        <v>1023</v>
      </c>
    </row>
    <row r="1212" spans="1:4" x14ac:dyDescent="0.25">
      <c r="A1212" s="24">
        <v>275</v>
      </c>
      <c r="B1212" s="24">
        <v>825298</v>
      </c>
      <c r="C1212" s="24" t="s">
        <v>1895</v>
      </c>
      <c r="D1212" s="24">
        <v>1024</v>
      </c>
    </row>
    <row r="1213" spans="1:4" x14ac:dyDescent="0.25">
      <c r="A1213" s="24">
        <v>3212</v>
      </c>
      <c r="B1213" s="24">
        <v>825387</v>
      </c>
      <c r="C1213" s="24" t="s">
        <v>1897</v>
      </c>
      <c r="D1213" s="24">
        <v>1025</v>
      </c>
    </row>
    <row r="1214" spans="1:4" x14ac:dyDescent="0.25">
      <c r="A1214" s="24">
        <v>887</v>
      </c>
      <c r="B1214" s="24">
        <v>825409</v>
      </c>
      <c r="C1214" s="24" t="s">
        <v>1898</v>
      </c>
      <c r="D1214" s="24">
        <v>1026</v>
      </c>
    </row>
    <row r="1215" spans="1:4" x14ac:dyDescent="0.25">
      <c r="A1215" s="24">
        <v>1485</v>
      </c>
      <c r="B1215" s="24">
        <v>825433</v>
      </c>
      <c r="C1215" s="24" t="s">
        <v>1901</v>
      </c>
      <c r="D1215" s="24">
        <v>1027</v>
      </c>
    </row>
    <row r="1216" spans="1:4" x14ac:dyDescent="0.25">
      <c r="A1216" s="24">
        <v>3263</v>
      </c>
      <c r="B1216" s="24">
        <v>825441</v>
      </c>
      <c r="C1216" s="24" t="s">
        <v>1902</v>
      </c>
      <c r="D1216" s="24">
        <v>1028</v>
      </c>
    </row>
    <row r="1217" spans="1:4" x14ac:dyDescent="0.25">
      <c r="A1217" s="24">
        <v>2984</v>
      </c>
      <c r="B1217" s="24">
        <v>825689</v>
      </c>
      <c r="C1217" s="24" t="s">
        <v>1906</v>
      </c>
      <c r="D1217" s="24">
        <v>1029</v>
      </c>
    </row>
    <row r="1218" spans="1:4" x14ac:dyDescent="0.25">
      <c r="A1218" s="24">
        <v>2622</v>
      </c>
      <c r="B1218" s="24">
        <v>825506</v>
      </c>
      <c r="C1218" s="24" t="s">
        <v>1903</v>
      </c>
      <c r="D1218" s="24">
        <v>1030</v>
      </c>
    </row>
    <row r="1219" spans="1:4" x14ac:dyDescent="0.25">
      <c r="A1219" s="24">
        <v>1328</v>
      </c>
      <c r="B1219" s="24">
        <v>825671</v>
      </c>
      <c r="C1219" s="24" t="s">
        <v>1905</v>
      </c>
      <c r="D1219" s="24">
        <v>1031</v>
      </c>
    </row>
    <row r="1220" spans="1:4" x14ac:dyDescent="0.25">
      <c r="A1220" s="24">
        <v>3118</v>
      </c>
      <c r="B1220" s="24">
        <v>825581</v>
      </c>
      <c r="C1220" s="24" t="s">
        <v>1904</v>
      </c>
      <c r="D1220" s="24">
        <v>1031</v>
      </c>
    </row>
    <row r="1221" spans="1:4" x14ac:dyDescent="0.25">
      <c r="A1221" s="24">
        <v>2435</v>
      </c>
      <c r="B1221" s="24">
        <v>825697</v>
      </c>
      <c r="C1221" s="24" t="s">
        <v>1907</v>
      </c>
      <c r="D1221" s="24">
        <v>1032</v>
      </c>
    </row>
    <row r="1222" spans="1:4" x14ac:dyDescent="0.25">
      <c r="A1222" s="24">
        <v>254</v>
      </c>
      <c r="B1222" s="24">
        <v>825701</v>
      </c>
      <c r="C1222" s="24" t="s">
        <v>1908</v>
      </c>
      <c r="D1222" s="24">
        <v>1033</v>
      </c>
    </row>
    <row r="1223" spans="1:4" x14ac:dyDescent="0.25">
      <c r="A1223" s="24">
        <v>781</v>
      </c>
      <c r="B1223" s="24">
        <v>825719</v>
      </c>
      <c r="C1223" s="24" t="s">
        <v>1909</v>
      </c>
      <c r="D1223" s="24">
        <v>1034</v>
      </c>
    </row>
    <row r="1224" spans="1:4" x14ac:dyDescent="0.25">
      <c r="A1224" s="24">
        <v>501</v>
      </c>
      <c r="B1224" s="24">
        <v>825743</v>
      </c>
      <c r="C1224" s="24" t="s">
        <v>1910</v>
      </c>
      <c r="D1224" s="24">
        <v>1035</v>
      </c>
    </row>
    <row r="1225" spans="1:4" x14ac:dyDescent="0.25">
      <c r="A1225" s="24">
        <v>1817</v>
      </c>
      <c r="B1225" s="24">
        <v>825760</v>
      </c>
      <c r="C1225" s="24" t="s">
        <v>1911</v>
      </c>
      <c r="D1225" s="24">
        <v>1036</v>
      </c>
    </row>
    <row r="1226" spans="1:4" x14ac:dyDescent="0.25">
      <c r="A1226" s="24">
        <v>3466</v>
      </c>
      <c r="B1226" s="24">
        <v>825778</v>
      </c>
      <c r="C1226" s="24" t="s">
        <v>1912</v>
      </c>
      <c r="D1226" s="24">
        <v>1037</v>
      </c>
    </row>
    <row r="1227" spans="1:4" x14ac:dyDescent="0.25">
      <c r="A1227" s="24">
        <v>69</v>
      </c>
      <c r="B1227" s="24">
        <v>825786</v>
      </c>
      <c r="C1227" s="24" t="s">
        <v>1913</v>
      </c>
      <c r="D1227" s="24">
        <v>1038</v>
      </c>
    </row>
    <row r="1228" spans="1:4" x14ac:dyDescent="0.25">
      <c r="A1228" s="24">
        <v>1937</v>
      </c>
      <c r="B1228" s="24">
        <v>825794</v>
      </c>
      <c r="C1228" s="24" t="s">
        <v>1914</v>
      </c>
      <c r="D1228" s="24">
        <v>1039</v>
      </c>
    </row>
    <row r="1229" spans="1:4" x14ac:dyDescent="0.25">
      <c r="A1229" s="24">
        <v>1255</v>
      </c>
      <c r="B1229" s="24">
        <v>825883</v>
      </c>
      <c r="C1229" s="24" t="s">
        <v>1915</v>
      </c>
      <c r="D1229" s="24">
        <v>1040</v>
      </c>
    </row>
    <row r="1230" spans="1:4" x14ac:dyDescent="0.25">
      <c r="A1230" s="24">
        <v>2239</v>
      </c>
      <c r="B1230" s="24">
        <v>841901</v>
      </c>
      <c r="C1230" s="24" t="s">
        <v>2651</v>
      </c>
      <c r="D1230" s="24">
        <v>1040</v>
      </c>
    </row>
    <row r="1231" spans="1:4" x14ac:dyDescent="0.25">
      <c r="A1231" s="24">
        <v>2837</v>
      </c>
      <c r="B1231" s="24">
        <v>826031</v>
      </c>
      <c r="C1231" s="24" t="s">
        <v>1916</v>
      </c>
      <c r="D1231" s="24">
        <v>1041</v>
      </c>
    </row>
    <row r="1232" spans="1:4" x14ac:dyDescent="0.25">
      <c r="A1232" s="24">
        <v>2303</v>
      </c>
      <c r="B1232" s="24">
        <v>826049</v>
      </c>
      <c r="C1232" s="24" t="s">
        <v>1917</v>
      </c>
      <c r="D1232" s="24">
        <v>1042</v>
      </c>
    </row>
    <row r="1233" spans="1:4" x14ac:dyDescent="0.25">
      <c r="A1233" s="24">
        <v>3231</v>
      </c>
      <c r="B1233" s="24">
        <v>826073</v>
      </c>
      <c r="C1233" s="24" t="s">
        <v>1918</v>
      </c>
      <c r="D1233" s="24">
        <v>1043</v>
      </c>
    </row>
    <row r="1234" spans="1:4" x14ac:dyDescent="0.25">
      <c r="A1234" s="24">
        <v>2283</v>
      </c>
      <c r="B1234" s="24">
        <v>826081</v>
      </c>
      <c r="C1234" s="24" t="s">
        <v>1919</v>
      </c>
      <c r="D1234" s="24">
        <v>1044</v>
      </c>
    </row>
    <row r="1235" spans="1:4" x14ac:dyDescent="0.25">
      <c r="A1235" s="24">
        <v>2125</v>
      </c>
      <c r="B1235" s="24">
        <v>826103</v>
      </c>
      <c r="C1235" s="24" t="s">
        <v>1920</v>
      </c>
      <c r="D1235" s="24">
        <v>1045</v>
      </c>
    </row>
    <row r="1236" spans="1:4" x14ac:dyDescent="0.25">
      <c r="A1236" s="24">
        <v>1214</v>
      </c>
      <c r="B1236" s="24">
        <v>826111</v>
      </c>
      <c r="C1236" s="24" t="s">
        <v>1921</v>
      </c>
      <c r="D1236" s="24">
        <v>1046</v>
      </c>
    </row>
    <row r="1237" spans="1:4" x14ac:dyDescent="0.25">
      <c r="A1237" s="24">
        <v>364</v>
      </c>
      <c r="B1237" s="24">
        <v>826120</v>
      </c>
      <c r="C1237" s="24" t="s">
        <v>1922</v>
      </c>
      <c r="D1237" s="24">
        <v>1047</v>
      </c>
    </row>
    <row r="1238" spans="1:4" x14ac:dyDescent="0.25">
      <c r="A1238" s="24">
        <v>2365</v>
      </c>
      <c r="B1238" s="24">
        <v>826138</v>
      </c>
      <c r="C1238" s="24" t="s">
        <v>1923</v>
      </c>
      <c r="D1238" s="24">
        <v>1048</v>
      </c>
    </row>
    <row r="1239" spans="1:4" x14ac:dyDescent="0.25">
      <c r="A1239" s="24">
        <v>1449</v>
      </c>
      <c r="B1239" s="24">
        <v>826146</v>
      </c>
      <c r="C1239" s="24" t="s">
        <v>1923</v>
      </c>
      <c r="D1239" s="24">
        <v>1049</v>
      </c>
    </row>
    <row r="1240" spans="1:4" x14ac:dyDescent="0.25">
      <c r="A1240" s="24">
        <v>2690</v>
      </c>
      <c r="B1240" s="24">
        <v>826162</v>
      </c>
      <c r="C1240" s="24" t="s">
        <v>1925</v>
      </c>
      <c r="D1240" s="24">
        <v>1050</v>
      </c>
    </row>
    <row r="1241" spans="1:4" x14ac:dyDescent="0.25">
      <c r="A1241" s="24">
        <v>2491</v>
      </c>
      <c r="B1241" s="24">
        <v>826197</v>
      </c>
      <c r="C1241" s="24" t="s">
        <v>1927</v>
      </c>
      <c r="D1241" s="24">
        <v>1051</v>
      </c>
    </row>
    <row r="1242" spans="1:4" x14ac:dyDescent="0.25">
      <c r="A1242" s="24">
        <v>1118</v>
      </c>
      <c r="B1242" s="24">
        <v>826227</v>
      </c>
      <c r="C1242" s="24" t="s">
        <v>1930</v>
      </c>
      <c r="D1242" s="24">
        <v>1052</v>
      </c>
    </row>
    <row r="1243" spans="1:4" x14ac:dyDescent="0.25">
      <c r="A1243" s="24">
        <v>1071</v>
      </c>
      <c r="B1243" s="24">
        <v>826235</v>
      </c>
      <c r="C1243" s="24" t="s">
        <v>1931</v>
      </c>
      <c r="D1243" s="24">
        <v>1053</v>
      </c>
    </row>
    <row r="1244" spans="1:4" x14ac:dyDescent="0.25">
      <c r="A1244" s="24">
        <v>162</v>
      </c>
      <c r="B1244" s="24">
        <v>826251</v>
      </c>
      <c r="C1244" s="24" t="s">
        <v>1932</v>
      </c>
      <c r="D1244" s="24">
        <v>1054</v>
      </c>
    </row>
    <row r="1245" spans="1:4" x14ac:dyDescent="0.25">
      <c r="A1245" s="24">
        <v>1800</v>
      </c>
      <c r="B1245" s="24">
        <v>826260</v>
      </c>
      <c r="C1245" s="24" t="s">
        <v>1933</v>
      </c>
      <c r="D1245" s="24">
        <v>1055</v>
      </c>
    </row>
    <row r="1246" spans="1:4" x14ac:dyDescent="0.25">
      <c r="A1246" s="24">
        <v>3193</v>
      </c>
      <c r="B1246" s="24">
        <v>826278</v>
      </c>
      <c r="C1246" s="24" t="s">
        <v>1934</v>
      </c>
      <c r="D1246" s="24">
        <v>1056</v>
      </c>
    </row>
    <row r="1247" spans="1:4" x14ac:dyDescent="0.25">
      <c r="A1247" s="24">
        <v>1252</v>
      </c>
      <c r="B1247" s="24">
        <v>826294</v>
      </c>
      <c r="C1247" s="24" t="s">
        <v>1935</v>
      </c>
      <c r="D1247" s="24">
        <v>1057</v>
      </c>
    </row>
    <row r="1248" spans="1:4" x14ac:dyDescent="0.25">
      <c r="A1248" s="24">
        <v>2042</v>
      </c>
      <c r="B1248" s="24">
        <v>826537</v>
      </c>
      <c r="C1248" s="24" t="s">
        <v>1936</v>
      </c>
      <c r="D1248" s="24">
        <v>1058</v>
      </c>
    </row>
    <row r="1249" spans="1:4" x14ac:dyDescent="0.25">
      <c r="A1249" s="24">
        <v>2515</v>
      </c>
      <c r="B1249" s="24">
        <v>826545</v>
      </c>
      <c r="C1249" s="24" t="s">
        <v>1937</v>
      </c>
      <c r="D1249" s="24">
        <v>1059</v>
      </c>
    </row>
    <row r="1250" spans="1:4" x14ac:dyDescent="0.25">
      <c r="A1250" s="24">
        <v>2778</v>
      </c>
      <c r="B1250" s="24">
        <v>829081</v>
      </c>
      <c r="C1250" s="24" t="s">
        <v>2048</v>
      </c>
      <c r="D1250" s="24">
        <v>1060</v>
      </c>
    </row>
    <row r="1251" spans="1:4" x14ac:dyDescent="0.25">
      <c r="A1251" s="24">
        <v>3463</v>
      </c>
      <c r="B1251" s="24">
        <v>847879</v>
      </c>
      <c r="C1251" s="24" t="s">
        <v>2893</v>
      </c>
      <c r="D1251" s="24">
        <v>1061</v>
      </c>
    </row>
    <row r="1252" spans="1:4" x14ac:dyDescent="0.25">
      <c r="A1252" s="24">
        <v>2325</v>
      </c>
      <c r="B1252" s="24">
        <v>826561</v>
      </c>
      <c r="C1252" s="24" t="s">
        <v>1938</v>
      </c>
      <c r="D1252" s="24">
        <v>1062</v>
      </c>
    </row>
    <row r="1253" spans="1:4" x14ac:dyDescent="0.25">
      <c r="A1253" s="24">
        <v>150</v>
      </c>
      <c r="B1253" s="24">
        <v>826570</v>
      </c>
      <c r="C1253" s="24" t="s">
        <v>1939</v>
      </c>
      <c r="D1253" s="24">
        <v>1063</v>
      </c>
    </row>
    <row r="1254" spans="1:4" x14ac:dyDescent="0.25">
      <c r="A1254" s="24">
        <v>2098</v>
      </c>
      <c r="B1254" s="24">
        <v>826588</v>
      </c>
      <c r="C1254" s="24" t="s">
        <v>1940</v>
      </c>
      <c r="D1254" s="24">
        <v>1064</v>
      </c>
    </row>
    <row r="1255" spans="1:4" x14ac:dyDescent="0.25">
      <c r="A1255" s="24">
        <v>2114</v>
      </c>
      <c r="B1255" s="24">
        <v>813079</v>
      </c>
      <c r="C1255" s="24" t="s">
        <v>1287</v>
      </c>
      <c r="D1255" s="24">
        <v>1065</v>
      </c>
    </row>
    <row r="1256" spans="1:4" x14ac:dyDescent="0.25">
      <c r="A1256" s="24">
        <v>1947</v>
      </c>
      <c r="B1256" s="24">
        <v>826596</v>
      </c>
      <c r="C1256" s="24" t="s">
        <v>1941</v>
      </c>
      <c r="D1256" s="24">
        <v>1066</v>
      </c>
    </row>
    <row r="1257" spans="1:4" x14ac:dyDescent="0.25">
      <c r="A1257" s="24">
        <v>878</v>
      </c>
      <c r="B1257" s="24">
        <v>826600</v>
      </c>
      <c r="C1257" s="24" t="s">
        <v>1942</v>
      </c>
      <c r="D1257" s="24">
        <v>1067</v>
      </c>
    </row>
    <row r="1258" spans="1:4" x14ac:dyDescent="0.25">
      <c r="A1258" s="24">
        <v>3391</v>
      </c>
      <c r="B1258" s="24">
        <v>826626</v>
      </c>
      <c r="C1258" s="24" t="s">
        <v>1943</v>
      </c>
      <c r="D1258" s="24">
        <v>1068</v>
      </c>
    </row>
    <row r="1259" spans="1:4" x14ac:dyDescent="0.25">
      <c r="A1259" s="24">
        <v>1956</v>
      </c>
      <c r="B1259" s="24">
        <v>826669</v>
      </c>
      <c r="C1259" s="24" t="s">
        <v>1947</v>
      </c>
      <c r="D1259" s="24">
        <v>1069</v>
      </c>
    </row>
    <row r="1260" spans="1:4" x14ac:dyDescent="0.25">
      <c r="A1260" s="24">
        <v>3090</v>
      </c>
      <c r="B1260" s="24">
        <v>826634</v>
      </c>
      <c r="C1260" s="24" t="s">
        <v>1944</v>
      </c>
      <c r="D1260" s="24">
        <v>1070</v>
      </c>
    </row>
    <row r="1261" spans="1:4" x14ac:dyDescent="0.25">
      <c r="A1261" s="24">
        <v>3337</v>
      </c>
      <c r="B1261" s="24">
        <v>826642</v>
      </c>
      <c r="C1261" s="24" t="s">
        <v>1945</v>
      </c>
      <c r="D1261" s="24">
        <v>1070</v>
      </c>
    </row>
    <row r="1262" spans="1:4" x14ac:dyDescent="0.25">
      <c r="A1262" s="24">
        <v>1241</v>
      </c>
      <c r="B1262" s="24">
        <v>826651</v>
      </c>
      <c r="C1262" s="24" t="s">
        <v>1946</v>
      </c>
      <c r="D1262" s="24">
        <v>1071</v>
      </c>
    </row>
    <row r="1263" spans="1:4" x14ac:dyDescent="0.25">
      <c r="A1263" s="24">
        <v>2449</v>
      </c>
      <c r="B1263" s="24">
        <v>826693</v>
      </c>
      <c r="C1263" s="24" t="s">
        <v>1948</v>
      </c>
      <c r="D1263" s="24">
        <v>1072</v>
      </c>
    </row>
    <row r="1264" spans="1:4" x14ac:dyDescent="0.25">
      <c r="A1264" s="24">
        <v>340</v>
      </c>
      <c r="B1264" s="24">
        <v>826774</v>
      </c>
      <c r="C1264" s="24" t="s">
        <v>1952</v>
      </c>
      <c r="D1264" s="24">
        <v>1073</v>
      </c>
    </row>
    <row r="1265" spans="1:4" x14ac:dyDescent="0.25">
      <c r="A1265" s="24">
        <v>1292</v>
      </c>
      <c r="B1265" s="24">
        <v>826766</v>
      </c>
      <c r="C1265" s="24" t="s">
        <v>1951</v>
      </c>
      <c r="D1265" s="24">
        <v>1073</v>
      </c>
    </row>
    <row r="1266" spans="1:4" x14ac:dyDescent="0.25">
      <c r="A1266" s="24">
        <v>2323</v>
      </c>
      <c r="B1266" s="24">
        <v>826740</v>
      </c>
      <c r="C1266" s="24" t="s">
        <v>1949</v>
      </c>
      <c r="D1266" s="24">
        <v>1073</v>
      </c>
    </row>
    <row r="1267" spans="1:4" x14ac:dyDescent="0.25">
      <c r="A1267" s="24">
        <v>3363</v>
      </c>
      <c r="B1267" s="24">
        <v>826782</v>
      </c>
      <c r="C1267" s="24" t="s">
        <v>1953</v>
      </c>
      <c r="D1267" s="24">
        <v>1073</v>
      </c>
    </row>
    <row r="1268" spans="1:4" x14ac:dyDescent="0.25">
      <c r="A1268" s="24">
        <v>3381</v>
      </c>
      <c r="B1268" s="24">
        <v>826758</v>
      </c>
      <c r="C1268" s="24" t="s">
        <v>1950</v>
      </c>
      <c r="D1268" s="24">
        <v>1073</v>
      </c>
    </row>
    <row r="1269" spans="1:4" x14ac:dyDescent="0.25">
      <c r="A1269" s="24">
        <v>624</v>
      </c>
      <c r="B1269" s="24">
        <v>826812</v>
      </c>
      <c r="C1269" s="24" t="s">
        <v>1955</v>
      </c>
      <c r="D1269" s="24">
        <v>1074</v>
      </c>
    </row>
    <row r="1270" spans="1:4" x14ac:dyDescent="0.25">
      <c r="A1270" s="24">
        <v>3094</v>
      </c>
      <c r="B1270" s="24">
        <v>826821</v>
      </c>
      <c r="C1270" s="24" t="s">
        <v>1956</v>
      </c>
      <c r="D1270" s="24">
        <v>1075</v>
      </c>
    </row>
    <row r="1271" spans="1:4" x14ac:dyDescent="0.25">
      <c r="A1271" s="24">
        <v>3383</v>
      </c>
      <c r="B1271" s="24">
        <v>826871</v>
      </c>
      <c r="C1271" s="24" t="s">
        <v>1957</v>
      </c>
      <c r="D1271" s="24">
        <v>1076</v>
      </c>
    </row>
    <row r="1272" spans="1:4" x14ac:dyDescent="0.25">
      <c r="A1272" s="24">
        <v>991</v>
      </c>
      <c r="B1272" s="24">
        <v>826880</v>
      </c>
      <c r="C1272" s="24" t="s">
        <v>1958</v>
      </c>
      <c r="D1272" s="24">
        <v>1077</v>
      </c>
    </row>
    <row r="1273" spans="1:4" x14ac:dyDescent="0.25">
      <c r="A1273" s="24">
        <v>1433</v>
      </c>
      <c r="B1273" s="24">
        <v>868167</v>
      </c>
      <c r="C1273" s="24" t="s">
        <v>3752</v>
      </c>
      <c r="D1273" s="24">
        <v>1078</v>
      </c>
    </row>
    <row r="1274" spans="1:4" x14ac:dyDescent="0.25">
      <c r="A1274" s="24">
        <v>2645</v>
      </c>
      <c r="B1274" s="24">
        <v>835552</v>
      </c>
      <c r="C1274" s="24" t="s">
        <v>2354</v>
      </c>
      <c r="D1274" s="24">
        <v>1078</v>
      </c>
    </row>
    <row r="1275" spans="1:4" x14ac:dyDescent="0.25">
      <c r="A1275" s="24">
        <v>1978</v>
      </c>
      <c r="B1275" s="24">
        <v>826219</v>
      </c>
      <c r="C1275" s="24" t="s">
        <v>1929</v>
      </c>
      <c r="D1275" s="24">
        <v>1078</v>
      </c>
    </row>
    <row r="1276" spans="1:4" x14ac:dyDescent="0.25">
      <c r="A1276" s="24">
        <v>3173</v>
      </c>
      <c r="B1276" s="24">
        <v>827380</v>
      </c>
      <c r="C1276" s="24" t="s">
        <v>801</v>
      </c>
      <c r="D1276" s="24">
        <v>1079</v>
      </c>
    </row>
    <row r="1277" spans="1:4" x14ac:dyDescent="0.25">
      <c r="A1277" s="24">
        <v>1738</v>
      </c>
      <c r="B1277" s="24">
        <v>827339</v>
      </c>
      <c r="C1277" s="24" t="s">
        <v>1969</v>
      </c>
      <c r="D1277" s="24">
        <v>1080</v>
      </c>
    </row>
    <row r="1278" spans="1:4" x14ac:dyDescent="0.25">
      <c r="A1278" s="24">
        <v>1268</v>
      </c>
      <c r="B1278" s="24">
        <v>877891</v>
      </c>
      <c r="C1278" s="24" t="s">
        <v>4091</v>
      </c>
      <c r="D1278" s="24">
        <v>1081</v>
      </c>
    </row>
    <row r="1279" spans="1:4" x14ac:dyDescent="0.25">
      <c r="A1279" s="24">
        <v>1710</v>
      </c>
      <c r="B1279" s="24">
        <v>881317</v>
      </c>
      <c r="C1279" s="24" t="s">
        <v>4099</v>
      </c>
      <c r="D1279" s="24">
        <v>1082</v>
      </c>
    </row>
    <row r="1280" spans="1:4" x14ac:dyDescent="0.25">
      <c r="A1280" s="24">
        <v>2145</v>
      </c>
      <c r="B1280" s="24">
        <v>827118</v>
      </c>
      <c r="C1280" s="24" t="s">
        <v>1965</v>
      </c>
      <c r="D1280" s="24">
        <v>1082</v>
      </c>
    </row>
    <row r="1281" spans="1:4" x14ac:dyDescent="0.25">
      <c r="A1281" s="24">
        <v>3543</v>
      </c>
      <c r="B1281" s="24">
        <v>823678</v>
      </c>
      <c r="C1281" s="24" t="s">
        <v>1841</v>
      </c>
      <c r="D1281" s="24">
        <v>1083</v>
      </c>
    </row>
    <row r="1282" spans="1:4" x14ac:dyDescent="0.25">
      <c r="A1282" s="24">
        <v>534</v>
      </c>
      <c r="B1282" s="24">
        <v>827347</v>
      </c>
      <c r="C1282" s="24" t="s">
        <v>1970</v>
      </c>
      <c r="D1282" s="24">
        <v>1084</v>
      </c>
    </row>
    <row r="1283" spans="1:4" x14ac:dyDescent="0.25">
      <c r="A1283" s="24">
        <v>166</v>
      </c>
      <c r="B1283" s="24">
        <v>828416</v>
      </c>
      <c r="C1283" s="24" t="s">
        <v>2028</v>
      </c>
      <c r="D1283" s="24">
        <v>1085</v>
      </c>
    </row>
    <row r="1284" spans="1:4" x14ac:dyDescent="0.25">
      <c r="A1284" s="24">
        <v>1117</v>
      </c>
      <c r="B1284" s="24">
        <v>833134</v>
      </c>
      <c r="C1284" s="24" t="s">
        <v>2254</v>
      </c>
      <c r="D1284" s="24">
        <v>1086</v>
      </c>
    </row>
    <row r="1285" spans="1:4" x14ac:dyDescent="0.25">
      <c r="A1285" s="24">
        <v>1076</v>
      </c>
      <c r="B1285" s="24">
        <v>827142</v>
      </c>
      <c r="C1285" s="24" t="s">
        <v>1966</v>
      </c>
      <c r="D1285" s="24">
        <v>1087</v>
      </c>
    </row>
    <row r="1286" spans="1:4" x14ac:dyDescent="0.25">
      <c r="A1286" s="24">
        <v>2986</v>
      </c>
      <c r="B1286" s="24">
        <v>827428</v>
      </c>
      <c r="C1286" s="24" t="s">
        <v>1972</v>
      </c>
      <c r="D1286" s="24">
        <v>1088</v>
      </c>
    </row>
    <row r="1287" spans="1:4" x14ac:dyDescent="0.25">
      <c r="A1287" s="24">
        <v>333</v>
      </c>
      <c r="B1287" s="24">
        <v>877999</v>
      </c>
      <c r="C1287" s="24" t="s">
        <v>4092</v>
      </c>
      <c r="D1287" s="24">
        <v>1089</v>
      </c>
    </row>
    <row r="1288" spans="1:4" x14ac:dyDescent="0.25">
      <c r="A1288" s="24">
        <v>2805</v>
      </c>
      <c r="B1288" s="24">
        <v>827401</v>
      </c>
      <c r="C1288" s="24" t="s">
        <v>1971</v>
      </c>
      <c r="D1288" s="24">
        <v>1090</v>
      </c>
    </row>
    <row r="1289" spans="1:4" x14ac:dyDescent="0.25">
      <c r="A1289" s="24">
        <v>2397</v>
      </c>
      <c r="B1289" s="24">
        <v>827495</v>
      </c>
      <c r="C1289" s="24" t="s">
        <v>1975</v>
      </c>
      <c r="D1289" s="24">
        <v>1091</v>
      </c>
    </row>
    <row r="1290" spans="1:4" x14ac:dyDescent="0.25">
      <c r="A1290" s="24">
        <v>937</v>
      </c>
      <c r="B1290" s="24">
        <v>827312</v>
      </c>
      <c r="C1290" s="24" t="s">
        <v>1961</v>
      </c>
      <c r="D1290" s="24">
        <v>1092</v>
      </c>
    </row>
    <row r="1291" spans="1:4" x14ac:dyDescent="0.25">
      <c r="A1291" s="24">
        <v>2591</v>
      </c>
      <c r="B1291" s="24">
        <v>827274</v>
      </c>
      <c r="C1291" s="24" t="s">
        <v>1968</v>
      </c>
      <c r="D1291" s="24">
        <v>1092</v>
      </c>
    </row>
    <row r="1292" spans="1:4" x14ac:dyDescent="0.25">
      <c r="A1292" s="24">
        <v>3438</v>
      </c>
      <c r="B1292" s="24">
        <v>827444</v>
      </c>
      <c r="C1292" s="24" t="s">
        <v>1973</v>
      </c>
      <c r="D1292" s="24">
        <v>1092</v>
      </c>
    </row>
    <row r="1293" spans="1:4" x14ac:dyDescent="0.25">
      <c r="A1293" s="24">
        <v>1483</v>
      </c>
      <c r="B1293" s="24">
        <v>881228</v>
      </c>
      <c r="C1293" s="24" t="s">
        <v>4098</v>
      </c>
      <c r="D1293" s="24">
        <v>1093</v>
      </c>
    </row>
    <row r="1294" spans="1:4" x14ac:dyDescent="0.25">
      <c r="A1294" s="24">
        <v>2731</v>
      </c>
      <c r="B1294" s="24">
        <v>881171</v>
      </c>
      <c r="C1294" s="24" t="s">
        <v>4097</v>
      </c>
      <c r="D1294" s="24">
        <v>1094</v>
      </c>
    </row>
    <row r="1295" spans="1:4" x14ac:dyDescent="0.25">
      <c r="A1295" s="24">
        <v>1664</v>
      </c>
      <c r="B1295" s="24">
        <v>826952</v>
      </c>
      <c r="C1295" s="24" t="s">
        <v>1963</v>
      </c>
      <c r="D1295" s="24">
        <v>1095</v>
      </c>
    </row>
    <row r="1296" spans="1:4" x14ac:dyDescent="0.25">
      <c r="A1296" s="24">
        <v>922</v>
      </c>
      <c r="B1296" s="24">
        <v>827029</v>
      </c>
      <c r="C1296" s="24" t="s">
        <v>1962</v>
      </c>
      <c r="D1296" s="24">
        <v>1095</v>
      </c>
    </row>
    <row r="1297" spans="1:4" x14ac:dyDescent="0.25">
      <c r="A1297" s="24">
        <v>3365</v>
      </c>
      <c r="B1297" s="24">
        <v>826928</v>
      </c>
      <c r="C1297" s="24" t="s">
        <v>1960</v>
      </c>
      <c r="D1297" s="24">
        <v>1095</v>
      </c>
    </row>
    <row r="1298" spans="1:4" x14ac:dyDescent="0.25">
      <c r="A1298" s="24">
        <v>1379</v>
      </c>
      <c r="B1298" s="24">
        <v>878049</v>
      </c>
      <c r="C1298" s="24" t="s">
        <v>4093</v>
      </c>
      <c r="D1298" s="24">
        <v>1096</v>
      </c>
    </row>
    <row r="1299" spans="1:4" x14ac:dyDescent="0.25">
      <c r="A1299" s="24">
        <v>1964</v>
      </c>
      <c r="B1299" s="24">
        <v>827509</v>
      </c>
      <c r="C1299" s="24" t="s">
        <v>1976</v>
      </c>
      <c r="D1299" s="24">
        <v>1096</v>
      </c>
    </row>
    <row r="1300" spans="1:4" x14ac:dyDescent="0.25">
      <c r="A1300" s="24">
        <v>1422</v>
      </c>
      <c r="B1300" s="24">
        <v>860701</v>
      </c>
      <c r="C1300" s="24" t="s">
        <v>3438</v>
      </c>
      <c r="D1300" s="24">
        <v>1097</v>
      </c>
    </row>
    <row r="1301" spans="1:4" x14ac:dyDescent="0.25">
      <c r="A1301" s="24">
        <v>904</v>
      </c>
      <c r="B1301" s="24">
        <v>827452</v>
      </c>
      <c r="C1301" s="24" t="s">
        <v>1974</v>
      </c>
      <c r="D1301" s="24">
        <v>1098</v>
      </c>
    </row>
    <row r="1302" spans="1:4" x14ac:dyDescent="0.25">
      <c r="A1302" s="24">
        <v>133</v>
      </c>
      <c r="B1302" s="24">
        <v>827088</v>
      </c>
      <c r="C1302" s="24" t="s">
        <v>1964</v>
      </c>
      <c r="D1302" s="24">
        <v>1099</v>
      </c>
    </row>
    <row r="1303" spans="1:4" x14ac:dyDescent="0.25">
      <c r="A1303" s="24">
        <v>1425</v>
      </c>
      <c r="B1303" s="24">
        <v>881406</v>
      </c>
      <c r="C1303" s="24" t="s">
        <v>4100</v>
      </c>
      <c r="D1303" s="24">
        <v>1099</v>
      </c>
    </row>
    <row r="1304" spans="1:4" x14ac:dyDescent="0.25">
      <c r="A1304" s="24">
        <v>1655</v>
      </c>
      <c r="B1304" s="24">
        <v>827207</v>
      </c>
      <c r="C1304" s="24" t="s">
        <v>1967</v>
      </c>
      <c r="D1304" s="24">
        <v>1100</v>
      </c>
    </row>
    <row r="1305" spans="1:4" x14ac:dyDescent="0.25">
      <c r="A1305" s="24">
        <v>986</v>
      </c>
      <c r="B1305" s="24">
        <v>875317</v>
      </c>
      <c r="C1305" s="24" t="s">
        <v>4086</v>
      </c>
      <c r="D1305" s="24">
        <v>1101</v>
      </c>
    </row>
    <row r="1306" spans="1:4" x14ac:dyDescent="0.25">
      <c r="A1306" s="24">
        <v>3058</v>
      </c>
      <c r="B1306" s="24">
        <v>827606</v>
      </c>
      <c r="C1306" s="24" t="s">
        <v>1977</v>
      </c>
      <c r="D1306" s="24">
        <v>1101</v>
      </c>
    </row>
    <row r="1307" spans="1:4" x14ac:dyDescent="0.25">
      <c r="A1307" s="24">
        <v>3496</v>
      </c>
      <c r="B1307" s="24">
        <v>875309</v>
      </c>
      <c r="C1307" s="24" t="s">
        <v>4085</v>
      </c>
      <c r="D1307" s="24">
        <v>1101</v>
      </c>
    </row>
    <row r="1308" spans="1:4" x14ac:dyDescent="0.25">
      <c r="A1308" s="24">
        <v>213</v>
      </c>
      <c r="B1308" s="24">
        <v>827622</v>
      </c>
      <c r="C1308" s="24" t="s">
        <v>1978</v>
      </c>
      <c r="D1308" s="24">
        <v>1102</v>
      </c>
    </row>
    <row r="1309" spans="1:4" x14ac:dyDescent="0.25">
      <c r="A1309" s="24">
        <v>1786</v>
      </c>
      <c r="B1309" s="24">
        <v>827631</v>
      </c>
      <c r="C1309" s="24" t="s">
        <v>1979</v>
      </c>
      <c r="D1309" s="24">
        <v>1103</v>
      </c>
    </row>
    <row r="1310" spans="1:4" x14ac:dyDescent="0.25">
      <c r="A1310" s="24">
        <v>2318</v>
      </c>
      <c r="B1310" s="24">
        <v>827649</v>
      </c>
      <c r="C1310" s="24" t="s">
        <v>1980</v>
      </c>
      <c r="D1310" s="24">
        <v>1103</v>
      </c>
    </row>
    <row r="1311" spans="1:4" x14ac:dyDescent="0.25">
      <c r="A1311" s="24">
        <v>3247</v>
      </c>
      <c r="B1311" s="24">
        <v>827673</v>
      </c>
      <c r="C1311" s="24" t="s">
        <v>1981</v>
      </c>
      <c r="D1311" s="24">
        <v>1104</v>
      </c>
    </row>
    <row r="1312" spans="1:4" x14ac:dyDescent="0.25">
      <c r="A1312" s="24">
        <v>1672</v>
      </c>
      <c r="B1312" s="24">
        <v>827681</v>
      </c>
      <c r="C1312" s="24" t="s">
        <v>1982</v>
      </c>
      <c r="D1312" s="24">
        <v>1105</v>
      </c>
    </row>
    <row r="1313" spans="1:4" x14ac:dyDescent="0.25">
      <c r="A1313" s="24">
        <v>3364</v>
      </c>
      <c r="B1313" s="24">
        <v>827690</v>
      </c>
      <c r="C1313" s="24" t="s">
        <v>1983</v>
      </c>
      <c r="D1313" s="24">
        <v>1106</v>
      </c>
    </row>
    <row r="1314" spans="1:4" x14ac:dyDescent="0.25">
      <c r="A1314" s="24">
        <v>2420</v>
      </c>
      <c r="B1314" s="24">
        <v>827711</v>
      </c>
      <c r="C1314" s="24" t="s">
        <v>1984</v>
      </c>
      <c r="D1314" s="24">
        <v>1107</v>
      </c>
    </row>
    <row r="1315" spans="1:4" x14ac:dyDescent="0.25">
      <c r="A1315" s="24">
        <v>3214</v>
      </c>
      <c r="B1315" s="24">
        <v>827720</v>
      </c>
      <c r="C1315" s="24" t="s">
        <v>1985</v>
      </c>
      <c r="D1315" s="24">
        <v>1108</v>
      </c>
    </row>
    <row r="1316" spans="1:4" x14ac:dyDescent="0.25">
      <c r="A1316" s="24">
        <v>3115</v>
      </c>
      <c r="B1316" s="24">
        <v>827746</v>
      </c>
      <c r="C1316" s="24" t="s">
        <v>1986</v>
      </c>
      <c r="D1316" s="24">
        <v>1109</v>
      </c>
    </row>
    <row r="1317" spans="1:4" x14ac:dyDescent="0.25">
      <c r="A1317" s="24">
        <v>2242</v>
      </c>
      <c r="B1317" s="24">
        <v>811301</v>
      </c>
      <c r="C1317" s="24" t="s">
        <v>1198</v>
      </c>
      <c r="D1317" s="24">
        <v>1110</v>
      </c>
    </row>
    <row r="1318" spans="1:4" x14ac:dyDescent="0.25">
      <c r="A1318" s="24">
        <v>1377</v>
      </c>
      <c r="B1318" s="24">
        <v>827762</v>
      </c>
      <c r="C1318" s="24" t="s">
        <v>1987</v>
      </c>
      <c r="D1318" s="24">
        <v>1111</v>
      </c>
    </row>
    <row r="1319" spans="1:4" x14ac:dyDescent="0.25">
      <c r="A1319" s="24">
        <v>2624</v>
      </c>
      <c r="B1319" s="24">
        <v>827771</v>
      </c>
      <c r="C1319" s="24" t="s">
        <v>1988</v>
      </c>
      <c r="D1319" s="24">
        <v>1112</v>
      </c>
    </row>
    <row r="1320" spans="1:4" x14ac:dyDescent="0.25">
      <c r="A1320" s="24">
        <v>1285</v>
      </c>
      <c r="B1320" s="24">
        <v>827797</v>
      </c>
      <c r="C1320" s="24" t="s">
        <v>1988</v>
      </c>
      <c r="D1320" s="24">
        <v>1113</v>
      </c>
    </row>
    <row r="1321" spans="1:4" x14ac:dyDescent="0.25">
      <c r="A1321" s="24">
        <v>3332</v>
      </c>
      <c r="B1321" s="24">
        <v>827801</v>
      </c>
      <c r="C1321" s="24" t="s">
        <v>1989</v>
      </c>
      <c r="D1321" s="24">
        <v>1114</v>
      </c>
    </row>
    <row r="1322" spans="1:4" x14ac:dyDescent="0.25">
      <c r="A1322" s="24">
        <v>1227</v>
      </c>
      <c r="B1322" s="24">
        <v>827827</v>
      </c>
      <c r="C1322" s="24" t="s">
        <v>1990</v>
      </c>
      <c r="D1322" s="24">
        <v>1115</v>
      </c>
    </row>
    <row r="1323" spans="1:4" x14ac:dyDescent="0.25">
      <c r="A1323" s="24">
        <v>1236</v>
      </c>
      <c r="B1323" s="24">
        <v>827835</v>
      </c>
      <c r="C1323" s="24" t="s">
        <v>1991</v>
      </c>
      <c r="D1323" s="24">
        <v>1116</v>
      </c>
    </row>
    <row r="1324" spans="1:4" x14ac:dyDescent="0.25">
      <c r="A1324" s="24">
        <v>265</v>
      </c>
      <c r="B1324" s="24">
        <v>827843</v>
      </c>
      <c r="C1324" s="24" t="s">
        <v>1992</v>
      </c>
      <c r="D1324" s="24">
        <v>1117</v>
      </c>
    </row>
    <row r="1325" spans="1:4" x14ac:dyDescent="0.25">
      <c r="A1325" s="24">
        <v>2428</v>
      </c>
      <c r="B1325" s="24">
        <v>827860</v>
      </c>
      <c r="C1325" s="24" t="s">
        <v>1993</v>
      </c>
      <c r="D1325" s="24">
        <v>1118</v>
      </c>
    </row>
    <row r="1326" spans="1:4" x14ac:dyDescent="0.25">
      <c r="A1326" s="24">
        <v>2280</v>
      </c>
      <c r="B1326" s="24">
        <v>827878</v>
      </c>
      <c r="C1326" s="24" t="s">
        <v>1994</v>
      </c>
      <c r="D1326" s="24">
        <v>1119</v>
      </c>
    </row>
    <row r="1327" spans="1:4" x14ac:dyDescent="0.25">
      <c r="A1327" s="24">
        <v>472</v>
      </c>
      <c r="B1327" s="24">
        <v>827886</v>
      </c>
      <c r="C1327" s="24" t="s">
        <v>1995</v>
      </c>
      <c r="D1327" s="24">
        <v>1120</v>
      </c>
    </row>
    <row r="1328" spans="1:4" x14ac:dyDescent="0.25">
      <c r="A1328" s="24">
        <v>891</v>
      </c>
      <c r="B1328" s="24">
        <v>827894</v>
      </c>
      <c r="C1328" s="24" t="s">
        <v>1996</v>
      </c>
      <c r="D1328" s="24">
        <v>1121</v>
      </c>
    </row>
    <row r="1329" spans="1:4" x14ac:dyDescent="0.25">
      <c r="A1329" s="24">
        <v>1038</v>
      </c>
      <c r="B1329" s="24">
        <v>827908</v>
      </c>
      <c r="C1329" s="24" t="s">
        <v>1997</v>
      </c>
      <c r="D1329" s="24">
        <v>1122</v>
      </c>
    </row>
    <row r="1330" spans="1:4" x14ac:dyDescent="0.25">
      <c r="A1330" s="24">
        <v>1498</v>
      </c>
      <c r="B1330" s="24">
        <v>827916</v>
      </c>
      <c r="C1330" s="24" t="s">
        <v>1998</v>
      </c>
      <c r="D1330" s="24">
        <v>1123</v>
      </c>
    </row>
    <row r="1331" spans="1:4" x14ac:dyDescent="0.25">
      <c r="A1331" s="24">
        <v>1296</v>
      </c>
      <c r="B1331" s="24">
        <v>827924</v>
      </c>
      <c r="C1331" s="24" t="s">
        <v>1999</v>
      </c>
      <c r="D1331" s="24">
        <v>1124</v>
      </c>
    </row>
    <row r="1332" spans="1:4" x14ac:dyDescent="0.25">
      <c r="A1332" s="24">
        <v>2225</v>
      </c>
      <c r="B1332" s="24">
        <v>827932</v>
      </c>
      <c r="C1332" s="24" t="s">
        <v>2000</v>
      </c>
      <c r="D1332" s="24">
        <v>1125</v>
      </c>
    </row>
    <row r="1333" spans="1:4" x14ac:dyDescent="0.25">
      <c r="A1333" s="24">
        <v>550</v>
      </c>
      <c r="B1333" s="24">
        <v>827941</v>
      </c>
      <c r="C1333" s="24" t="s">
        <v>2001</v>
      </c>
      <c r="D1333" s="24">
        <v>1126</v>
      </c>
    </row>
    <row r="1334" spans="1:4" x14ac:dyDescent="0.25">
      <c r="A1334" s="24">
        <v>2704</v>
      </c>
      <c r="B1334" s="24">
        <v>827959</v>
      </c>
      <c r="C1334" s="24" t="s">
        <v>2002</v>
      </c>
      <c r="D1334" s="24">
        <v>1127</v>
      </c>
    </row>
    <row r="1335" spans="1:4" x14ac:dyDescent="0.25">
      <c r="A1335" s="24">
        <v>2211</v>
      </c>
      <c r="B1335" s="24">
        <v>827967</v>
      </c>
      <c r="C1335" s="24" t="s">
        <v>2003</v>
      </c>
      <c r="D1335" s="24">
        <v>1128</v>
      </c>
    </row>
    <row r="1336" spans="1:4" x14ac:dyDescent="0.25">
      <c r="A1336" s="24">
        <v>1912</v>
      </c>
      <c r="B1336" s="24">
        <v>827975</v>
      </c>
      <c r="C1336" s="24" t="s">
        <v>2004</v>
      </c>
      <c r="D1336" s="24">
        <v>1129</v>
      </c>
    </row>
    <row r="1337" spans="1:4" x14ac:dyDescent="0.25">
      <c r="A1337" s="24">
        <v>429</v>
      </c>
      <c r="B1337" s="24">
        <v>828041</v>
      </c>
      <c r="C1337" s="24" t="s">
        <v>2005</v>
      </c>
      <c r="D1337" s="24">
        <v>1130</v>
      </c>
    </row>
    <row r="1338" spans="1:4" x14ac:dyDescent="0.25">
      <c r="A1338" s="24">
        <v>613</v>
      </c>
      <c r="B1338" s="24">
        <v>828068</v>
      </c>
      <c r="C1338" s="24" t="s">
        <v>2007</v>
      </c>
      <c r="D1338" s="24">
        <v>1131</v>
      </c>
    </row>
    <row r="1339" spans="1:4" x14ac:dyDescent="0.25">
      <c r="A1339" s="24">
        <v>1129</v>
      </c>
      <c r="B1339" s="24">
        <v>828050</v>
      </c>
      <c r="C1339" s="24" t="s">
        <v>2006</v>
      </c>
      <c r="D1339" s="24">
        <v>1131</v>
      </c>
    </row>
    <row r="1340" spans="1:4" x14ac:dyDescent="0.25">
      <c r="A1340" s="24">
        <v>1542</v>
      </c>
      <c r="B1340" s="24">
        <v>828076</v>
      </c>
      <c r="C1340" s="24" t="s">
        <v>2008</v>
      </c>
      <c r="D1340" s="24">
        <v>1132</v>
      </c>
    </row>
    <row r="1341" spans="1:4" x14ac:dyDescent="0.25">
      <c r="A1341" s="24">
        <v>1366</v>
      </c>
      <c r="B1341" s="24">
        <v>828084</v>
      </c>
      <c r="C1341" s="24" t="s">
        <v>2009</v>
      </c>
      <c r="D1341" s="24">
        <v>1133</v>
      </c>
    </row>
    <row r="1342" spans="1:4" x14ac:dyDescent="0.25">
      <c r="A1342" s="24">
        <v>1633</v>
      </c>
      <c r="B1342" s="24">
        <v>828106</v>
      </c>
      <c r="C1342" s="24" t="s">
        <v>2010</v>
      </c>
      <c r="D1342" s="24">
        <v>1134</v>
      </c>
    </row>
    <row r="1343" spans="1:4" x14ac:dyDescent="0.25">
      <c r="A1343" s="24">
        <v>3549</v>
      </c>
      <c r="B1343" s="24">
        <v>828173</v>
      </c>
      <c r="C1343" s="24" t="s">
        <v>2012</v>
      </c>
      <c r="D1343" s="24">
        <v>1135</v>
      </c>
    </row>
    <row r="1344" spans="1:4" x14ac:dyDescent="0.25">
      <c r="A1344" s="24">
        <v>2286</v>
      </c>
      <c r="B1344" s="24">
        <v>828190</v>
      </c>
      <c r="C1344" s="24" t="s">
        <v>2013</v>
      </c>
      <c r="D1344" s="24">
        <v>1136</v>
      </c>
    </row>
    <row r="1345" spans="1:4" x14ac:dyDescent="0.25">
      <c r="A1345" s="24">
        <v>1691</v>
      </c>
      <c r="B1345" s="24">
        <v>828211</v>
      </c>
      <c r="C1345" s="24" t="s">
        <v>2015</v>
      </c>
      <c r="D1345" s="24">
        <v>1137</v>
      </c>
    </row>
    <row r="1346" spans="1:4" x14ac:dyDescent="0.25">
      <c r="A1346" s="24">
        <v>2918</v>
      </c>
      <c r="B1346" s="24">
        <v>828203</v>
      </c>
      <c r="C1346" s="24" t="s">
        <v>2014</v>
      </c>
      <c r="D1346" s="24">
        <v>1137</v>
      </c>
    </row>
    <row r="1347" spans="1:4" x14ac:dyDescent="0.25">
      <c r="A1347" s="24">
        <v>295</v>
      </c>
      <c r="B1347" s="24">
        <v>828220</v>
      </c>
      <c r="C1347" s="24" t="s">
        <v>2016</v>
      </c>
      <c r="D1347" s="24">
        <v>1138</v>
      </c>
    </row>
    <row r="1348" spans="1:4" x14ac:dyDescent="0.25">
      <c r="A1348" s="24">
        <v>2038</v>
      </c>
      <c r="B1348" s="24">
        <v>828238</v>
      </c>
      <c r="C1348" s="24" t="s">
        <v>2017</v>
      </c>
      <c r="D1348" s="24">
        <v>1139</v>
      </c>
    </row>
    <row r="1349" spans="1:4" x14ac:dyDescent="0.25">
      <c r="A1349" s="24">
        <v>2220</v>
      </c>
      <c r="B1349" s="24">
        <v>828254</v>
      </c>
      <c r="C1349" s="24" t="s">
        <v>2018</v>
      </c>
      <c r="D1349" s="24">
        <v>1140</v>
      </c>
    </row>
    <row r="1350" spans="1:4" x14ac:dyDescent="0.25">
      <c r="A1350" s="24">
        <v>3189</v>
      </c>
      <c r="B1350" s="24">
        <v>828246</v>
      </c>
      <c r="C1350" s="24" t="s">
        <v>2017</v>
      </c>
      <c r="D1350" s="24">
        <v>1140</v>
      </c>
    </row>
    <row r="1351" spans="1:4" x14ac:dyDescent="0.25">
      <c r="A1351" s="24">
        <v>934</v>
      </c>
      <c r="B1351" s="24">
        <v>828271</v>
      </c>
      <c r="C1351" s="24" t="s">
        <v>2020</v>
      </c>
      <c r="D1351" s="24">
        <v>1141</v>
      </c>
    </row>
    <row r="1352" spans="1:4" x14ac:dyDescent="0.25">
      <c r="A1352" s="24">
        <v>569</v>
      </c>
      <c r="B1352" s="24">
        <v>828301</v>
      </c>
      <c r="C1352" s="24" t="s">
        <v>2023</v>
      </c>
      <c r="D1352" s="24">
        <v>1141</v>
      </c>
    </row>
    <row r="1353" spans="1:4" x14ac:dyDescent="0.25">
      <c r="A1353" s="24">
        <v>1824</v>
      </c>
      <c r="B1353" s="24">
        <v>828289</v>
      </c>
      <c r="C1353" s="24" t="s">
        <v>2021</v>
      </c>
      <c r="D1353" s="24">
        <v>1141</v>
      </c>
    </row>
    <row r="1354" spans="1:4" x14ac:dyDescent="0.25">
      <c r="A1354" s="24">
        <v>1914</v>
      </c>
      <c r="B1354" s="24">
        <v>828297</v>
      </c>
      <c r="C1354" s="24" t="s">
        <v>2022</v>
      </c>
      <c r="D1354" s="24">
        <v>1141</v>
      </c>
    </row>
    <row r="1355" spans="1:4" x14ac:dyDescent="0.25">
      <c r="A1355" s="24">
        <v>1916</v>
      </c>
      <c r="B1355" s="24">
        <v>828262</v>
      </c>
      <c r="C1355" s="24" t="s">
        <v>2019</v>
      </c>
      <c r="D1355" s="24">
        <v>1141</v>
      </c>
    </row>
    <row r="1356" spans="1:4" x14ac:dyDescent="0.25">
      <c r="A1356" s="24">
        <v>856</v>
      </c>
      <c r="B1356" s="24">
        <v>828360</v>
      </c>
      <c r="C1356" s="24" t="s">
        <v>2024</v>
      </c>
      <c r="D1356" s="24">
        <v>1142</v>
      </c>
    </row>
    <row r="1357" spans="1:4" x14ac:dyDescent="0.25">
      <c r="A1357" s="24">
        <v>2301</v>
      </c>
      <c r="B1357" s="24">
        <v>828378</v>
      </c>
      <c r="C1357" s="24" t="s">
        <v>2025</v>
      </c>
      <c r="D1357" s="24">
        <v>1143</v>
      </c>
    </row>
    <row r="1358" spans="1:4" x14ac:dyDescent="0.25">
      <c r="A1358" s="24">
        <v>691</v>
      </c>
      <c r="B1358" s="24">
        <v>828394</v>
      </c>
      <c r="C1358" s="24" t="s">
        <v>2027</v>
      </c>
      <c r="D1358" s="24">
        <v>1144</v>
      </c>
    </row>
    <row r="1359" spans="1:4" x14ac:dyDescent="0.25">
      <c r="A1359" s="24">
        <v>154</v>
      </c>
      <c r="B1359" s="24">
        <v>828432</v>
      </c>
      <c r="C1359" s="24" t="s">
        <v>2029</v>
      </c>
      <c r="D1359" s="24">
        <v>1145</v>
      </c>
    </row>
    <row r="1360" spans="1:4" x14ac:dyDescent="0.25">
      <c r="A1360" s="24">
        <v>135</v>
      </c>
      <c r="B1360" s="24">
        <v>828459</v>
      </c>
      <c r="C1360" s="24" t="s">
        <v>2030</v>
      </c>
      <c r="D1360" s="24">
        <v>1146</v>
      </c>
    </row>
    <row r="1361" spans="1:4" x14ac:dyDescent="0.25">
      <c r="A1361" s="24">
        <v>2849</v>
      </c>
      <c r="B1361" s="24">
        <v>828467</v>
      </c>
      <c r="C1361" s="24" t="s">
        <v>2031</v>
      </c>
      <c r="D1361" s="24">
        <v>1147</v>
      </c>
    </row>
    <row r="1362" spans="1:4" x14ac:dyDescent="0.25">
      <c r="A1362" s="24">
        <v>2405</v>
      </c>
      <c r="B1362" s="24">
        <v>828483</v>
      </c>
      <c r="C1362" s="24" t="s">
        <v>2032</v>
      </c>
      <c r="D1362" s="24">
        <v>1148</v>
      </c>
    </row>
    <row r="1363" spans="1:4" x14ac:dyDescent="0.25">
      <c r="A1363" s="24">
        <v>2381</v>
      </c>
      <c r="B1363" s="24">
        <v>828700</v>
      </c>
      <c r="C1363" s="24" t="s">
        <v>2033</v>
      </c>
      <c r="D1363" s="24">
        <v>1149</v>
      </c>
    </row>
    <row r="1364" spans="1:4" x14ac:dyDescent="0.25">
      <c r="A1364" s="24">
        <v>2898</v>
      </c>
      <c r="B1364" s="24">
        <v>828734</v>
      </c>
      <c r="C1364" s="24" t="s">
        <v>2034</v>
      </c>
      <c r="D1364" s="24">
        <v>1150</v>
      </c>
    </row>
    <row r="1365" spans="1:4" x14ac:dyDescent="0.25">
      <c r="A1365" s="24">
        <v>409</v>
      </c>
      <c r="B1365" s="24">
        <v>828751</v>
      </c>
      <c r="C1365" s="24" t="s">
        <v>2035</v>
      </c>
      <c r="D1365" s="24">
        <v>1151</v>
      </c>
    </row>
    <row r="1366" spans="1:4" x14ac:dyDescent="0.25">
      <c r="A1366" s="24">
        <v>2833</v>
      </c>
      <c r="B1366" s="24">
        <v>828769</v>
      </c>
      <c r="C1366" s="24" t="s">
        <v>2036</v>
      </c>
      <c r="D1366" s="24">
        <v>1152</v>
      </c>
    </row>
    <row r="1367" spans="1:4" x14ac:dyDescent="0.25">
      <c r="A1367" s="24">
        <v>2909</v>
      </c>
      <c r="B1367" s="24">
        <v>828807</v>
      </c>
      <c r="C1367" s="24" t="s">
        <v>2038</v>
      </c>
      <c r="D1367" s="24">
        <v>1153</v>
      </c>
    </row>
    <row r="1368" spans="1:4" x14ac:dyDescent="0.25">
      <c r="A1368" s="24">
        <v>1537</v>
      </c>
      <c r="B1368" s="24">
        <v>828815</v>
      </c>
      <c r="C1368" s="24" t="s">
        <v>2038</v>
      </c>
      <c r="D1368" s="24">
        <v>1154</v>
      </c>
    </row>
    <row r="1369" spans="1:4" x14ac:dyDescent="0.25">
      <c r="A1369" s="24">
        <v>1263</v>
      </c>
      <c r="B1369" s="24">
        <v>828823</v>
      </c>
      <c r="C1369" s="24" t="s">
        <v>2039</v>
      </c>
      <c r="D1369" s="24">
        <v>1155</v>
      </c>
    </row>
    <row r="1370" spans="1:4" x14ac:dyDescent="0.25">
      <c r="A1370" s="24">
        <v>296</v>
      </c>
      <c r="B1370" s="24">
        <v>828858</v>
      </c>
      <c r="C1370" s="24" t="s">
        <v>2040</v>
      </c>
      <c r="D1370" s="24">
        <v>1156</v>
      </c>
    </row>
    <row r="1371" spans="1:4" x14ac:dyDescent="0.25">
      <c r="A1371" s="24">
        <v>163</v>
      </c>
      <c r="B1371" s="24">
        <v>828874</v>
      </c>
      <c r="C1371" s="24" t="s">
        <v>2041</v>
      </c>
      <c r="D1371" s="24">
        <v>1157</v>
      </c>
    </row>
    <row r="1372" spans="1:4" x14ac:dyDescent="0.25">
      <c r="A1372" s="24">
        <v>1697</v>
      </c>
      <c r="B1372" s="24">
        <v>828882</v>
      </c>
      <c r="C1372" s="24" t="s">
        <v>2042</v>
      </c>
      <c r="D1372" s="24">
        <v>1158</v>
      </c>
    </row>
    <row r="1373" spans="1:4" x14ac:dyDescent="0.25">
      <c r="A1373" s="24">
        <v>3415</v>
      </c>
      <c r="B1373" s="24">
        <v>829021</v>
      </c>
      <c r="C1373" s="24" t="s">
        <v>2043</v>
      </c>
      <c r="D1373" s="24">
        <v>1159</v>
      </c>
    </row>
    <row r="1374" spans="1:4" x14ac:dyDescent="0.25">
      <c r="A1374" s="24">
        <v>3285</v>
      </c>
      <c r="B1374" s="24">
        <v>829030</v>
      </c>
      <c r="C1374" s="24" t="s">
        <v>2044</v>
      </c>
      <c r="D1374" s="24">
        <v>1160</v>
      </c>
    </row>
    <row r="1375" spans="1:4" x14ac:dyDescent="0.25">
      <c r="A1375" s="24">
        <v>3519</v>
      </c>
      <c r="B1375" s="24">
        <v>829048</v>
      </c>
      <c r="C1375" s="24" t="s">
        <v>2045</v>
      </c>
      <c r="D1375" s="24">
        <v>1161</v>
      </c>
    </row>
    <row r="1376" spans="1:4" x14ac:dyDescent="0.25">
      <c r="A1376" s="24">
        <v>2482</v>
      </c>
      <c r="B1376" s="24">
        <v>829056</v>
      </c>
      <c r="C1376" s="24" t="s">
        <v>2046</v>
      </c>
      <c r="D1376" s="24">
        <v>1162</v>
      </c>
    </row>
    <row r="1377" spans="1:4" x14ac:dyDescent="0.25">
      <c r="A1377" s="24">
        <v>2197</v>
      </c>
      <c r="B1377" s="24">
        <v>829072</v>
      </c>
      <c r="C1377" s="24" t="s">
        <v>2047</v>
      </c>
      <c r="D1377" s="24">
        <v>1163</v>
      </c>
    </row>
    <row r="1378" spans="1:4" x14ac:dyDescent="0.25">
      <c r="A1378" s="24">
        <v>402</v>
      </c>
      <c r="B1378" s="24">
        <v>829099</v>
      </c>
      <c r="C1378" s="24" t="s">
        <v>2049</v>
      </c>
      <c r="D1378" s="24">
        <v>1164</v>
      </c>
    </row>
    <row r="1379" spans="1:4" x14ac:dyDescent="0.25">
      <c r="A1379" s="24">
        <v>983</v>
      </c>
      <c r="B1379" s="24">
        <v>829137</v>
      </c>
      <c r="C1379" s="24" t="s">
        <v>2050</v>
      </c>
      <c r="D1379" s="24">
        <v>1165</v>
      </c>
    </row>
    <row r="1380" spans="1:4" x14ac:dyDescent="0.25">
      <c r="A1380" s="24">
        <v>1579</v>
      </c>
      <c r="B1380" s="24">
        <v>829145</v>
      </c>
      <c r="C1380" s="24" t="s">
        <v>2051</v>
      </c>
      <c r="D1380" s="24">
        <v>1166</v>
      </c>
    </row>
    <row r="1381" spans="1:4" x14ac:dyDescent="0.25">
      <c r="A1381" s="24">
        <v>2832</v>
      </c>
      <c r="B1381" s="24">
        <v>829153</v>
      </c>
      <c r="C1381" s="24" t="s">
        <v>2052</v>
      </c>
      <c r="D1381" s="24">
        <v>1167</v>
      </c>
    </row>
    <row r="1382" spans="1:4" x14ac:dyDescent="0.25">
      <c r="A1382" s="24">
        <v>3342</v>
      </c>
      <c r="B1382" s="24">
        <v>829161</v>
      </c>
      <c r="C1382" s="24" t="s">
        <v>2053</v>
      </c>
      <c r="D1382" s="24">
        <v>1168</v>
      </c>
    </row>
    <row r="1383" spans="1:4" x14ac:dyDescent="0.25">
      <c r="A1383" s="24">
        <v>1265</v>
      </c>
      <c r="B1383" s="24">
        <v>829170</v>
      </c>
      <c r="C1383" s="24" t="s">
        <v>2054</v>
      </c>
      <c r="D1383" s="24">
        <v>1169</v>
      </c>
    </row>
    <row r="1384" spans="1:4" x14ac:dyDescent="0.25">
      <c r="A1384" s="24">
        <v>3170</v>
      </c>
      <c r="B1384" s="24">
        <v>829196</v>
      </c>
      <c r="C1384" s="24" t="s">
        <v>2055</v>
      </c>
      <c r="D1384" s="24">
        <v>1170</v>
      </c>
    </row>
    <row r="1385" spans="1:4" x14ac:dyDescent="0.25">
      <c r="A1385" s="24">
        <v>3395</v>
      </c>
      <c r="B1385" s="24">
        <v>829200</v>
      </c>
      <c r="C1385" s="24" t="s">
        <v>2056</v>
      </c>
      <c r="D1385" s="24">
        <v>1171</v>
      </c>
    </row>
    <row r="1386" spans="1:4" x14ac:dyDescent="0.25">
      <c r="A1386" s="24">
        <v>105</v>
      </c>
      <c r="B1386" s="24">
        <v>829218</v>
      </c>
      <c r="C1386" s="24" t="s">
        <v>2057</v>
      </c>
      <c r="D1386" s="24">
        <v>1172</v>
      </c>
    </row>
    <row r="1387" spans="1:4" x14ac:dyDescent="0.25">
      <c r="A1387" s="24">
        <v>3037</v>
      </c>
      <c r="B1387" s="24">
        <v>829226</v>
      </c>
      <c r="C1387" s="24" t="s">
        <v>2058</v>
      </c>
      <c r="D1387" s="24">
        <v>1173</v>
      </c>
    </row>
    <row r="1388" spans="1:4" x14ac:dyDescent="0.25">
      <c r="A1388" s="24">
        <v>3507</v>
      </c>
      <c r="B1388" s="24">
        <v>829269</v>
      </c>
      <c r="C1388" s="24" t="s">
        <v>2059</v>
      </c>
      <c r="D1388" s="24">
        <v>1174</v>
      </c>
    </row>
    <row r="1389" spans="1:4" x14ac:dyDescent="0.25">
      <c r="A1389" s="24">
        <v>2069</v>
      </c>
      <c r="B1389" s="24">
        <v>829277</v>
      </c>
      <c r="C1389" s="24" t="s">
        <v>2060</v>
      </c>
      <c r="D1389" s="24">
        <v>1175</v>
      </c>
    </row>
    <row r="1390" spans="1:4" x14ac:dyDescent="0.25">
      <c r="A1390" s="24">
        <v>2981</v>
      </c>
      <c r="B1390" s="24">
        <v>829307</v>
      </c>
      <c r="C1390" s="24" t="s">
        <v>2061</v>
      </c>
      <c r="D1390" s="24">
        <v>1176</v>
      </c>
    </row>
    <row r="1391" spans="1:4" x14ac:dyDescent="0.25">
      <c r="A1391" s="24">
        <v>177</v>
      </c>
      <c r="B1391" s="24">
        <v>829412</v>
      </c>
      <c r="C1391" s="24" t="s">
        <v>2062</v>
      </c>
      <c r="D1391" s="24">
        <v>1177</v>
      </c>
    </row>
    <row r="1392" spans="1:4" x14ac:dyDescent="0.25">
      <c r="A1392" s="24">
        <v>2410</v>
      </c>
      <c r="B1392" s="24">
        <v>829455</v>
      </c>
      <c r="C1392" s="24" t="s">
        <v>2064</v>
      </c>
      <c r="D1392" s="24">
        <v>1178</v>
      </c>
    </row>
    <row r="1393" spans="1:4" x14ac:dyDescent="0.25">
      <c r="A1393" s="24">
        <v>2742</v>
      </c>
      <c r="B1393" s="24">
        <v>829447</v>
      </c>
      <c r="C1393" s="24" t="s">
        <v>2063</v>
      </c>
      <c r="D1393" s="24">
        <v>1178</v>
      </c>
    </row>
    <row r="1394" spans="1:4" x14ac:dyDescent="0.25">
      <c r="A1394" s="24">
        <v>27</v>
      </c>
      <c r="B1394" s="24">
        <v>829471</v>
      </c>
      <c r="C1394" s="24" t="s">
        <v>2065</v>
      </c>
      <c r="D1394" s="24">
        <v>1179</v>
      </c>
    </row>
    <row r="1395" spans="1:4" x14ac:dyDescent="0.25">
      <c r="A1395" s="24">
        <v>594</v>
      </c>
      <c r="B1395" s="24">
        <v>853755</v>
      </c>
      <c r="C1395" s="24" t="s">
        <v>3136</v>
      </c>
      <c r="D1395" s="24">
        <v>1180</v>
      </c>
    </row>
    <row r="1396" spans="1:4" x14ac:dyDescent="0.25">
      <c r="A1396" s="24">
        <v>955</v>
      </c>
      <c r="B1396" s="24">
        <v>829498</v>
      </c>
      <c r="C1396" s="24" t="s">
        <v>2066</v>
      </c>
      <c r="D1396" s="24">
        <v>1181</v>
      </c>
    </row>
    <row r="1397" spans="1:4" x14ac:dyDescent="0.25">
      <c r="A1397" s="24">
        <v>1696</v>
      </c>
      <c r="B1397" s="24">
        <v>829587</v>
      </c>
      <c r="C1397" s="24" t="s">
        <v>2067</v>
      </c>
      <c r="D1397" s="24">
        <v>1182</v>
      </c>
    </row>
    <row r="1398" spans="1:4" x14ac:dyDescent="0.25">
      <c r="A1398" s="24">
        <v>3418</v>
      </c>
      <c r="B1398" s="24">
        <v>829595</v>
      </c>
      <c r="C1398" s="24" t="s">
        <v>2068</v>
      </c>
      <c r="D1398" s="24">
        <v>1183</v>
      </c>
    </row>
    <row r="1399" spans="1:4" x14ac:dyDescent="0.25">
      <c r="A1399" s="24">
        <v>936</v>
      </c>
      <c r="B1399" s="24">
        <v>829609</v>
      </c>
      <c r="C1399" s="24" t="s">
        <v>2069</v>
      </c>
      <c r="D1399" s="24">
        <v>1184</v>
      </c>
    </row>
    <row r="1400" spans="1:4" x14ac:dyDescent="0.25">
      <c r="A1400" s="24">
        <v>2722</v>
      </c>
      <c r="B1400" s="24">
        <v>829617</v>
      </c>
      <c r="C1400" s="24" t="s">
        <v>2070</v>
      </c>
      <c r="D1400" s="24">
        <v>1184</v>
      </c>
    </row>
    <row r="1401" spans="1:4" x14ac:dyDescent="0.25">
      <c r="A1401" s="24">
        <v>1515</v>
      </c>
      <c r="B1401" s="24">
        <v>829625</v>
      </c>
      <c r="C1401" s="24" t="s">
        <v>2071</v>
      </c>
      <c r="D1401" s="24">
        <v>1185</v>
      </c>
    </row>
    <row r="1402" spans="1:4" x14ac:dyDescent="0.25">
      <c r="A1402" s="24">
        <v>10</v>
      </c>
      <c r="B1402" s="24">
        <v>829641</v>
      </c>
      <c r="C1402" s="24" t="s">
        <v>2072</v>
      </c>
      <c r="D1402" s="24">
        <v>1186</v>
      </c>
    </row>
    <row r="1403" spans="1:4" x14ac:dyDescent="0.25">
      <c r="A1403" s="24">
        <v>2570</v>
      </c>
      <c r="B1403" s="24">
        <v>829650</v>
      </c>
      <c r="C1403" s="24" t="s">
        <v>2073</v>
      </c>
      <c r="D1403" s="24">
        <v>1187</v>
      </c>
    </row>
    <row r="1404" spans="1:4" x14ac:dyDescent="0.25">
      <c r="A1404" s="24">
        <v>60</v>
      </c>
      <c r="B1404" s="24">
        <v>829676</v>
      </c>
      <c r="C1404" s="24" t="s">
        <v>2074</v>
      </c>
      <c r="D1404" s="24">
        <v>1188</v>
      </c>
    </row>
    <row r="1405" spans="1:4" x14ac:dyDescent="0.25">
      <c r="A1405" s="24">
        <v>710</v>
      </c>
      <c r="B1405" s="24">
        <v>829692</v>
      </c>
      <c r="C1405" s="24" t="s">
        <v>2075</v>
      </c>
      <c r="D1405" s="24">
        <v>1189</v>
      </c>
    </row>
    <row r="1406" spans="1:4" x14ac:dyDescent="0.25">
      <c r="A1406" s="24">
        <v>2446</v>
      </c>
      <c r="B1406" s="24">
        <v>872482</v>
      </c>
      <c r="C1406" s="24" t="s">
        <v>3966</v>
      </c>
      <c r="D1406" s="24">
        <v>1189</v>
      </c>
    </row>
    <row r="1407" spans="1:4" x14ac:dyDescent="0.25">
      <c r="A1407" s="24">
        <v>2906</v>
      </c>
      <c r="B1407" s="24">
        <v>829714</v>
      </c>
      <c r="C1407" s="24" t="s">
        <v>2076</v>
      </c>
      <c r="D1407" s="24">
        <v>1190</v>
      </c>
    </row>
    <row r="1408" spans="1:4" x14ac:dyDescent="0.25">
      <c r="A1408" s="24">
        <v>574</v>
      </c>
      <c r="B1408" s="24">
        <v>829757</v>
      </c>
      <c r="C1408" s="24" t="s">
        <v>2079</v>
      </c>
      <c r="D1408" s="24">
        <v>1191</v>
      </c>
    </row>
    <row r="1409" spans="1:4" x14ac:dyDescent="0.25">
      <c r="A1409" s="24">
        <v>3479</v>
      </c>
      <c r="B1409" s="24">
        <v>829765</v>
      </c>
      <c r="C1409" s="24" t="s">
        <v>2080</v>
      </c>
      <c r="D1409" s="24">
        <v>1192</v>
      </c>
    </row>
    <row r="1410" spans="1:4" x14ac:dyDescent="0.25">
      <c r="A1410" s="24">
        <v>1858</v>
      </c>
      <c r="B1410" s="24">
        <v>829773</v>
      </c>
      <c r="C1410" s="24" t="s">
        <v>2081</v>
      </c>
      <c r="D1410" s="24">
        <v>1193</v>
      </c>
    </row>
    <row r="1411" spans="1:4" x14ac:dyDescent="0.25">
      <c r="A1411" s="24">
        <v>4</v>
      </c>
      <c r="B1411" s="24">
        <v>829781</v>
      </c>
      <c r="C1411" s="24" t="s">
        <v>2082</v>
      </c>
      <c r="D1411" s="24">
        <v>1194</v>
      </c>
    </row>
    <row r="1412" spans="1:4" x14ac:dyDescent="0.25">
      <c r="A1412" s="24">
        <v>3256</v>
      </c>
      <c r="B1412" s="24">
        <v>829790</v>
      </c>
      <c r="C1412" s="24" t="s">
        <v>2083</v>
      </c>
      <c r="D1412" s="24">
        <v>1195</v>
      </c>
    </row>
    <row r="1413" spans="1:4" x14ac:dyDescent="0.25">
      <c r="A1413" s="24">
        <v>1130</v>
      </c>
      <c r="B1413" s="24">
        <v>829820</v>
      </c>
      <c r="C1413" s="24" t="s">
        <v>2085</v>
      </c>
      <c r="D1413" s="24">
        <v>1196</v>
      </c>
    </row>
    <row r="1414" spans="1:4" x14ac:dyDescent="0.25">
      <c r="A1414" s="24">
        <v>1857</v>
      </c>
      <c r="B1414" s="24">
        <v>829811</v>
      </c>
      <c r="C1414" s="24" t="s">
        <v>2084</v>
      </c>
      <c r="D1414" s="24">
        <v>1196</v>
      </c>
    </row>
    <row r="1415" spans="1:4" x14ac:dyDescent="0.25">
      <c r="A1415" s="24">
        <v>3528</v>
      </c>
      <c r="B1415" s="24">
        <v>829838</v>
      </c>
      <c r="C1415" s="24" t="s">
        <v>2086</v>
      </c>
      <c r="D1415" s="24">
        <v>1197</v>
      </c>
    </row>
    <row r="1416" spans="1:4" x14ac:dyDescent="0.25">
      <c r="A1416" s="24">
        <v>3121</v>
      </c>
      <c r="B1416" s="24">
        <v>829854</v>
      </c>
      <c r="C1416" s="24" t="s">
        <v>2087</v>
      </c>
      <c r="D1416" s="24">
        <v>1198</v>
      </c>
    </row>
    <row r="1417" spans="1:4" x14ac:dyDescent="0.25">
      <c r="A1417" s="24">
        <v>2734</v>
      </c>
      <c r="B1417" s="24">
        <v>829897</v>
      </c>
      <c r="C1417" s="24" t="s">
        <v>2089</v>
      </c>
      <c r="D1417" s="24">
        <v>1199</v>
      </c>
    </row>
    <row r="1418" spans="1:4" x14ac:dyDescent="0.25">
      <c r="A1418" s="24">
        <v>1585</v>
      </c>
      <c r="B1418" s="24">
        <v>829901</v>
      </c>
      <c r="C1418" s="24" t="s">
        <v>2090</v>
      </c>
      <c r="D1418" s="24">
        <v>1200</v>
      </c>
    </row>
    <row r="1419" spans="1:4" x14ac:dyDescent="0.25">
      <c r="A1419" s="24">
        <v>1703</v>
      </c>
      <c r="B1419" s="24">
        <v>829919</v>
      </c>
      <c r="C1419" s="24" t="s">
        <v>2091</v>
      </c>
      <c r="D1419" s="24">
        <v>1201</v>
      </c>
    </row>
    <row r="1420" spans="1:4" x14ac:dyDescent="0.25">
      <c r="A1420" s="24">
        <v>1105</v>
      </c>
      <c r="B1420" s="24">
        <v>829927</v>
      </c>
      <c r="C1420" s="24" t="s">
        <v>2092</v>
      </c>
      <c r="D1420" s="24">
        <v>1202</v>
      </c>
    </row>
    <row r="1421" spans="1:4" x14ac:dyDescent="0.25">
      <c r="A1421" s="24">
        <v>1094</v>
      </c>
      <c r="B1421" s="24">
        <v>829935</v>
      </c>
      <c r="C1421" s="24" t="s">
        <v>2093</v>
      </c>
      <c r="D1421" s="24">
        <v>1203</v>
      </c>
    </row>
    <row r="1422" spans="1:4" x14ac:dyDescent="0.25">
      <c r="A1422" s="24">
        <v>3242</v>
      </c>
      <c r="B1422" s="24">
        <v>829943</v>
      </c>
      <c r="C1422" s="24" t="s">
        <v>2094</v>
      </c>
      <c r="D1422" s="24">
        <v>1204</v>
      </c>
    </row>
    <row r="1423" spans="1:4" x14ac:dyDescent="0.25">
      <c r="A1423" s="24">
        <v>43</v>
      </c>
      <c r="B1423" s="24">
        <v>829951</v>
      </c>
      <c r="C1423" s="24" t="s">
        <v>2095</v>
      </c>
      <c r="D1423" s="24">
        <v>1205</v>
      </c>
    </row>
    <row r="1424" spans="1:4" x14ac:dyDescent="0.25">
      <c r="A1424" s="24">
        <v>1152</v>
      </c>
      <c r="B1424" s="24">
        <v>829986</v>
      </c>
      <c r="C1424" s="24" t="s">
        <v>2098</v>
      </c>
      <c r="D1424" s="24">
        <v>1206</v>
      </c>
    </row>
    <row r="1425" spans="1:4" x14ac:dyDescent="0.25">
      <c r="A1425" s="24">
        <v>446</v>
      </c>
      <c r="B1425" s="24">
        <v>829960</v>
      </c>
      <c r="C1425" s="24" t="s">
        <v>2096</v>
      </c>
      <c r="D1425" s="24">
        <v>1206</v>
      </c>
    </row>
    <row r="1426" spans="1:4" x14ac:dyDescent="0.25">
      <c r="A1426" s="24">
        <v>1383</v>
      </c>
      <c r="B1426" s="24">
        <v>830020</v>
      </c>
      <c r="C1426" s="24" t="s">
        <v>2101</v>
      </c>
      <c r="D1426" s="24">
        <v>1206</v>
      </c>
    </row>
    <row r="1427" spans="1:4" x14ac:dyDescent="0.25">
      <c r="A1427" s="24">
        <v>2348</v>
      </c>
      <c r="B1427" s="24">
        <v>830038</v>
      </c>
      <c r="C1427" s="24" t="s">
        <v>2102</v>
      </c>
      <c r="D1427" s="24">
        <v>1207</v>
      </c>
    </row>
    <row r="1428" spans="1:4" x14ac:dyDescent="0.25">
      <c r="A1428" s="24">
        <v>1587</v>
      </c>
      <c r="B1428" s="24">
        <v>830089</v>
      </c>
      <c r="C1428" s="24" t="s">
        <v>2103</v>
      </c>
      <c r="D1428" s="24">
        <v>1208</v>
      </c>
    </row>
    <row r="1429" spans="1:4" x14ac:dyDescent="0.25">
      <c r="A1429" s="24">
        <v>2020</v>
      </c>
      <c r="B1429" s="24">
        <v>830054</v>
      </c>
      <c r="C1429" s="24" t="s">
        <v>2103</v>
      </c>
      <c r="D1429" s="24">
        <v>1209</v>
      </c>
    </row>
    <row r="1430" spans="1:4" x14ac:dyDescent="0.25">
      <c r="A1430" s="24">
        <v>2009</v>
      </c>
      <c r="B1430" s="24">
        <v>830097</v>
      </c>
      <c r="C1430" s="24" t="s">
        <v>1183</v>
      </c>
      <c r="D1430" s="24">
        <v>1210</v>
      </c>
    </row>
    <row r="1431" spans="1:4" x14ac:dyDescent="0.25">
      <c r="A1431" s="24">
        <v>1399</v>
      </c>
      <c r="B1431" s="24">
        <v>830101</v>
      </c>
      <c r="C1431" s="24" t="s">
        <v>2104</v>
      </c>
      <c r="D1431" s="24">
        <v>1210</v>
      </c>
    </row>
    <row r="1432" spans="1:4" x14ac:dyDescent="0.25">
      <c r="A1432" s="24">
        <v>5</v>
      </c>
      <c r="B1432" s="24">
        <v>830119</v>
      </c>
      <c r="C1432" s="24" t="s">
        <v>2104</v>
      </c>
      <c r="D1432" s="24">
        <v>1211</v>
      </c>
    </row>
    <row r="1433" spans="1:4" x14ac:dyDescent="0.25">
      <c r="A1433" s="24">
        <v>2889</v>
      </c>
      <c r="B1433" s="24">
        <v>830127</v>
      </c>
      <c r="C1433" s="24" t="s">
        <v>2105</v>
      </c>
      <c r="D1433" s="24">
        <v>1212</v>
      </c>
    </row>
    <row r="1434" spans="1:4" x14ac:dyDescent="0.25">
      <c r="A1434" s="24">
        <v>508</v>
      </c>
      <c r="B1434" s="24">
        <v>830151</v>
      </c>
      <c r="C1434" s="24" t="s">
        <v>2106</v>
      </c>
      <c r="D1434" s="24">
        <v>1213</v>
      </c>
    </row>
    <row r="1435" spans="1:4" x14ac:dyDescent="0.25">
      <c r="A1435" s="24">
        <v>1231</v>
      </c>
      <c r="B1435" s="24">
        <v>830208</v>
      </c>
      <c r="C1435" s="24" t="s">
        <v>2108</v>
      </c>
      <c r="D1435" s="24">
        <v>1214</v>
      </c>
    </row>
    <row r="1436" spans="1:4" x14ac:dyDescent="0.25">
      <c r="A1436" s="24">
        <v>3495</v>
      </c>
      <c r="B1436" s="24">
        <v>830232</v>
      </c>
      <c r="C1436" s="24" t="s">
        <v>2109</v>
      </c>
      <c r="D1436" s="24">
        <v>1215</v>
      </c>
    </row>
    <row r="1437" spans="1:4" x14ac:dyDescent="0.25">
      <c r="A1437" s="24">
        <v>2425</v>
      </c>
      <c r="B1437" s="24">
        <v>830241</v>
      </c>
      <c r="C1437" s="24" t="s">
        <v>2110</v>
      </c>
      <c r="D1437" s="24">
        <v>1216</v>
      </c>
    </row>
    <row r="1438" spans="1:4" x14ac:dyDescent="0.25">
      <c r="A1438" s="24">
        <v>3151</v>
      </c>
      <c r="B1438" s="24">
        <v>801429</v>
      </c>
      <c r="C1438" s="24" t="s">
        <v>792</v>
      </c>
      <c r="D1438" s="24">
        <v>1217</v>
      </c>
    </row>
    <row r="1439" spans="1:4" x14ac:dyDescent="0.25">
      <c r="A1439" s="24">
        <v>1339</v>
      </c>
      <c r="B1439" s="24">
        <v>830259</v>
      </c>
      <c r="C1439" s="24" t="s">
        <v>2111</v>
      </c>
      <c r="D1439" s="24">
        <v>1218</v>
      </c>
    </row>
    <row r="1440" spans="1:4" x14ac:dyDescent="0.25">
      <c r="A1440" s="24">
        <v>2529</v>
      </c>
      <c r="B1440" s="24">
        <v>870013</v>
      </c>
      <c r="C1440" s="24" t="s">
        <v>3853</v>
      </c>
      <c r="D1440" s="24">
        <v>1219</v>
      </c>
    </row>
    <row r="1441" spans="1:4" x14ac:dyDescent="0.25">
      <c r="A1441" s="24">
        <v>2598</v>
      </c>
      <c r="B1441" s="24">
        <v>830275</v>
      </c>
      <c r="C1441" s="24" t="s">
        <v>2112</v>
      </c>
      <c r="D1441" s="24">
        <v>1220</v>
      </c>
    </row>
    <row r="1442" spans="1:4" x14ac:dyDescent="0.25">
      <c r="A1442" s="24">
        <v>51</v>
      </c>
      <c r="B1442" s="24">
        <v>830283</v>
      </c>
      <c r="C1442" s="24" t="s">
        <v>2113</v>
      </c>
      <c r="D1442" s="24">
        <v>1221</v>
      </c>
    </row>
    <row r="1443" spans="1:4" x14ac:dyDescent="0.25">
      <c r="A1443" s="24">
        <v>483</v>
      </c>
      <c r="B1443" s="24">
        <v>844811</v>
      </c>
      <c r="C1443" s="24" t="s">
        <v>2763</v>
      </c>
      <c r="D1443" s="24">
        <v>1221</v>
      </c>
    </row>
    <row r="1444" spans="1:4" x14ac:dyDescent="0.25">
      <c r="A1444" s="24">
        <v>1759</v>
      </c>
      <c r="B1444" s="24">
        <v>807117</v>
      </c>
      <c r="C1444" s="24" t="s">
        <v>994</v>
      </c>
      <c r="D1444" s="24">
        <v>1221</v>
      </c>
    </row>
    <row r="1445" spans="1:4" x14ac:dyDescent="0.25">
      <c r="A1445" s="24">
        <v>3213</v>
      </c>
      <c r="B1445" s="24">
        <v>830381</v>
      </c>
      <c r="C1445" s="24" t="s">
        <v>2114</v>
      </c>
      <c r="D1445" s="24">
        <v>1222</v>
      </c>
    </row>
    <row r="1446" spans="1:4" x14ac:dyDescent="0.25">
      <c r="A1446" s="24">
        <v>3046</v>
      </c>
      <c r="B1446" s="24">
        <v>830399</v>
      </c>
      <c r="C1446" s="24" t="s">
        <v>2115</v>
      </c>
      <c r="D1446" s="24">
        <v>1223</v>
      </c>
    </row>
    <row r="1447" spans="1:4" x14ac:dyDescent="0.25">
      <c r="A1447" s="24">
        <v>505</v>
      </c>
      <c r="B1447" s="24">
        <v>830429</v>
      </c>
      <c r="C1447" s="24" t="s">
        <v>2116</v>
      </c>
      <c r="D1447" s="24">
        <v>1224</v>
      </c>
    </row>
    <row r="1448" spans="1:4" x14ac:dyDescent="0.25">
      <c r="A1448" s="24">
        <v>1338</v>
      </c>
      <c r="B1448" s="24">
        <v>830437</v>
      </c>
      <c r="C1448" s="24" t="s">
        <v>2117</v>
      </c>
      <c r="D1448" s="24">
        <v>1225</v>
      </c>
    </row>
    <row r="1449" spans="1:4" x14ac:dyDescent="0.25">
      <c r="A1449" s="24">
        <v>59</v>
      </c>
      <c r="B1449" s="24">
        <v>830445</v>
      </c>
      <c r="C1449" s="24" t="s">
        <v>2118</v>
      </c>
      <c r="D1449" s="24">
        <v>1226</v>
      </c>
    </row>
    <row r="1450" spans="1:4" x14ac:dyDescent="0.25">
      <c r="A1450" s="24">
        <v>2888</v>
      </c>
      <c r="B1450" s="24">
        <v>830461</v>
      </c>
      <c r="C1450" s="24" t="s">
        <v>2120</v>
      </c>
      <c r="D1450" s="24">
        <v>1227</v>
      </c>
    </row>
    <row r="1451" spans="1:4" x14ac:dyDescent="0.25">
      <c r="A1451" s="24">
        <v>1529</v>
      </c>
      <c r="B1451" s="24">
        <v>830488</v>
      </c>
      <c r="C1451" s="24" t="s">
        <v>2121</v>
      </c>
      <c r="D1451" s="24">
        <v>1228</v>
      </c>
    </row>
    <row r="1452" spans="1:4" x14ac:dyDescent="0.25">
      <c r="A1452" s="24">
        <v>1216</v>
      </c>
      <c r="B1452" s="24">
        <v>830496</v>
      </c>
      <c r="C1452" s="24" t="s">
        <v>2122</v>
      </c>
      <c r="D1452" s="24">
        <v>1229</v>
      </c>
    </row>
    <row r="1453" spans="1:4" x14ac:dyDescent="0.25">
      <c r="A1453" s="24">
        <v>558</v>
      </c>
      <c r="B1453" s="24">
        <v>830500</v>
      </c>
      <c r="C1453" s="24" t="s">
        <v>2123</v>
      </c>
      <c r="D1453" s="24">
        <v>1230</v>
      </c>
    </row>
    <row r="1454" spans="1:4" x14ac:dyDescent="0.25">
      <c r="A1454" s="24">
        <v>356</v>
      </c>
      <c r="B1454" s="24">
        <v>830518</v>
      </c>
      <c r="C1454" s="24" t="s">
        <v>2124</v>
      </c>
      <c r="D1454" s="24">
        <v>1231</v>
      </c>
    </row>
    <row r="1455" spans="1:4" x14ac:dyDescent="0.25">
      <c r="A1455" s="24">
        <v>2144</v>
      </c>
      <c r="B1455" s="24">
        <v>877689</v>
      </c>
      <c r="C1455" s="24" t="s">
        <v>1020</v>
      </c>
      <c r="D1455" s="24">
        <v>1231</v>
      </c>
    </row>
    <row r="1456" spans="1:4" x14ac:dyDescent="0.25">
      <c r="A1456" s="24">
        <v>2458</v>
      </c>
      <c r="B1456" s="24">
        <v>830526</v>
      </c>
      <c r="C1456" s="24" t="s">
        <v>2125</v>
      </c>
      <c r="D1456" s="24">
        <v>1232</v>
      </c>
    </row>
    <row r="1457" spans="1:4" x14ac:dyDescent="0.25">
      <c r="A1457" s="24">
        <v>1001</v>
      </c>
      <c r="B1457" s="24">
        <v>830542</v>
      </c>
      <c r="C1457" s="24" t="s">
        <v>2126</v>
      </c>
      <c r="D1457" s="24">
        <v>1233</v>
      </c>
    </row>
    <row r="1458" spans="1:4" x14ac:dyDescent="0.25">
      <c r="A1458" s="24">
        <v>3537</v>
      </c>
      <c r="B1458" s="24">
        <v>830551</v>
      </c>
      <c r="C1458" s="24" t="s">
        <v>2127</v>
      </c>
      <c r="D1458" s="24">
        <v>1234</v>
      </c>
    </row>
    <row r="1459" spans="1:4" x14ac:dyDescent="0.25">
      <c r="A1459" s="24">
        <v>2719</v>
      </c>
      <c r="B1459" s="24">
        <v>830585</v>
      </c>
      <c r="C1459" s="24" t="s">
        <v>2129</v>
      </c>
      <c r="D1459" s="24">
        <v>1235</v>
      </c>
    </row>
    <row r="1460" spans="1:4" x14ac:dyDescent="0.25">
      <c r="A1460" s="24">
        <v>2725</v>
      </c>
      <c r="B1460" s="24">
        <v>830577</v>
      </c>
      <c r="C1460" s="24" t="s">
        <v>2128</v>
      </c>
      <c r="D1460" s="24">
        <v>1235</v>
      </c>
    </row>
    <row r="1461" spans="1:4" x14ac:dyDescent="0.25">
      <c r="A1461" s="24">
        <v>1565</v>
      </c>
      <c r="B1461" s="24">
        <v>830640</v>
      </c>
      <c r="C1461" s="24" t="s">
        <v>2133</v>
      </c>
      <c r="D1461" s="24">
        <v>1236</v>
      </c>
    </row>
    <row r="1462" spans="1:4" x14ac:dyDescent="0.25">
      <c r="A1462" s="24">
        <v>775</v>
      </c>
      <c r="B1462" s="24">
        <v>867268</v>
      </c>
      <c r="C1462" s="24" t="s">
        <v>3691</v>
      </c>
      <c r="D1462" s="24">
        <v>1237</v>
      </c>
    </row>
    <row r="1463" spans="1:4" x14ac:dyDescent="0.25">
      <c r="A1463" s="24">
        <v>1864</v>
      </c>
      <c r="B1463" s="24">
        <v>830658</v>
      </c>
      <c r="C1463" s="24" t="s">
        <v>2134</v>
      </c>
      <c r="D1463" s="24">
        <v>1237</v>
      </c>
    </row>
    <row r="1464" spans="1:4" x14ac:dyDescent="0.25">
      <c r="A1464" s="24">
        <v>1524</v>
      </c>
      <c r="B1464" s="24">
        <v>830666</v>
      </c>
      <c r="C1464" s="24" t="s">
        <v>2135</v>
      </c>
      <c r="D1464" s="24">
        <v>1238</v>
      </c>
    </row>
    <row r="1465" spans="1:4" x14ac:dyDescent="0.25">
      <c r="A1465" s="24">
        <v>2002</v>
      </c>
      <c r="B1465" s="24">
        <v>830682</v>
      </c>
      <c r="C1465" s="24" t="s">
        <v>2136</v>
      </c>
      <c r="D1465" s="24">
        <v>1239</v>
      </c>
    </row>
    <row r="1466" spans="1:4" x14ac:dyDescent="0.25">
      <c r="A1466" s="24">
        <v>1771</v>
      </c>
      <c r="B1466" s="24">
        <v>830704</v>
      </c>
      <c r="C1466" s="24" t="s">
        <v>2137</v>
      </c>
      <c r="D1466" s="24">
        <v>1240</v>
      </c>
    </row>
    <row r="1467" spans="1:4" x14ac:dyDescent="0.25">
      <c r="A1467" s="24">
        <v>823</v>
      </c>
      <c r="B1467" s="24">
        <v>830747</v>
      </c>
      <c r="C1467" s="24" t="s">
        <v>2138</v>
      </c>
      <c r="D1467" s="24">
        <v>1241</v>
      </c>
    </row>
    <row r="1468" spans="1:4" x14ac:dyDescent="0.25">
      <c r="A1468" s="24">
        <v>3532</v>
      </c>
      <c r="B1468" s="24">
        <v>830887</v>
      </c>
      <c r="C1468" s="24" t="s">
        <v>2139</v>
      </c>
      <c r="D1468" s="24">
        <v>1242</v>
      </c>
    </row>
    <row r="1469" spans="1:4" x14ac:dyDescent="0.25">
      <c r="A1469" s="24">
        <v>941</v>
      </c>
      <c r="B1469" s="24">
        <v>830895</v>
      </c>
      <c r="C1469" s="24" t="s">
        <v>2140</v>
      </c>
      <c r="D1469" s="24">
        <v>1243</v>
      </c>
    </row>
    <row r="1470" spans="1:4" x14ac:dyDescent="0.25">
      <c r="A1470" s="24">
        <v>1737</v>
      </c>
      <c r="B1470" s="24">
        <v>830950</v>
      </c>
      <c r="C1470" s="24" t="s">
        <v>2142</v>
      </c>
      <c r="D1470" s="24">
        <v>1244</v>
      </c>
    </row>
    <row r="1471" spans="1:4" x14ac:dyDescent="0.25">
      <c r="A1471" s="24">
        <v>2175</v>
      </c>
      <c r="B1471" s="24">
        <v>830917</v>
      </c>
      <c r="C1471" s="24" t="s">
        <v>2141</v>
      </c>
      <c r="D1471" s="24">
        <v>1244</v>
      </c>
    </row>
    <row r="1472" spans="1:4" x14ac:dyDescent="0.25">
      <c r="A1472" s="24">
        <v>893</v>
      </c>
      <c r="B1472" s="24">
        <v>831042</v>
      </c>
      <c r="C1472" s="24" t="s">
        <v>2143</v>
      </c>
      <c r="D1472" s="24">
        <v>1245</v>
      </c>
    </row>
    <row r="1473" spans="1:4" x14ac:dyDescent="0.25">
      <c r="A1473" s="24">
        <v>2439</v>
      </c>
      <c r="B1473" s="24">
        <v>831051</v>
      </c>
      <c r="C1473" s="24" t="s">
        <v>2144</v>
      </c>
      <c r="D1473" s="24">
        <v>1246</v>
      </c>
    </row>
    <row r="1474" spans="1:4" x14ac:dyDescent="0.25">
      <c r="A1474" s="24">
        <v>591</v>
      </c>
      <c r="B1474" s="24">
        <v>817023</v>
      </c>
      <c r="C1474" s="24" t="s">
        <v>1492</v>
      </c>
      <c r="D1474" s="24">
        <v>1247</v>
      </c>
    </row>
    <row r="1475" spans="1:4" x14ac:dyDescent="0.25">
      <c r="A1475" s="24">
        <v>1262</v>
      </c>
      <c r="B1475" s="24">
        <v>831077</v>
      </c>
      <c r="C1475" s="24" t="s">
        <v>2145</v>
      </c>
      <c r="D1475" s="24">
        <v>1247</v>
      </c>
    </row>
    <row r="1476" spans="1:4" x14ac:dyDescent="0.25">
      <c r="A1476" s="24">
        <v>2147</v>
      </c>
      <c r="B1476" s="24">
        <v>817007</v>
      </c>
      <c r="C1476" s="24" t="s">
        <v>1490</v>
      </c>
      <c r="D1476" s="24">
        <v>1247</v>
      </c>
    </row>
    <row r="1477" spans="1:4" x14ac:dyDescent="0.25">
      <c r="A1477" s="24">
        <v>1976</v>
      </c>
      <c r="B1477" s="24">
        <v>817015</v>
      </c>
      <c r="C1477" s="24" t="s">
        <v>1491</v>
      </c>
      <c r="D1477" s="24">
        <v>1247</v>
      </c>
    </row>
    <row r="1478" spans="1:4" x14ac:dyDescent="0.25">
      <c r="A1478" s="24">
        <v>1235</v>
      </c>
      <c r="B1478" s="24">
        <v>831085</v>
      </c>
      <c r="C1478" s="24" t="s">
        <v>2146</v>
      </c>
      <c r="D1478" s="24">
        <v>1248</v>
      </c>
    </row>
    <row r="1479" spans="1:4" x14ac:dyDescent="0.25">
      <c r="A1479" s="24">
        <v>1598</v>
      </c>
      <c r="B1479" s="24">
        <v>831107</v>
      </c>
      <c r="C1479" s="24" t="s">
        <v>2147</v>
      </c>
      <c r="D1479" s="24">
        <v>1249</v>
      </c>
    </row>
    <row r="1480" spans="1:4" x14ac:dyDescent="0.25">
      <c r="A1480" s="24">
        <v>2973</v>
      </c>
      <c r="B1480" s="24">
        <v>831115</v>
      </c>
      <c r="C1480" s="24" t="s">
        <v>2148</v>
      </c>
      <c r="D1480" s="24">
        <v>1249</v>
      </c>
    </row>
    <row r="1481" spans="1:4" x14ac:dyDescent="0.25">
      <c r="A1481" s="24">
        <v>1936</v>
      </c>
      <c r="B1481" s="24">
        <v>831131</v>
      </c>
      <c r="C1481" s="24" t="s">
        <v>2150</v>
      </c>
      <c r="D1481" s="24">
        <v>1249</v>
      </c>
    </row>
    <row r="1482" spans="1:4" x14ac:dyDescent="0.25">
      <c r="A1482" s="24">
        <v>2821</v>
      </c>
      <c r="B1482" s="24">
        <v>831123</v>
      </c>
      <c r="C1482" s="24" t="s">
        <v>2149</v>
      </c>
      <c r="D1482" s="24">
        <v>1249</v>
      </c>
    </row>
    <row r="1483" spans="1:4" x14ac:dyDescent="0.25">
      <c r="A1483" s="24">
        <v>3281</v>
      </c>
      <c r="B1483" s="24">
        <v>831140</v>
      </c>
      <c r="C1483" s="24" t="s">
        <v>2151</v>
      </c>
      <c r="D1483" s="24">
        <v>1250</v>
      </c>
    </row>
    <row r="1484" spans="1:4" x14ac:dyDescent="0.25">
      <c r="A1484" s="24">
        <v>908</v>
      </c>
      <c r="B1484" s="24">
        <v>831166</v>
      </c>
      <c r="C1484" s="24" t="s">
        <v>2153</v>
      </c>
      <c r="D1484" s="24">
        <v>1251</v>
      </c>
    </row>
    <row r="1485" spans="1:4" x14ac:dyDescent="0.25">
      <c r="A1485" s="24">
        <v>1900</v>
      </c>
      <c r="B1485" s="24">
        <v>831158</v>
      </c>
      <c r="C1485" s="24" t="s">
        <v>2152</v>
      </c>
      <c r="D1485" s="24">
        <v>1251</v>
      </c>
    </row>
    <row r="1486" spans="1:4" x14ac:dyDescent="0.25">
      <c r="A1486" s="24">
        <v>2932</v>
      </c>
      <c r="B1486" s="24">
        <v>831191</v>
      </c>
      <c r="C1486" s="24" t="s">
        <v>2154</v>
      </c>
      <c r="D1486" s="24">
        <v>1252</v>
      </c>
    </row>
    <row r="1487" spans="1:4" x14ac:dyDescent="0.25">
      <c r="A1487" s="24">
        <v>800</v>
      </c>
      <c r="B1487" s="24">
        <v>831204</v>
      </c>
      <c r="C1487" s="24" t="s">
        <v>2155</v>
      </c>
      <c r="D1487" s="24">
        <v>1253</v>
      </c>
    </row>
    <row r="1488" spans="1:4" x14ac:dyDescent="0.25">
      <c r="A1488" s="24">
        <v>2141</v>
      </c>
      <c r="B1488" s="24">
        <v>831212</v>
      </c>
      <c r="C1488" s="24" t="s">
        <v>2156</v>
      </c>
      <c r="D1488" s="24">
        <v>1254</v>
      </c>
    </row>
    <row r="1489" spans="1:4" x14ac:dyDescent="0.25">
      <c r="A1489" s="24">
        <v>1448</v>
      </c>
      <c r="B1489" s="24">
        <v>831239</v>
      </c>
      <c r="C1489" s="24" t="s">
        <v>2157</v>
      </c>
      <c r="D1489" s="24">
        <v>1255</v>
      </c>
    </row>
    <row r="1490" spans="1:4" x14ac:dyDescent="0.25">
      <c r="A1490" s="24">
        <v>1968</v>
      </c>
      <c r="B1490" s="24">
        <v>831247</v>
      </c>
      <c r="C1490" s="24" t="s">
        <v>2158</v>
      </c>
      <c r="D1490" s="24">
        <v>1256</v>
      </c>
    </row>
    <row r="1491" spans="1:4" x14ac:dyDescent="0.25">
      <c r="A1491" s="24">
        <v>3116</v>
      </c>
      <c r="B1491" s="24">
        <v>831255</v>
      </c>
      <c r="C1491" s="24" t="s">
        <v>2159</v>
      </c>
      <c r="D1491" s="24">
        <v>1257</v>
      </c>
    </row>
    <row r="1492" spans="1:4" x14ac:dyDescent="0.25">
      <c r="A1492" s="24">
        <v>2615</v>
      </c>
      <c r="B1492" s="24">
        <v>831263</v>
      </c>
      <c r="C1492" s="24" t="s">
        <v>2160</v>
      </c>
      <c r="D1492" s="24">
        <v>1258</v>
      </c>
    </row>
    <row r="1493" spans="1:4" x14ac:dyDescent="0.25">
      <c r="A1493" s="24">
        <v>1805</v>
      </c>
      <c r="B1493" s="24">
        <v>831271</v>
      </c>
      <c r="C1493" s="24" t="s">
        <v>2161</v>
      </c>
      <c r="D1493" s="24">
        <v>1258</v>
      </c>
    </row>
    <row r="1494" spans="1:4" x14ac:dyDescent="0.25">
      <c r="A1494" s="24">
        <v>1427</v>
      </c>
      <c r="B1494" s="24">
        <v>831298</v>
      </c>
      <c r="C1494" s="24" t="s">
        <v>2162</v>
      </c>
      <c r="D1494" s="24">
        <v>1259</v>
      </c>
    </row>
    <row r="1495" spans="1:4" x14ac:dyDescent="0.25">
      <c r="A1495" s="24">
        <v>2784</v>
      </c>
      <c r="B1495" s="24">
        <v>831301</v>
      </c>
      <c r="C1495" s="24" t="s">
        <v>2163</v>
      </c>
      <c r="D1495" s="24">
        <v>1259</v>
      </c>
    </row>
    <row r="1496" spans="1:4" x14ac:dyDescent="0.25">
      <c r="A1496" s="24">
        <v>2383</v>
      </c>
      <c r="B1496" s="24">
        <v>831328</v>
      </c>
      <c r="C1496" s="24" t="s">
        <v>2164</v>
      </c>
      <c r="D1496" s="24">
        <v>1260</v>
      </c>
    </row>
    <row r="1497" spans="1:4" x14ac:dyDescent="0.25">
      <c r="A1497" s="24">
        <v>2775</v>
      </c>
      <c r="B1497" s="24">
        <v>831336</v>
      </c>
      <c r="C1497" s="24" t="s">
        <v>2165</v>
      </c>
      <c r="D1497" s="24">
        <v>1261</v>
      </c>
    </row>
    <row r="1498" spans="1:4" x14ac:dyDescent="0.25">
      <c r="A1498" s="24">
        <v>1907</v>
      </c>
      <c r="B1498" s="24">
        <v>831344</v>
      </c>
      <c r="C1498" s="24" t="s">
        <v>2166</v>
      </c>
      <c r="D1498" s="24">
        <v>1262</v>
      </c>
    </row>
    <row r="1499" spans="1:4" x14ac:dyDescent="0.25">
      <c r="A1499" s="24">
        <v>2324</v>
      </c>
      <c r="B1499" s="24">
        <v>831352</v>
      </c>
      <c r="C1499" s="24" t="s">
        <v>2167</v>
      </c>
      <c r="D1499" s="24">
        <v>1263</v>
      </c>
    </row>
    <row r="1500" spans="1:4" x14ac:dyDescent="0.25">
      <c r="A1500" s="24">
        <v>2589</v>
      </c>
      <c r="B1500" s="24">
        <v>831361</v>
      </c>
      <c r="C1500" s="24" t="s">
        <v>2168</v>
      </c>
      <c r="D1500" s="24">
        <v>1264</v>
      </c>
    </row>
    <row r="1501" spans="1:4" x14ac:dyDescent="0.25">
      <c r="A1501" s="24">
        <v>2341</v>
      </c>
      <c r="B1501" s="24">
        <v>831379</v>
      </c>
      <c r="C1501" s="24" t="s">
        <v>2169</v>
      </c>
      <c r="D1501" s="24">
        <v>1265</v>
      </c>
    </row>
    <row r="1502" spans="1:4" x14ac:dyDescent="0.25">
      <c r="A1502" s="24">
        <v>1126</v>
      </c>
      <c r="B1502" s="24">
        <v>831395</v>
      </c>
      <c r="C1502" s="24" t="s">
        <v>2170</v>
      </c>
      <c r="D1502" s="24">
        <v>1266</v>
      </c>
    </row>
    <row r="1503" spans="1:4" x14ac:dyDescent="0.25">
      <c r="A1503" s="24">
        <v>1112</v>
      </c>
      <c r="B1503" s="24">
        <v>831409</v>
      </c>
      <c r="C1503" s="24" t="s">
        <v>2171</v>
      </c>
      <c r="D1503" s="24">
        <v>1267</v>
      </c>
    </row>
    <row r="1504" spans="1:4" x14ac:dyDescent="0.25">
      <c r="A1504" s="24">
        <v>1403</v>
      </c>
      <c r="B1504" s="24">
        <v>831417</v>
      </c>
      <c r="C1504" s="24" t="s">
        <v>2172</v>
      </c>
      <c r="D1504" s="24">
        <v>1268</v>
      </c>
    </row>
    <row r="1505" spans="1:4" x14ac:dyDescent="0.25">
      <c r="A1505" s="24">
        <v>2688</v>
      </c>
      <c r="B1505" s="24">
        <v>831425</v>
      </c>
      <c r="C1505" s="24" t="s">
        <v>2173</v>
      </c>
      <c r="D1505" s="24">
        <v>1269</v>
      </c>
    </row>
    <row r="1506" spans="1:4" x14ac:dyDescent="0.25">
      <c r="A1506" s="24">
        <v>136</v>
      </c>
      <c r="B1506" s="24">
        <v>991929</v>
      </c>
      <c r="C1506" s="24" t="s">
        <v>4119</v>
      </c>
      <c r="D1506" s="24">
        <v>1270</v>
      </c>
    </row>
    <row r="1507" spans="1:4" x14ac:dyDescent="0.25">
      <c r="A1507" s="24">
        <v>739</v>
      </c>
      <c r="B1507" s="24">
        <v>991911</v>
      </c>
      <c r="C1507" s="24" t="s">
        <v>4118</v>
      </c>
      <c r="D1507" s="24">
        <v>1270</v>
      </c>
    </row>
    <row r="1508" spans="1:4" x14ac:dyDescent="0.25">
      <c r="A1508" s="24">
        <v>1158</v>
      </c>
      <c r="B1508" s="24">
        <v>831433</v>
      </c>
      <c r="C1508" s="24" t="s">
        <v>2174</v>
      </c>
      <c r="D1508" s="24">
        <v>1270</v>
      </c>
    </row>
    <row r="1509" spans="1:4" x14ac:dyDescent="0.25">
      <c r="A1509" s="24">
        <v>1451</v>
      </c>
      <c r="B1509" s="24">
        <v>831450</v>
      </c>
      <c r="C1509" s="24" t="s">
        <v>2176</v>
      </c>
      <c r="D1509" s="24">
        <v>1270</v>
      </c>
    </row>
    <row r="1510" spans="1:4" x14ac:dyDescent="0.25">
      <c r="A1510" s="24">
        <v>2768</v>
      </c>
      <c r="B1510" s="24">
        <v>831441</v>
      </c>
      <c r="C1510" s="24" t="s">
        <v>2175</v>
      </c>
      <c r="D1510" s="24">
        <v>1270</v>
      </c>
    </row>
    <row r="1511" spans="1:4" x14ac:dyDescent="0.25">
      <c r="A1511" s="24">
        <v>3184</v>
      </c>
      <c r="B1511" s="24">
        <v>831468</v>
      </c>
      <c r="C1511" s="24" t="s">
        <v>2177</v>
      </c>
      <c r="D1511" s="24">
        <v>1270</v>
      </c>
    </row>
    <row r="1512" spans="1:4" x14ac:dyDescent="0.25">
      <c r="A1512" s="24">
        <v>1873</v>
      </c>
      <c r="B1512" s="24">
        <v>831484</v>
      </c>
      <c r="C1512" s="24" t="s">
        <v>2178</v>
      </c>
      <c r="D1512" s="24">
        <v>1271</v>
      </c>
    </row>
    <row r="1513" spans="1:4" x14ac:dyDescent="0.25">
      <c r="A1513" s="24">
        <v>1843</v>
      </c>
      <c r="B1513" s="24">
        <v>831514</v>
      </c>
      <c r="C1513" s="24" t="s">
        <v>2179</v>
      </c>
      <c r="D1513" s="24">
        <v>1272</v>
      </c>
    </row>
    <row r="1514" spans="1:4" x14ac:dyDescent="0.25">
      <c r="A1514" s="24">
        <v>1548</v>
      </c>
      <c r="B1514" s="24">
        <v>831522</v>
      </c>
      <c r="C1514" s="24" t="s">
        <v>2180</v>
      </c>
      <c r="D1514" s="24">
        <v>1273</v>
      </c>
    </row>
    <row r="1515" spans="1:4" x14ac:dyDescent="0.25">
      <c r="A1515" s="24">
        <v>3486</v>
      </c>
      <c r="B1515" s="24">
        <v>950050</v>
      </c>
      <c r="C1515" s="24" t="s">
        <v>4107</v>
      </c>
      <c r="D1515" s="24">
        <v>1273</v>
      </c>
    </row>
    <row r="1516" spans="1:4" x14ac:dyDescent="0.25">
      <c r="A1516" s="24">
        <v>1450</v>
      </c>
      <c r="B1516" s="24">
        <v>859044</v>
      </c>
      <c r="C1516" s="24" t="s">
        <v>3351</v>
      </c>
      <c r="D1516" s="24">
        <v>1274</v>
      </c>
    </row>
    <row r="1517" spans="1:4" x14ac:dyDescent="0.25">
      <c r="A1517" s="24">
        <v>279</v>
      </c>
      <c r="B1517" s="24">
        <v>831646</v>
      </c>
      <c r="C1517" s="24" t="s">
        <v>2181</v>
      </c>
      <c r="D1517" s="24">
        <v>1275</v>
      </c>
    </row>
    <row r="1518" spans="1:4" x14ac:dyDescent="0.25">
      <c r="A1518" s="24">
        <v>780</v>
      </c>
      <c r="B1518" s="24">
        <v>818585</v>
      </c>
      <c r="C1518" s="24" t="s">
        <v>1554</v>
      </c>
      <c r="D1518" s="24">
        <v>1275</v>
      </c>
    </row>
    <row r="1519" spans="1:4" x14ac:dyDescent="0.25">
      <c r="A1519" s="24">
        <v>666</v>
      </c>
      <c r="B1519" s="24">
        <v>808768</v>
      </c>
      <c r="C1519" s="24" t="s">
        <v>1072</v>
      </c>
      <c r="D1519" s="24">
        <v>1275</v>
      </c>
    </row>
    <row r="1520" spans="1:4" x14ac:dyDescent="0.25">
      <c r="A1520" s="24">
        <v>1259</v>
      </c>
      <c r="B1520" s="24">
        <v>823015</v>
      </c>
      <c r="C1520" s="24" t="s">
        <v>1801</v>
      </c>
      <c r="D1520" s="24">
        <v>1275</v>
      </c>
    </row>
    <row r="1521" spans="1:4" x14ac:dyDescent="0.25">
      <c r="A1521" s="24">
        <v>1895</v>
      </c>
      <c r="B1521" s="24">
        <v>835871</v>
      </c>
      <c r="C1521" s="24" t="s">
        <v>2379</v>
      </c>
      <c r="D1521" s="24">
        <v>1275</v>
      </c>
    </row>
    <row r="1522" spans="1:4" x14ac:dyDescent="0.25">
      <c r="A1522" s="24">
        <v>2808</v>
      </c>
      <c r="B1522" s="24">
        <v>831841</v>
      </c>
      <c r="C1522" s="24" t="s">
        <v>2182</v>
      </c>
      <c r="D1522" s="24">
        <v>1276</v>
      </c>
    </row>
    <row r="1523" spans="1:4" x14ac:dyDescent="0.25">
      <c r="A1523" s="24">
        <v>455</v>
      </c>
      <c r="B1523" s="24">
        <v>950165</v>
      </c>
      <c r="C1523" s="24" t="s">
        <v>4117</v>
      </c>
      <c r="D1523" s="24">
        <v>1277</v>
      </c>
    </row>
    <row r="1524" spans="1:4" x14ac:dyDescent="0.25">
      <c r="A1524" s="24">
        <v>1283</v>
      </c>
      <c r="B1524" s="24">
        <v>831859</v>
      </c>
      <c r="C1524" s="24" t="s">
        <v>2183</v>
      </c>
      <c r="D1524" s="24">
        <v>1277</v>
      </c>
    </row>
    <row r="1525" spans="1:4" x14ac:dyDescent="0.25">
      <c r="A1525" s="24">
        <v>2691</v>
      </c>
      <c r="B1525" s="24">
        <v>872458</v>
      </c>
      <c r="C1525" s="24" t="s">
        <v>3863</v>
      </c>
      <c r="D1525" s="24">
        <v>1277</v>
      </c>
    </row>
    <row r="1526" spans="1:4" x14ac:dyDescent="0.25">
      <c r="A1526" s="24">
        <v>2037</v>
      </c>
      <c r="B1526" s="24">
        <v>831972</v>
      </c>
      <c r="C1526" s="24" t="s">
        <v>2184</v>
      </c>
      <c r="D1526" s="24">
        <v>1278</v>
      </c>
    </row>
    <row r="1527" spans="1:4" x14ac:dyDescent="0.25">
      <c r="A1527" s="24">
        <v>143</v>
      </c>
      <c r="B1527" s="24">
        <v>831981</v>
      </c>
      <c r="C1527" s="24" t="s">
        <v>2185</v>
      </c>
      <c r="D1527" s="24">
        <v>1279</v>
      </c>
    </row>
    <row r="1528" spans="1:4" x14ac:dyDescent="0.25">
      <c r="A1528" s="24">
        <v>2224</v>
      </c>
      <c r="B1528" s="24">
        <v>831999</v>
      </c>
      <c r="C1528" s="24" t="s">
        <v>2186</v>
      </c>
      <c r="D1528" s="24">
        <v>1280</v>
      </c>
    </row>
    <row r="1529" spans="1:4" x14ac:dyDescent="0.25">
      <c r="A1529" s="24">
        <v>1890</v>
      </c>
      <c r="B1529" s="24">
        <v>832006</v>
      </c>
      <c r="C1529" s="24" t="s">
        <v>2187</v>
      </c>
      <c r="D1529" s="24">
        <v>1281</v>
      </c>
    </row>
    <row r="1530" spans="1:4" x14ac:dyDescent="0.25">
      <c r="A1530" s="24">
        <v>555</v>
      </c>
      <c r="B1530" s="24">
        <v>832022</v>
      </c>
      <c r="C1530" s="24" t="s">
        <v>2188</v>
      </c>
      <c r="D1530" s="24">
        <v>1282</v>
      </c>
    </row>
    <row r="1531" spans="1:4" x14ac:dyDescent="0.25">
      <c r="A1531" s="24">
        <v>2421</v>
      </c>
      <c r="B1531" s="24">
        <v>832031</v>
      </c>
      <c r="C1531" s="24" t="s">
        <v>2189</v>
      </c>
      <c r="D1531" s="24">
        <v>1283</v>
      </c>
    </row>
    <row r="1532" spans="1:4" x14ac:dyDescent="0.25">
      <c r="A1532" s="24">
        <v>1496</v>
      </c>
      <c r="B1532" s="24">
        <v>832065</v>
      </c>
      <c r="C1532" s="24" t="s">
        <v>2190</v>
      </c>
      <c r="D1532" s="24">
        <v>1284</v>
      </c>
    </row>
    <row r="1533" spans="1:4" x14ac:dyDescent="0.25">
      <c r="A1533" s="24">
        <v>3142</v>
      </c>
      <c r="B1533" s="24">
        <v>832057</v>
      </c>
      <c r="C1533" s="24" t="s">
        <v>2190</v>
      </c>
      <c r="D1533" s="24">
        <v>1285</v>
      </c>
    </row>
    <row r="1534" spans="1:4" x14ac:dyDescent="0.25">
      <c r="A1534" s="24">
        <v>1889</v>
      </c>
      <c r="B1534" s="24">
        <v>832073</v>
      </c>
      <c r="C1534" s="24" t="s">
        <v>2191</v>
      </c>
      <c r="D1534" s="24">
        <v>1286</v>
      </c>
    </row>
    <row r="1535" spans="1:4" x14ac:dyDescent="0.25">
      <c r="A1535" s="24">
        <v>788</v>
      </c>
      <c r="B1535" s="24">
        <v>832081</v>
      </c>
      <c r="C1535" s="24" t="s">
        <v>2192</v>
      </c>
      <c r="D1535" s="24">
        <v>1287</v>
      </c>
    </row>
    <row r="1536" spans="1:4" x14ac:dyDescent="0.25">
      <c r="A1536" s="24">
        <v>1533</v>
      </c>
      <c r="B1536" s="24">
        <v>832090</v>
      </c>
      <c r="C1536" s="24" t="s">
        <v>2193</v>
      </c>
      <c r="D1536" s="24">
        <v>1287</v>
      </c>
    </row>
    <row r="1537" spans="1:4" x14ac:dyDescent="0.25">
      <c r="A1537" s="24">
        <v>2538</v>
      </c>
      <c r="B1537" s="24">
        <v>832103</v>
      </c>
      <c r="C1537" s="24" t="s">
        <v>2194</v>
      </c>
      <c r="D1537" s="24">
        <v>1287</v>
      </c>
    </row>
    <row r="1538" spans="1:4" x14ac:dyDescent="0.25">
      <c r="A1538" s="24">
        <v>2121</v>
      </c>
      <c r="B1538" s="24">
        <v>832111</v>
      </c>
      <c r="C1538" s="24" t="s">
        <v>2195</v>
      </c>
      <c r="D1538" s="24">
        <v>1288</v>
      </c>
    </row>
    <row r="1539" spans="1:4" x14ac:dyDescent="0.25">
      <c r="A1539" s="24">
        <v>1007</v>
      </c>
      <c r="B1539" s="24">
        <v>832138</v>
      </c>
      <c r="C1539" s="24" t="s">
        <v>2196</v>
      </c>
      <c r="D1539" s="24">
        <v>1289</v>
      </c>
    </row>
    <row r="1540" spans="1:4" x14ac:dyDescent="0.25">
      <c r="A1540" s="24">
        <v>665</v>
      </c>
      <c r="B1540" s="24">
        <v>832162</v>
      </c>
      <c r="C1540" s="24" t="s">
        <v>2198</v>
      </c>
      <c r="D1540" s="24">
        <v>1290</v>
      </c>
    </row>
    <row r="1541" spans="1:4" x14ac:dyDescent="0.25">
      <c r="A1541" s="24">
        <v>405</v>
      </c>
      <c r="B1541" s="24">
        <v>800376</v>
      </c>
      <c r="C1541" s="24" t="s">
        <v>752</v>
      </c>
      <c r="D1541" s="24">
        <v>1290</v>
      </c>
    </row>
    <row r="1542" spans="1:4" x14ac:dyDescent="0.25">
      <c r="A1542" s="24">
        <v>1276</v>
      </c>
      <c r="B1542" s="24">
        <v>832171</v>
      </c>
      <c r="C1542" s="24" t="s">
        <v>2199</v>
      </c>
      <c r="D1542" s="24">
        <v>1291</v>
      </c>
    </row>
    <row r="1543" spans="1:4" x14ac:dyDescent="0.25">
      <c r="A1543" s="24">
        <v>3141</v>
      </c>
      <c r="B1543" s="24">
        <v>832189</v>
      </c>
      <c r="C1543" s="24" t="s">
        <v>2200</v>
      </c>
      <c r="D1543" s="24">
        <v>1292</v>
      </c>
    </row>
    <row r="1544" spans="1:4" x14ac:dyDescent="0.25">
      <c r="A1544" s="24">
        <v>3529</v>
      </c>
      <c r="B1544" s="24">
        <v>832219</v>
      </c>
      <c r="C1544" s="24" t="s">
        <v>2201</v>
      </c>
      <c r="D1544" s="24">
        <v>1293</v>
      </c>
    </row>
    <row r="1545" spans="1:4" x14ac:dyDescent="0.25">
      <c r="A1545" s="24">
        <v>1531</v>
      </c>
      <c r="B1545" s="24">
        <v>832235</v>
      </c>
      <c r="C1545" s="24" t="s">
        <v>2202</v>
      </c>
      <c r="D1545" s="24">
        <v>1294</v>
      </c>
    </row>
    <row r="1546" spans="1:4" x14ac:dyDescent="0.25">
      <c r="A1546" s="24">
        <v>3233</v>
      </c>
      <c r="B1546" s="24">
        <v>860468</v>
      </c>
      <c r="C1546" s="24" t="s">
        <v>3418</v>
      </c>
      <c r="D1546" s="24">
        <v>1295</v>
      </c>
    </row>
    <row r="1547" spans="1:4" x14ac:dyDescent="0.25">
      <c r="A1547" s="24">
        <v>3057</v>
      </c>
      <c r="B1547" s="24">
        <v>832243</v>
      </c>
      <c r="C1547" s="24" t="s">
        <v>2203</v>
      </c>
      <c r="D1547" s="24">
        <v>1296</v>
      </c>
    </row>
    <row r="1548" spans="1:4" x14ac:dyDescent="0.25">
      <c r="A1548" s="24">
        <v>2444</v>
      </c>
      <c r="B1548" s="24">
        <v>832251</v>
      </c>
      <c r="C1548" s="24" t="s">
        <v>2204</v>
      </c>
      <c r="D1548" s="24">
        <v>1296</v>
      </c>
    </row>
    <row r="1549" spans="1:4" x14ac:dyDescent="0.25">
      <c r="A1549" s="24">
        <v>1335</v>
      </c>
      <c r="B1549" s="24">
        <v>832260</v>
      </c>
      <c r="C1549" s="24" t="s">
        <v>2205</v>
      </c>
      <c r="D1549" s="24">
        <v>1297</v>
      </c>
    </row>
    <row r="1550" spans="1:4" x14ac:dyDescent="0.25">
      <c r="A1550" s="24">
        <v>2077</v>
      </c>
      <c r="B1550" s="24">
        <v>832286</v>
      </c>
      <c r="C1550" s="24" t="s">
        <v>2206</v>
      </c>
      <c r="D1550" s="24">
        <v>1298</v>
      </c>
    </row>
    <row r="1551" spans="1:4" x14ac:dyDescent="0.25">
      <c r="A1551" s="24">
        <v>70</v>
      </c>
      <c r="B1551" s="24">
        <v>832294</v>
      </c>
      <c r="C1551" s="24" t="s">
        <v>2207</v>
      </c>
      <c r="D1551" s="24">
        <v>1299</v>
      </c>
    </row>
    <row r="1552" spans="1:4" x14ac:dyDescent="0.25">
      <c r="A1552" s="24">
        <v>916</v>
      </c>
      <c r="B1552" s="24">
        <v>830453</v>
      </c>
      <c r="C1552" s="24" t="s">
        <v>2119</v>
      </c>
      <c r="D1552" s="24">
        <v>1299</v>
      </c>
    </row>
    <row r="1553" spans="1:4" x14ac:dyDescent="0.25">
      <c r="A1553" s="24">
        <v>209</v>
      </c>
      <c r="B1553" s="24">
        <v>832324</v>
      </c>
      <c r="C1553" s="24" t="s">
        <v>2208</v>
      </c>
      <c r="D1553" s="24">
        <v>1300</v>
      </c>
    </row>
    <row r="1554" spans="1:4" x14ac:dyDescent="0.25">
      <c r="A1554" s="24">
        <v>790</v>
      </c>
      <c r="B1554" s="24">
        <v>832341</v>
      </c>
      <c r="C1554" s="24" t="s">
        <v>2209</v>
      </c>
      <c r="D1554" s="24">
        <v>1301</v>
      </c>
    </row>
    <row r="1555" spans="1:4" x14ac:dyDescent="0.25">
      <c r="A1555" s="24">
        <v>2282</v>
      </c>
      <c r="B1555" s="24">
        <v>832359</v>
      </c>
      <c r="C1555" s="24" t="s">
        <v>2209</v>
      </c>
      <c r="D1555" s="24">
        <v>1302</v>
      </c>
    </row>
    <row r="1556" spans="1:4" x14ac:dyDescent="0.25">
      <c r="A1556" s="24">
        <v>2555</v>
      </c>
      <c r="B1556" s="24">
        <v>832367</v>
      </c>
      <c r="C1556" s="24" t="s">
        <v>2210</v>
      </c>
      <c r="D1556" s="24">
        <v>1303</v>
      </c>
    </row>
    <row r="1557" spans="1:4" x14ac:dyDescent="0.25">
      <c r="A1557" s="24">
        <v>2078</v>
      </c>
      <c r="B1557" s="24">
        <v>832383</v>
      </c>
      <c r="C1557" s="24" t="s">
        <v>2210</v>
      </c>
      <c r="D1557" s="24">
        <v>1304</v>
      </c>
    </row>
    <row r="1558" spans="1:4" x14ac:dyDescent="0.25">
      <c r="A1558" s="24">
        <v>2204</v>
      </c>
      <c r="B1558" s="24">
        <v>832391</v>
      </c>
      <c r="C1558" s="24" t="s">
        <v>2211</v>
      </c>
      <c r="D1558" s="24">
        <v>1305</v>
      </c>
    </row>
    <row r="1559" spans="1:4" x14ac:dyDescent="0.25">
      <c r="A1559" s="24">
        <v>2613</v>
      </c>
      <c r="B1559" s="24">
        <v>832405</v>
      </c>
      <c r="C1559" s="24" t="s">
        <v>2212</v>
      </c>
      <c r="D1559" s="24">
        <v>1306</v>
      </c>
    </row>
    <row r="1560" spans="1:4" x14ac:dyDescent="0.25">
      <c r="A1560" s="24">
        <v>599</v>
      </c>
      <c r="B1560" s="24">
        <v>832413</v>
      </c>
      <c r="C1560" s="24" t="s">
        <v>2213</v>
      </c>
      <c r="D1560" s="24">
        <v>1307</v>
      </c>
    </row>
    <row r="1561" spans="1:4" x14ac:dyDescent="0.25">
      <c r="A1561" s="24">
        <v>1973</v>
      </c>
      <c r="B1561" s="24">
        <v>832430</v>
      </c>
      <c r="C1561" s="24" t="s">
        <v>2214</v>
      </c>
      <c r="D1561" s="24">
        <v>1308</v>
      </c>
    </row>
    <row r="1562" spans="1:4" x14ac:dyDescent="0.25">
      <c r="A1562" s="24">
        <v>1381</v>
      </c>
      <c r="B1562" s="24">
        <v>832448</v>
      </c>
      <c r="C1562" s="24" t="s">
        <v>2215</v>
      </c>
      <c r="D1562" s="24">
        <v>1309</v>
      </c>
    </row>
    <row r="1563" spans="1:4" x14ac:dyDescent="0.25">
      <c r="A1563" s="24">
        <v>112</v>
      </c>
      <c r="B1563" s="24">
        <v>832472</v>
      </c>
      <c r="C1563" s="24" t="s">
        <v>2216</v>
      </c>
      <c r="D1563" s="24">
        <v>1310</v>
      </c>
    </row>
    <row r="1564" spans="1:4" x14ac:dyDescent="0.25">
      <c r="A1564" s="24">
        <v>786</v>
      </c>
      <c r="B1564" s="24">
        <v>832499</v>
      </c>
      <c r="C1564" s="24" t="s">
        <v>2218</v>
      </c>
      <c r="D1564" s="24">
        <v>1310</v>
      </c>
    </row>
    <row r="1565" spans="1:4" x14ac:dyDescent="0.25">
      <c r="A1565" s="24">
        <v>2861</v>
      </c>
      <c r="B1565" s="24">
        <v>950092</v>
      </c>
      <c r="C1565" s="24" t="s">
        <v>4111</v>
      </c>
      <c r="D1565" s="24">
        <v>1310</v>
      </c>
    </row>
    <row r="1566" spans="1:4" x14ac:dyDescent="0.25">
      <c r="A1566" s="24">
        <v>2681</v>
      </c>
      <c r="B1566" s="24">
        <v>832481</v>
      </c>
      <c r="C1566" s="24" t="s">
        <v>2217</v>
      </c>
      <c r="D1566" s="24">
        <v>1310</v>
      </c>
    </row>
    <row r="1567" spans="1:4" x14ac:dyDescent="0.25">
      <c r="A1567" s="24">
        <v>3531</v>
      </c>
      <c r="B1567" s="24">
        <v>832502</v>
      </c>
      <c r="C1567" s="24" t="s">
        <v>2219</v>
      </c>
      <c r="D1567" s="24">
        <v>1311</v>
      </c>
    </row>
    <row r="1568" spans="1:4" x14ac:dyDescent="0.25">
      <c r="A1568" s="24">
        <v>2158</v>
      </c>
      <c r="B1568" s="24">
        <v>832511</v>
      </c>
      <c r="C1568" s="24" t="s">
        <v>2220</v>
      </c>
      <c r="D1568" s="24">
        <v>1312</v>
      </c>
    </row>
    <row r="1569" spans="1:4" x14ac:dyDescent="0.25">
      <c r="A1569" s="24">
        <v>3336</v>
      </c>
      <c r="B1569" s="24">
        <v>832529</v>
      </c>
      <c r="C1569" s="24" t="s">
        <v>2221</v>
      </c>
      <c r="D1569" s="24">
        <v>1312</v>
      </c>
    </row>
    <row r="1570" spans="1:4" x14ac:dyDescent="0.25">
      <c r="A1570" s="24">
        <v>1556</v>
      </c>
      <c r="B1570" s="24">
        <v>832537</v>
      </c>
      <c r="C1570" s="24" t="s">
        <v>2222</v>
      </c>
      <c r="D1570" s="24">
        <v>1313</v>
      </c>
    </row>
    <row r="1571" spans="1:4" x14ac:dyDescent="0.25">
      <c r="A1571" s="24">
        <v>2495</v>
      </c>
      <c r="B1571" s="24">
        <v>832545</v>
      </c>
      <c r="C1571" s="24" t="s">
        <v>2223</v>
      </c>
      <c r="D1571" s="24">
        <v>1314</v>
      </c>
    </row>
    <row r="1572" spans="1:4" x14ac:dyDescent="0.25">
      <c r="A1572" s="24">
        <v>258</v>
      </c>
      <c r="B1572" s="24">
        <v>832553</v>
      </c>
      <c r="C1572" s="24" t="s">
        <v>2224</v>
      </c>
      <c r="D1572" s="24">
        <v>1315</v>
      </c>
    </row>
    <row r="1573" spans="1:4" x14ac:dyDescent="0.25">
      <c r="A1573" s="24">
        <v>93</v>
      </c>
      <c r="B1573" s="24">
        <v>832561</v>
      </c>
      <c r="C1573" s="24" t="s">
        <v>2225</v>
      </c>
      <c r="D1573" s="24">
        <v>1316</v>
      </c>
    </row>
    <row r="1574" spans="1:4" x14ac:dyDescent="0.25">
      <c r="A1574" s="24">
        <v>2471</v>
      </c>
      <c r="B1574" s="24">
        <v>832596</v>
      </c>
      <c r="C1574" s="24" t="s">
        <v>2226</v>
      </c>
      <c r="D1574" s="24">
        <v>1317</v>
      </c>
    </row>
    <row r="1575" spans="1:4" x14ac:dyDescent="0.25">
      <c r="A1575" s="24">
        <v>1127</v>
      </c>
      <c r="B1575" s="24">
        <v>856410</v>
      </c>
      <c r="C1575" s="24" t="s">
        <v>3241</v>
      </c>
      <c r="D1575" s="24">
        <v>1318</v>
      </c>
    </row>
    <row r="1576" spans="1:4" x14ac:dyDescent="0.25">
      <c r="A1576" s="24">
        <v>2673</v>
      </c>
      <c r="B1576" s="24">
        <v>832618</v>
      </c>
      <c r="C1576" s="24" t="s">
        <v>2227</v>
      </c>
      <c r="D1576" s="24">
        <v>1319</v>
      </c>
    </row>
    <row r="1577" spans="1:4" x14ac:dyDescent="0.25">
      <c r="A1577" s="24">
        <v>3186</v>
      </c>
      <c r="B1577" s="24">
        <v>812714</v>
      </c>
      <c r="C1577" s="24" t="s">
        <v>1268</v>
      </c>
      <c r="D1577" s="24">
        <v>1319</v>
      </c>
    </row>
    <row r="1578" spans="1:4" x14ac:dyDescent="0.25">
      <c r="A1578" s="24">
        <v>804</v>
      </c>
      <c r="B1578" s="24">
        <v>832677</v>
      </c>
      <c r="C1578" s="24" t="s">
        <v>2228</v>
      </c>
      <c r="D1578" s="24">
        <v>1320</v>
      </c>
    </row>
    <row r="1579" spans="1:4" x14ac:dyDescent="0.25">
      <c r="A1579" s="24">
        <v>56</v>
      </c>
      <c r="B1579" s="24">
        <v>832693</v>
      </c>
      <c r="C1579" s="24" t="s">
        <v>2229</v>
      </c>
      <c r="D1579" s="24">
        <v>1321</v>
      </c>
    </row>
    <row r="1580" spans="1:4" x14ac:dyDescent="0.25">
      <c r="A1580" s="24">
        <v>585</v>
      </c>
      <c r="B1580" s="24">
        <v>882011</v>
      </c>
      <c r="C1580" s="24" t="s">
        <v>4102</v>
      </c>
      <c r="D1580" s="24">
        <v>1322</v>
      </c>
    </row>
    <row r="1581" spans="1:4" x14ac:dyDescent="0.25">
      <c r="A1581" s="24">
        <v>1251</v>
      </c>
      <c r="B1581" s="24">
        <v>843385</v>
      </c>
      <c r="C1581" s="24" t="s">
        <v>2693</v>
      </c>
      <c r="D1581" s="24">
        <v>1322</v>
      </c>
    </row>
    <row r="1582" spans="1:4" x14ac:dyDescent="0.25">
      <c r="A1582" s="24">
        <v>608</v>
      </c>
      <c r="B1582" s="24">
        <v>803286</v>
      </c>
      <c r="C1582" s="24" t="s">
        <v>881</v>
      </c>
      <c r="D1582" s="24">
        <v>1322</v>
      </c>
    </row>
    <row r="1583" spans="1:4" x14ac:dyDescent="0.25">
      <c r="A1583" s="24">
        <v>1609</v>
      </c>
      <c r="B1583" s="24">
        <v>802638</v>
      </c>
      <c r="C1583" s="24" t="s">
        <v>839</v>
      </c>
      <c r="D1583" s="24">
        <v>1322</v>
      </c>
    </row>
    <row r="1584" spans="1:4" x14ac:dyDescent="0.25">
      <c r="A1584" s="24">
        <v>2593</v>
      </c>
      <c r="B1584" s="24">
        <v>832782</v>
      </c>
      <c r="C1584" s="24" t="s">
        <v>2232</v>
      </c>
      <c r="D1584" s="24">
        <v>1322</v>
      </c>
    </row>
    <row r="1585" spans="1:4" x14ac:dyDescent="0.25">
      <c r="A1585" s="24">
        <v>2330</v>
      </c>
      <c r="B1585" s="24">
        <v>832707</v>
      </c>
      <c r="C1585" s="24" t="s">
        <v>2230</v>
      </c>
      <c r="D1585" s="24">
        <v>1322</v>
      </c>
    </row>
    <row r="1586" spans="1:4" x14ac:dyDescent="0.25">
      <c r="A1586" s="24">
        <v>2345</v>
      </c>
      <c r="B1586" s="24">
        <v>847054</v>
      </c>
      <c r="C1586" s="24" t="s">
        <v>2852</v>
      </c>
      <c r="D1586" s="24">
        <v>1322</v>
      </c>
    </row>
    <row r="1587" spans="1:4" x14ac:dyDescent="0.25">
      <c r="A1587" s="24">
        <v>1979</v>
      </c>
      <c r="B1587" s="24">
        <v>851892</v>
      </c>
      <c r="C1587" s="24" t="s">
        <v>3052</v>
      </c>
      <c r="D1587" s="24">
        <v>1322</v>
      </c>
    </row>
    <row r="1588" spans="1:4" x14ac:dyDescent="0.25">
      <c r="A1588" s="24">
        <v>3252</v>
      </c>
      <c r="B1588" s="24">
        <v>810282</v>
      </c>
      <c r="C1588" s="24" t="s">
        <v>1160</v>
      </c>
      <c r="D1588" s="24">
        <v>1322</v>
      </c>
    </row>
    <row r="1589" spans="1:4" x14ac:dyDescent="0.25">
      <c r="A1589" s="24">
        <v>3314</v>
      </c>
      <c r="B1589" s="24">
        <v>821179</v>
      </c>
      <c r="C1589" s="24" t="s">
        <v>1690</v>
      </c>
      <c r="D1589" s="24">
        <v>1322</v>
      </c>
    </row>
    <row r="1590" spans="1:4" x14ac:dyDescent="0.25">
      <c r="A1590" s="24">
        <v>3101</v>
      </c>
      <c r="B1590" s="24">
        <v>832766</v>
      </c>
      <c r="C1590" s="24" t="s">
        <v>2231</v>
      </c>
      <c r="D1590" s="24">
        <v>1322</v>
      </c>
    </row>
    <row r="1591" spans="1:4" x14ac:dyDescent="0.25">
      <c r="A1591" s="24">
        <v>2007</v>
      </c>
      <c r="B1591" s="24">
        <v>832839</v>
      </c>
      <c r="C1591" s="24" t="s">
        <v>2233</v>
      </c>
      <c r="D1591" s="24">
        <v>1323</v>
      </c>
    </row>
    <row r="1592" spans="1:4" x14ac:dyDescent="0.25">
      <c r="A1592" s="24">
        <v>109</v>
      </c>
      <c r="B1592" s="24">
        <v>832855</v>
      </c>
      <c r="C1592" s="24" t="s">
        <v>2234</v>
      </c>
      <c r="D1592" s="24">
        <v>1324</v>
      </c>
    </row>
    <row r="1593" spans="1:4" x14ac:dyDescent="0.25">
      <c r="A1593" s="24">
        <v>412</v>
      </c>
      <c r="B1593" s="24">
        <v>832863</v>
      </c>
      <c r="C1593" s="24" t="s">
        <v>2235</v>
      </c>
      <c r="D1593" s="24">
        <v>1325</v>
      </c>
    </row>
    <row r="1594" spans="1:4" x14ac:dyDescent="0.25">
      <c r="A1594" s="24">
        <v>1385</v>
      </c>
      <c r="B1594" s="24">
        <v>802727</v>
      </c>
      <c r="C1594" s="24" t="s">
        <v>843</v>
      </c>
      <c r="D1594" s="24">
        <v>1325</v>
      </c>
    </row>
    <row r="1595" spans="1:4" x14ac:dyDescent="0.25">
      <c r="A1595" s="24">
        <v>1986</v>
      </c>
      <c r="B1595" s="24">
        <v>832871</v>
      </c>
      <c r="C1595" s="24" t="s">
        <v>2236</v>
      </c>
      <c r="D1595" s="24">
        <v>1326</v>
      </c>
    </row>
    <row r="1596" spans="1:4" x14ac:dyDescent="0.25">
      <c r="A1596" s="24">
        <v>652</v>
      </c>
      <c r="B1596" s="24">
        <v>832880</v>
      </c>
      <c r="C1596" s="24" t="s">
        <v>2237</v>
      </c>
      <c r="D1596" s="24">
        <v>1327</v>
      </c>
    </row>
    <row r="1597" spans="1:4" x14ac:dyDescent="0.25">
      <c r="A1597" s="24">
        <v>726</v>
      </c>
      <c r="B1597" s="24">
        <v>832928</v>
      </c>
      <c r="C1597" s="24" t="s">
        <v>2238</v>
      </c>
      <c r="D1597" s="24">
        <v>1328</v>
      </c>
    </row>
    <row r="1598" spans="1:4" x14ac:dyDescent="0.25">
      <c r="A1598" s="24">
        <v>504</v>
      </c>
      <c r="B1598" s="24">
        <v>832944</v>
      </c>
      <c r="C1598" s="24" t="s">
        <v>2239</v>
      </c>
      <c r="D1598" s="24">
        <v>1329</v>
      </c>
    </row>
    <row r="1599" spans="1:4" x14ac:dyDescent="0.25">
      <c r="A1599" s="24">
        <v>1880</v>
      </c>
      <c r="B1599" s="24">
        <v>839221</v>
      </c>
      <c r="C1599" s="24" t="s">
        <v>2537</v>
      </c>
      <c r="D1599" s="24">
        <v>1330</v>
      </c>
    </row>
    <row r="1600" spans="1:4" x14ac:dyDescent="0.25">
      <c r="A1600" s="24">
        <v>411</v>
      </c>
      <c r="B1600" s="24">
        <v>832952</v>
      </c>
      <c r="C1600" s="24" t="s">
        <v>2240</v>
      </c>
      <c r="D1600" s="24">
        <v>1331</v>
      </c>
    </row>
    <row r="1601" spans="1:4" x14ac:dyDescent="0.25">
      <c r="A1601" s="24">
        <v>2088</v>
      </c>
      <c r="B1601" s="24">
        <v>832961</v>
      </c>
      <c r="C1601" s="24" t="s">
        <v>2241</v>
      </c>
      <c r="D1601" s="24">
        <v>1332</v>
      </c>
    </row>
    <row r="1602" spans="1:4" x14ac:dyDescent="0.25">
      <c r="A1602" s="24">
        <v>969</v>
      </c>
      <c r="B1602" s="24">
        <v>832979</v>
      </c>
      <c r="C1602" s="24" t="s">
        <v>2242</v>
      </c>
      <c r="D1602" s="24">
        <v>1333</v>
      </c>
    </row>
    <row r="1603" spans="1:4" x14ac:dyDescent="0.25">
      <c r="A1603" s="24">
        <v>1022</v>
      </c>
      <c r="B1603" s="24">
        <v>832987</v>
      </c>
      <c r="C1603" s="24" t="s">
        <v>2243</v>
      </c>
      <c r="D1603" s="24">
        <v>1334</v>
      </c>
    </row>
    <row r="1604" spans="1:4" x14ac:dyDescent="0.25">
      <c r="A1604" s="24">
        <v>2556</v>
      </c>
      <c r="B1604" s="24">
        <v>833002</v>
      </c>
      <c r="C1604" s="24" t="s">
        <v>2244</v>
      </c>
      <c r="D1604" s="24">
        <v>1335</v>
      </c>
    </row>
    <row r="1605" spans="1:4" x14ac:dyDescent="0.25">
      <c r="A1605" s="24">
        <v>1081</v>
      </c>
      <c r="B1605" s="24">
        <v>833011</v>
      </c>
      <c r="C1605" s="24" t="s">
        <v>2245</v>
      </c>
      <c r="D1605" s="24">
        <v>1336</v>
      </c>
    </row>
    <row r="1606" spans="1:4" x14ac:dyDescent="0.25">
      <c r="A1606" s="24">
        <v>2331</v>
      </c>
      <c r="B1606" s="24">
        <v>833045</v>
      </c>
      <c r="C1606" s="24" t="s">
        <v>2246</v>
      </c>
      <c r="D1606" s="24">
        <v>1337</v>
      </c>
    </row>
    <row r="1607" spans="1:4" x14ac:dyDescent="0.25">
      <c r="A1607" s="24">
        <v>3291</v>
      </c>
      <c r="B1607" s="24">
        <v>833053</v>
      </c>
      <c r="C1607" s="24" t="s">
        <v>2247</v>
      </c>
      <c r="D1607" s="24">
        <v>1338</v>
      </c>
    </row>
    <row r="1608" spans="1:4" x14ac:dyDescent="0.25">
      <c r="A1608" s="24">
        <v>1230</v>
      </c>
      <c r="B1608" s="24">
        <v>833061</v>
      </c>
      <c r="C1608" s="24" t="s">
        <v>2248</v>
      </c>
      <c r="D1608" s="24">
        <v>1339</v>
      </c>
    </row>
    <row r="1609" spans="1:4" x14ac:dyDescent="0.25">
      <c r="A1609" s="24">
        <v>165</v>
      </c>
      <c r="B1609" s="24">
        <v>833088</v>
      </c>
      <c r="C1609" s="24" t="s">
        <v>2249</v>
      </c>
      <c r="D1609" s="24">
        <v>1340</v>
      </c>
    </row>
    <row r="1610" spans="1:4" x14ac:dyDescent="0.25">
      <c r="A1610" s="24">
        <v>440</v>
      </c>
      <c r="B1610" s="24">
        <v>833096</v>
      </c>
      <c r="C1610" s="24" t="s">
        <v>2250</v>
      </c>
      <c r="D1610" s="24">
        <v>1341</v>
      </c>
    </row>
    <row r="1611" spans="1:4" x14ac:dyDescent="0.25">
      <c r="A1611" s="24">
        <v>1157</v>
      </c>
      <c r="B1611" s="24">
        <v>833100</v>
      </c>
      <c r="C1611" s="24" t="s">
        <v>2251</v>
      </c>
      <c r="D1611" s="24">
        <v>1342</v>
      </c>
    </row>
    <row r="1612" spans="1:4" x14ac:dyDescent="0.25">
      <c r="A1612" s="24">
        <v>159</v>
      </c>
      <c r="B1612" s="24">
        <v>833118</v>
      </c>
      <c r="C1612" s="24" t="s">
        <v>2252</v>
      </c>
      <c r="D1612" s="24">
        <v>1343</v>
      </c>
    </row>
    <row r="1613" spans="1:4" x14ac:dyDescent="0.25">
      <c r="A1613" s="24">
        <v>503</v>
      </c>
      <c r="B1613" s="24">
        <v>833126</v>
      </c>
      <c r="C1613" s="24" t="s">
        <v>2253</v>
      </c>
      <c r="D1613" s="24">
        <v>1344</v>
      </c>
    </row>
    <row r="1614" spans="1:4" x14ac:dyDescent="0.25">
      <c r="A1614" s="24">
        <v>2016</v>
      </c>
      <c r="B1614" s="24">
        <v>833142</v>
      </c>
      <c r="C1614" s="24" t="s">
        <v>2255</v>
      </c>
      <c r="D1614" s="24">
        <v>1345</v>
      </c>
    </row>
    <row r="1615" spans="1:4" x14ac:dyDescent="0.25">
      <c r="A1615" s="24">
        <v>3387</v>
      </c>
      <c r="B1615" s="24">
        <v>833151</v>
      </c>
      <c r="C1615" s="24" t="s">
        <v>2256</v>
      </c>
      <c r="D1615" s="24">
        <v>1346</v>
      </c>
    </row>
    <row r="1616" spans="1:4" x14ac:dyDescent="0.25">
      <c r="A1616" s="24">
        <v>965</v>
      </c>
      <c r="B1616" s="24">
        <v>833169</v>
      </c>
      <c r="C1616" s="24" t="s">
        <v>2257</v>
      </c>
      <c r="D1616" s="24">
        <v>1347</v>
      </c>
    </row>
    <row r="1617" spans="1:4" x14ac:dyDescent="0.25">
      <c r="A1617" s="24">
        <v>1651</v>
      </c>
      <c r="B1617" s="24">
        <v>865567</v>
      </c>
      <c r="C1617" s="24" t="s">
        <v>3612</v>
      </c>
      <c r="D1617" s="24">
        <v>1348</v>
      </c>
    </row>
    <row r="1618" spans="1:4" x14ac:dyDescent="0.25">
      <c r="A1618" s="24">
        <v>1957</v>
      </c>
      <c r="B1618" s="24">
        <v>833177</v>
      </c>
      <c r="C1618" s="24" t="s">
        <v>2258</v>
      </c>
      <c r="D1618" s="24">
        <v>1348</v>
      </c>
    </row>
    <row r="1619" spans="1:4" x14ac:dyDescent="0.25">
      <c r="A1619" s="24">
        <v>97</v>
      </c>
      <c r="B1619" s="24">
        <v>833215</v>
      </c>
      <c r="C1619" s="24" t="s">
        <v>2261</v>
      </c>
      <c r="D1619" s="24">
        <v>1349</v>
      </c>
    </row>
    <row r="1620" spans="1:4" x14ac:dyDescent="0.25">
      <c r="A1620" s="24">
        <v>2492</v>
      </c>
      <c r="B1620" s="24">
        <v>866261</v>
      </c>
      <c r="C1620" s="24" t="s">
        <v>3654</v>
      </c>
      <c r="D1620" s="24">
        <v>1349</v>
      </c>
    </row>
    <row r="1621" spans="1:4" x14ac:dyDescent="0.25">
      <c r="A1621" s="24">
        <v>380</v>
      </c>
      <c r="B1621" s="24">
        <v>833231</v>
      </c>
      <c r="C1621" s="24" t="s">
        <v>2262</v>
      </c>
      <c r="D1621" s="24">
        <v>1350</v>
      </c>
    </row>
    <row r="1622" spans="1:4" x14ac:dyDescent="0.25">
      <c r="A1622" s="24">
        <v>2783</v>
      </c>
      <c r="B1622" s="24">
        <v>833240</v>
      </c>
      <c r="C1622" s="24" t="s">
        <v>2263</v>
      </c>
      <c r="D1622" s="24">
        <v>1351</v>
      </c>
    </row>
    <row r="1623" spans="1:4" x14ac:dyDescent="0.25">
      <c r="A1623" s="24">
        <v>902</v>
      </c>
      <c r="B1623" s="24">
        <v>833258</v>
      </c>
      <c r="C1623" s="24" t="s">
        <v>2264</v>
      </c>
      <c r="D1623" s="24">
        <v>1352</v>
      </c>
    </row>
    <row r="1624" spans="1:4" x14ac:dyDescent="0.25">
      <c r="A1624" s="24">
        <v>794</v>
      </c>
      <c r="B1624" s="24">
        <v>833274</v>
      </c>
      <c r="C1624" s="24" t="s">
        <v>2266</v>
      </c>
      <c r="D1624" s="24">
        <v>1353</v>
      </c>
    </row>
    <row r="1625" spans="1:4" x14ac:dyDescent="0.25">
      <c r="A1625" s="24">
        <v>1707</v>
      </c>
      <c r="B1625" s="24">
        <v>833266</v>
      </c>
      <c r="C1625" s="24" t="s">
        <v>2265</v>
      </c>
      <c r="D1625" s="24">
        <v>1353</v>
      </c>
    </row>
    <row r="1626" spans="1:4" x14ac:dyDescent="0.25">
      <c r="A1626" s="24">
        <v>2569</v>
      </c>
      <c r="B1626" s="24">
        <v>833291</v>
      </c>
      <c r="C1626" s="24" t="s">
        <v>2267</v>
      </c>
      <c r="D1626" s="24">
        <v>1354</v>
      </c>
    </row>
    <row r="1627" spans="1:4" x14ac:dyDescent="0.25">
      <c r="A1627" s="24">
        <v>1766</v>
      </c>
      <c r="B1627" s="24">
        <v>833312</v>
      </c>
      <c r="C1627" s="24" t="s">
        <v>2268</v>
      </c>
      <c r="D1627" s="24">
        <v>1355</v>
      </c>
    </row>
    <row r="1628" spans="1:4" x14ac:dyDescent="0.25">
      <c r="A1628" s="24">
        <v>2129</v>
      </c>
      <c r="B1628" s="24">
        <v>950122</v>
      </c>
      <c r="C1628" s="24" t="s">
        <v>4114</v>
      </c>
      <c r="D1628" s="24">
        <v>1355</v>
      </c>
    </row>
    <row r="1629" spans="1:4" x14ac:dyDescent="0.25">
      <c r="A1629" s="24">
        <v>259</v>
      </c>
      <c r="B1629" s="24">
        <v>833339</v>
      </c>
      <c r="C1629" s="24" t="s">
        <v>2269</v>
      </c>
      <c r="D1629" s="24">
        <v>1356</v>
      </c>
    </row>
    <row r="1630" spans="1:4" x14ac:dyDescent="0.25">
      <c r="A1630" s="24">
        <v>1739</v>
      </c>
      <c r="B1630" s="24">
        <v>833398</v>
      </c>
      <c r="C1630" s="24" t="s">
        <v>2270</v>
      </c>
      <c r="D1630" s="24">
        <v>1357</v>
      </c>
    </row>
    <row r="1631" spans="1:4" x14ac:dyDescent="0.25">
      <c r="A1631" s="24">
        <v>2779</v>
      </c>
      <c r="B1631" s="24">
        <v>833495</v>
      </c>
      <c r="C1631" s="24" t="s">
        <v>2271</v>
      </c>
      <c r="D1631" s="24">
        <v>1358</v>
      </c>
    </row>
    <row r="1632" spans="1:4" x14ac:dyDescent="0.25">
      <c r="A1632" s="24">
        <v>392</v>
      </c>
      <c r="B1632" s="24">
        <v>833509</v>
      </c>
      <c r="C1632" s="24" t="s">
        <v>2272</v>
      </c>
      <c r="D1632" s="24">
        <v>1359</v>
      </c>
    </row>
    <row r="1633" spans="1:4" x14ac:dyDescent="0.25">
      <c r="A1633" s="24">
        <v>3196</v>
      </c>
      <c r="B1633" s="24">
        <v>833541</v>
      </c>
      <c r="C1633" s="24" t="s">
        <v>2274</v>
      </c>
      <c r="D1633" s="24">
        <v>1360</v>
      </c>
    </row>
    <row r="1634" spans="1:4" x14ac:dyDescent="0.25">
      <c r="A1634" s="24">
        <v>2629</v>
      </c>
      <c r="B1634" s="24">
        <v>833568</v>
      </c>
      <c r="C1634" s="24" t="s">
        <v>2275</v>
      </c>
      <c r="D1634" s="24">
        <v>1361</v>
      </c>
    </row>
    <row r="1635" spans="1:4" x14ac:dyDescent="0.25">
      <c r="A1635" s="24">
        <v>2703</v>
      </c>
      <c r="B1635" s="24">
        <v>833584</v>
      </c>
      <c r="C1635" s="24" t="s">
        <v>2276</v>
      </c>
      <c r="D1635" s="24">
        <v>1362</v>
      </c>
    </row>
    <row r="1636" spans="1:4" x14ac:dyDescent="0.25">
      <c r="A1636" s="24">
        <v>994</v>
      </c>
      <c r="B1636" s="24">
        <v>833606</v>
      </c>
      <c r="C1636" s="24" t="s">
        <v>2277</v>
      </c>
      <c r="D1636" s="24">
        <v>1363</v>
      </c>
    </row>
    <row r="1637" spans="1:4" x14ac:dyDescent="0.25">
      <c r="A1637" s="24">
        <v>267</v>
      </c>
      <c r="B1637" s="24">
        <v>833614</v>
      </c>
      <c r="C1637" s="24" t="s">
        <v>2278</v>
      </c>
      <c r="D1637" s="24">
        <v>1364</v>
      </c>
    </row>
    <row r="1638" spans="1:4" x14ac:dyDescent="0.25">
      <c r="A1638" s="24">
        <v>2996</v>
      </c>
      <c r="B1638" s="24">
        <v>833622</v>
      </c>
      <c r="C1638" s="24" t="s">
        <v>2279</v>
      </c>
      <c r="D1638" s="24">
        <v>1364</v>
      </c>
    </row>
    <row r="1639" spans="1:4" x14ac:dyDescent="0.25">
      <c r="A1639" s="24">
        <v>1387</v>
      </c>
      <c r="B1639" s="24">
        <v>833649</v>
      </c>
      <c r="C1639" s="24" t="s">
        <v>2281</v>
      </c>
      <c r="D1639" s="24">
        <v>1365</v>
      </c>
    </row>
    <row r="1640" spans="1:4" x14ac:dyDescent="0.25">
      <c r="A1640" s="24">
        <v>2789</v>
      </c>
      <c r="B1640" s="24">
        <v>833631</v>
      </c>
      <c r="C1640" s="24" t="s">
        <v>2280</v>
      </c>
      <c r="D1640" s="24">
        <v>1365</v>
      </c>
    </row>
    <row r="1641" spans="1:4" x14ac:dyDescent="0.25">
      <c r="A1641" s="24">
        <v>606</v>
      </c>
      <c r="B1641" s="24">
        <v>833657</v>
      </c>
      <c r="C1641" s="24" t="s">
        <v>2282</v>
      </c>
      <c r="D1641" s="24">
        <v>1366</v>
      </c>
    </row>
    <row r="1642" spans="1:4" x14ac:dyDescent="0.25">
      <c r="A1642" s="24">
        <v>2183</v>
      </c>
      <c r="B1642" s="24">
        <v>833673</v>
      </c>
      <c r="C1642" s="24" t="s">
        <v>2283</v>
      </c>
      <c r="D1642" s="24">
        <v>1367</v>
      </c>
    </row>
    <row r="1643" spans="1:4" x14ac:dyDescent="0.25">
      <c r="A1643" s="24">
        <v>3413</v>
      </c>
      <c r="B1643" s="24">
        <v>833754</v>
      </c>
      <c r="C1643" s="24" t="s">
        <v>2284</v>
      </c>
      <c r="D1643" s="24">
        <v>1367</v>
      </c>
    </row>
    <row r="1644" spans="1:4" x14ac:dyDescent="0.25">
      <c r="A1644" s="24">
        <v>3382</v>
      </c>
      <c r="B1644" s="24">
        <v>833924</v>
      </c>
      <c r="C1644" s="24" t="s">
        <v>2286</v>
      </c>
      <c r="D1644" s="24">
        <v>1368</v>
      </c>
    </row>
    <row r="1645" spans="1:4" x14ac:dyDescent="0.25">
      <c r="A1645" s="24">
        <v>2219</v>
      </c>
      <c r="B1645" s="24">
        <v>833959</v>
      </c>
      <c r="C1645" s="24" t="s">
        <v>2287</v>
      </c>
      <c r="D1645" s="24">
        <v>1369</v>
      </c>
    </row>
    <row r="1646" spans="1:4" x14ac:dyDescent="0.25">
      <c r="A1646" s="24">
        <v>492</v>
      </c>
      <c r="B1646" s="24">
        <v>833967</v>
      </c>
      <c r="C1646" s="24" t="s">
        <v>2288</v>
      </c>
      <c r="D1646" s="24">
        <v>1370</v>
      </c>
    </row>
    <row r="1647" spans="1:4" x14ac:dyDescent="0.25">
      <c r="A1647" s="24">
        <v>3032</v>
      </c>
      <c r="B1647" s="24">
        <v>833975</v>
      </c>
      <c r="C1647" s="24" t="s">
        <v>2288</v>
      </c>
      <c r="D1647" s="24">
        <v>1371</v>
      </c>
    </row>
    <row r="1648" spans="1:4" x14ac:dyDescent="0.25">
      <c r="A1648" s="24">
        <v>2966</v>
      </c>
      <c r="B1648" s="24">
        <v>833991</v>
      </c>
      <c r="C1648" s="24" t="s">
        <v>2288</v>
      </c>
      <c r="D1648" s="24">
        <v>1372</v>
      </c>
    </row>
    <row r="1649" spans="1:4" x14ac:dyDescent="0.25">
      <c r="A1649" s="24">
        <v>1284</v>
      </c>
      <c r="B1649" s="24">
        <v>834009</v>
      </c>
      <c r="C1649" s="24" t="s">
        <v>2288</v>
      </c>
      <c r="D1649" s="24">
        <v>1373</v>
      </c>
    </row>
    <row r="1650" spans="1:4" x14ac:dyDescent="0.25">
      <c r="A1650" s="24">
        <v>8</v>
      </c>
      <c r="B1650" s="24">
        <v>834017</v>
      </c>
      <c r="C1650" s="24" t="s">
        <v>2289</v>
      </c>
      <c r="D1650" s="24">
        <v>1374</v>
      </c>
    </row>
    <row r="1651" spans="1:4" x14ac:dyDescent="0.25">
      <c r="A1651" s="24">
        <v>1222</v>
      </c>
      <c r="B1651" s="24">
        <v>834033</v>
      </c>
      <c r="C1651" s="24" t="s">
        <v>2289</v>
      </c>
      <c r="D1651" s="24">
        <v>1375</v>
      </c>
    </row>
    <row r="1652" spans="1:4" x14ac:dyDescent="0.25">
      <c r="A1652" s="24">
        <v>382</v>
      </c>
      <c r="B1652" s="24">
        <v>834041</v>
      </c>
      <c r="C1652" s="24" t="s">
        <v>2289</v>
      </c>
      <c r="D1652" s="24">
        <v>1376</v>
      </c>
    </row>
    <row r="1653" spans="1:4" x14ac:dyDescent="0.25">
      <c r="A1653" s="24">
        <v>1202</v>
      </c>
      <c r="B1653" s="24">
        <v>834050</v>
      </c>
      <c r="C1653" s="24" t="s">
        <v>2290</v>
      </c>
      <c r="D1653" s="24">
        <v>1377</v>
      </c>
    </row>
    <row r="1654" spans="1:4" x14ac:dyDescent="0.25">
      <c r="A1654" s="24">
        <v>537</v>
      </c>
      <c r="B1654" s="24">
        <v>834068</v>
      </c>
      <c r="C1654" s="24" t="s">
        <v>2291</v>
      </c>
      <c r="D1654" s="24">
        <v>1377</v>
      </c>
    </row>
    <row r="1655" spans="1:4" x14ac:dyDescent="0.25">
      <c r="A1655" s="24">
        <v>2191</v>
      </c>
      <c r="B1655" s="24">
        <v>834076</v>
      </c>
      <c r="C1655" s="24" t="s">
        <v>2292</v>
      </c>
      <c r="D1655" s="24">
        <v>1378</v>
      </c>
    </row>
    <row r="1656" spans="1:4" x14ac:dyDescent="0.25">
      <c r="A1656" s="24">
        <v>2764</v>
      </c>
      <c r="B1656" s="24">
        <v>839124</v>
      </c>
      <c r="C1656" s="24" t="s">
        <v>2533</v>
      </c>
      <c r="D1656" s="24">
        <v>1378</v>
      </c>
    </row>
    <row r="1657" spans="1:4" x14ac:dyDescent="0.25">
      <c r="A1657" s="24">
        <v>23</v>
      </c>
      <c r="B1657" s="24">
        <v>870773</v>
      </c>
      <c r="C1657" s="24" t="s">
        <v>3885</v>
      </c>
      <c r="D1657" s="24">
        <v>1379</v>
      </c>
    </row>
    <row r="1658" spans="1:4" x14ac:dyDescent="0.25">
      <c r="A1658" s="24">
        <v>2049</v>
      </c>
      <c r="B1658" s="24">
        <v>834084</v>
      </c>
      <c r="C1658" s="24" t="s">
        <v>2293</v>
      </c>
      <c r="D1658" s="24">
        <v>1380</v>
      </c>
    </row>
    <row r="1659" spans="1:4" x14ac:dyDescent="0.25">
      <c r="A1659" s="24">
        <v>1161</v>
      </c>
      <c r="B1659" s="24">
        <v>834092</v>
      </c>
      <c r="C1659" s="24" t="s">
        <v>2294</v>
      </c>
      <c r="D1659" s="24">
        <v>1381</v>
      </c>
    </row>
    <row r="1660" spans="1:4" x14ac:dyDescent="0.25">
      <c r="A1660" s="24">
        <v>1628</v>
      </c>
      <c r="B1660" s="24">
        <v>834106</v>
      </c>
      <c r="C1660" s="24" t="s">
        <v>2295</v>
      </c>
      <c r="D1660" s="24">
        <v>1382</v>
      </c>
    </row>
    <row r="1661" spans="1:4" x14ac:dyDescent="0.25">
      <c r="A1661" s="24">
        <v>2822</v>
      </c>
      <c r="B1661" s="24">
        <v>834122</v>
      </c>
      <c r="C1661" s="24" t="s">
        <v>2297</v>
      </c>
      <c r="D1661" s="24">
        <v>1383</v>
      </c>
    </row>
    <row r="1662" spans="1:4" x14ac:dyDescent="0.25">
      <c r="A1662" s="24">
        <v>91</v>
      </c>
      <c r="B1662" s="24">
        <v>834114</v>
      </c>
      <c r="C1662" s="24" t="s">
        <v>2296</v>
      </c>
      <c r="D1662" s="24">
        <v>1384</v>
      </c>
    </row>
    <row r="1663" spans="1:4" x14ac:dyDescent="0.25">
      <c r="A1663" s="24">
        <v>2715</v>
      </c>
      <c r="B1663" s="24">
        <v>834149</v>
      </c>
      <c r="C1663" s="24" t="s">
        <v>2298</v>
      </c>
      <c r="D1663" s="24">
        <v>1385</v>
      </c>
    </row>
    <row r="1664" spans="1:4" x14ac:dyDescent="0.25">
      <c r="A1664" s="24">
        <v>3503</v>
      </c>
      <c r="B1664" s="24">
        <v>834131</v>
      </c>
      <c r="C1664" s="24" t="s">
        <v>2298</v>
      </c>
      <c r="D1664" s="24">
        <v>1386</v>
      </c>
    </row>
    <row r="1665" spans="1:4" x14ac:dyDescent="0.25">
      <c r="A1665" s="24">
        <v>1755</v>
      </c>
      <c r="B1665" s="24">
        <v>834165</v>
      </c>
      <c r="C1665" s="24" t="s">
        <v>2299</v>
      </c>
      <c r="D1665" s="24">
        <v>1387</v>
      </c>
    </row>
    <row r="1666" spans="1:4" x14ac:dyDescent="0.25">
      <c r="A1666" s="24">
        <v>1309</v>
      </c>
      <c r="B1666" s="24">
        <v>834173</v>
      </c>
      <c r="C1666" s="24" t="s">
        <v>2300</v>
      </c>
      <c r="D1666" s="24">
        <v>1387</v>
      </c>
    </row>
    <row r="1667" spans="1:4" x14ac:dyDescent="0.25">
      <c r="A1667" s="24">
        <v>3346</v>
      </c>
      <c r="B1667" s="24">
        <v>834203</v>
      </c>
      <c r="C1667" s="24" t="s">
        <v>2302</v>
      </c>
      <c r="D1667" s="24">
        <v>1388</v>
      </c>
    </row>
    <row r="1668" spans="1:4" x14ac:dyDescent="0.25">
      <c r="A1668" s="24">
        <v>787</v>
      </c>
      <c r="B1668" s="24">
        <v>834211</v>
      </c>
      <c r="C1668" s="24" t="s">
        <v>2303</v>
      </c>
      <c r="D1668" s="24">
        <v>1389</v>
      </c>
    </row>
    <row r="1669" spans="1:4" x14ac:dyDescent="0.25">
      <c r="A1669" s="24">
        <v>1068</v>
      </c>
      <c r="B1669" s="24">
        <v>834238</v>
      </c>
      <c r="C1669" s="24" t="s">
        <v>2304</v>
      </c>
      <c r="D1669" s="24">
        <v>1390</v>
      </c>
    </row>
    <row r="1670" spans="1:4" x14ac:dyDescent="0.25">
      <c r="A1670" s="24">
        <v>1019</v>
      </c>
      <c r="B1670" s="24">
        <v>834254</v>
      </c>
      <c r="C1670" s="24" t="s">
        <v>2305</v>
      </c>
      <c r="D1670" s="24">
        <v>1391</v>
      </c>
    </row>
    <row r="1671" spans="1:4" x14ac:dyDescent="0.25">
      <c r="A1671" s="24">
        <v>796</v>
      </c>
      <c r="B1671" s="24">
        <v>834262</v>
      </c>
      <c r="C1671" s="24" t="s">
        <v>2306</v>
      </c>
      <c r="D1671" s="24">
        <v>1392</v>
      </c>
    </row>
    <row r="1672" spans="1:4" x14ac:dyDescent="0.25">
      <c r="A1672" s="24">
        <v>44</v>
      </c>
      <c r="B1672" s="24">
        <v>834289</v>
      </c>
      <c r="C1672" s="24" t="s">
        <v>2307</v>
      </c>
      <c r="D1672" s="24">
        <v>1393</v>
      </c>
    </row>
    <row r="1673" spans="1:4" x14ac:dyDescent="0.25">
      <c r="A1673" s="24">
        <v>3393</v>
      </c>
      <c r="B1673" s="24">
        <v>834319</v>
      </c>
      <c r="C1673" s="24" t="s">
        <v>2308</v>
      </c>
      <c r="D1673" s="24">
        <v>1394</v>
      </c>
    </row>
    <row r="1674" spans="1:4" x14ac:dyDescent="0.25">
      <c r="A1674" s="24">
        <v>824</v>
      </c>
      <c r="B1674" s="24">
        <v>834360</v>
      </c>
      <c r="C1674" s="24" t="s">
        <v>2309</v>
      </c>
      <c r="D1674" s="24">
        <v>1395</v>
      </c>
    </row>
    <row r="1675" spans="1:4" x14ac:dyDescent="0.25">
      <c r="A1675" s="24">
        <v>464</v>
      </c>
      <c r="B1675" s="24">
        <v>834378</v>
      </c>
      <c r="C1675" s="24" t="s">
        <v>2310</v>
      </c>
      <c r="D1675" s="24">
        <v>1396</v>
      </c>
    </row>
    <row r="1676" spans="1:4" x14ac:dyDescent="0.25">
      <c r="A1676" s="24">
        <v>1821</v>
      </c>
      <c r="B1676" s="24">
        <v>834386</v>
      </c>
      <c r="C1676" s="24" t="s">
        <v>2311</v>
      </c>
      <c r="D1676" s="24">
        <v>1397</v>
      </c>
    </row>
    <row r="1677" spans="1:4" x14ac:dyDescent="0.25">
      <c r="A1677" s="24">
        <v>397</v>
      </c>
      <c r="B1677" s="24">
        <v>834408</v>
      </c>
      <c r="C1677" s="24" t="s">
        <v>2312</v>
      </c>
      <c r="D1677" s="24">
        <v>1398</v>
      </c>
    </row>
    <row r="1678" spans="1:4" x14ac:dyDescent="0.25">
      <c r="A1678" s="24">
        <v>545</v>
      </c>
      <c r="B1678" s="24">
        <v>834483</v>
      </c>
      <c r="C1678" s="24" t="s">
        <v>2314</v>
      </c>
      <c r="D1678" s="24">
        <v>1399</v>
      </c>
    </row>
    <row r="1679" spans="1:4" x14ac:dyDescent="0.25">
      <c r="A1679" s="24">
        <v>414</v>
      </c>
      <c r="B1679" s="24">
        <v>834581</v>
      </c>
      <c r="C1679" s="24" t="s">
        <v>2315</v>
      </c>
      <c r="D1679" s="24">
        <v>1400</v>
      </c>
    </row>
    <row r="1680" spans="1:4" x14ac:dyDescent="0.25">
      <c r="A1680" s="24">
        <v>644</v>
      </c>
      <c r="B1680" s="24">
        <v>834599</v>
      </c>
      <c r="C1680" s="24" t="s">
        <v>2316</v>
      </c>
      <c r="D1680" s="24">
        <v>1401</v>
      </c>
    </row>
    <row r="1681" spans="1:4" x14ac:dyDescent="0.25">
      <c r="A1681" s="24">
        <v>2708</v>
      </c>
      <c r="B1681" s="24">
        <v>812242</v>
      </c>
      <c r="C1681" s="24" t="s">
        <v>1244</v>
      </c>
      <c r="D1681" s="24">
        <v>1402</v>
      </c>
    </row>
    <row r="1682" spans="1:4" x14ac:dyDescent="0.25">
      <c r="A1682" s="24">
        <v>3394</v>
      </c>
      <c r="B1682" s="24">
        <v>834670</v>
      </c>
      <c r="C1682" s="24" t="s">
        <v>2319</v>
      </c>
      <c r="D1682" s="24">
        <v>1403</v>
      </c>
    </row>
    <row r="1683" spans="1:4" x14ac:dyDescent="0.25">
      <c r="A1683" s="24">
        <v>2865</v>
      </c>
      <c r="B1683" s="24">
        <v>834696</v>
      </c>
      <c r="C1683" s="24" t="s">
        <v>2320</v>
      </c>
      <c r="D1683" s="24">
        <v>1404</v>
      </c>
    </row>
    <row r="1684" spans="1:4" x14ac:dyDescent="0.25">
      <c r="A1684" s="24">
        <v>3202</v>
      </c>
      <c r="B1684" s="24">
        <v>834700</v>
      </c>
      <c r="C1684" s="24" t="s">
        <v>2321</v>
      </c>
      <c r="D1684" s="24">
        <v>1404</v>
      </c>
    </row>
    <row r="1685" spans="1:4" x14ac:dyDescent="0.25">
      <c r="A1685" s="24">
        <v>2525</v>
      </c>
      <c r="B1685" s="24">
        <v>834718</v>
      </c>
      <c r="C1685" s="24" t="s">
        <v>2322</v>
      </c>
      <c r="D1685" s="24">
        <v>1405</v>
      </c>
    </row>
    <row r="1686" spans="1:4" x14ac:dyDescent="0.25">
      <c r="A1686" s="24">
        <v>1188</v>
      </c>
      <c r="B1686" s="24">
        <v>834726</v>
      </c>
      <c r="C1686" s="24" t="s">
        <v>2323</v>
      </c>
      <c r="D1686" s="24">
        <v>1406</v>
      </c>
    </row>
    <row r="1687" spans="1:4" x14ac:dyDescent="0.25">
      <c r="A1687" s="24">
        <v>1416</v>
      </c>
      <c r="B1687" s="24">
        <v>834734</v>
      </c>
      <c r="C1687" s="24" t="s">
        <v>2324</v>
      </c>
      <c r="D1687" s="24">
        <v>1407</v>
      </c>
    </row>
    <row r="1688" spans="1:4" x14ac:dyDescent="0.25">
      <c r="A1688" s="24">
        <v>211</v>
      </c>
      <c r="B1688" s="24">
        <v>834742</v>
      </c>
      <c r="C1688" s="24" t="s">
        <v>2325</v>
      </c>
      <c r="D1688" s="24">
        <v>1408</v>
      </c>
    </row>
    <row r="1689" spans="1:4" x14ac:dyDescent="0.25">
      <c r="A1689" s="24">
        <v>2124</v>
      </c>
      <c r="B1689" s="24">
        <v>834858</v>
      </c>
      <c r="C1689" s="24" t="s">
        <v>2326</v>
      </c>
      <c r="D1689" s="24">
        <v>1409</v>
      </c>
    </row>
    <row r="1690" spans="1:4" x14ac:dyDescent="0.25">
      <c r="A1690" s="24">
        <v>2411</v>
      </c>
      <c r="B1690" s="24">
        <v>834955</v>
      </c>
      <c r="C1690" s="24" t="s">
        <v>2327</v>
      </c>
      <c r="D1690" s="24">
        <v>1410</v>
      </c>
    </row>
    <row r="1691" spans="1:4" x14ac:dyDescent="0.25">
      <c r="A1691" s="24">
        <v>2983</v>
      </c>
      <c r="B1691" s="24">
        <v>834963</v>
      </c>
      <c r="C1691" s="24" t="s">
        <v>2328</v>
      </c>
      <c r="D1691" s="24">
        <v>1411</v>
      </c>
    </row>
    <row r="1692" spans="1:4" x14ac:dyDescent="0.25">
      <c r="A1692" s="24">
        <v>1985</v>
      </c>
      <c r="B1692" s="24">
        <v>834971</v>
      </c>
      <c r="C1692" s="24" t="s">
        <v>2329</v>
      </c>
      <c r="D1692" s="24">
        <v>1412</v>
      </c>
    </row>
    <row r="1693" spans="1:4" x14ac:dyDescent="0.25">
      <c r="A1693" s="24">
        <v>3238</v>
      </c>
      <c r="B1693" s="24">
        <v>834980</v>
      </c>
      <c r="C1693" s="24" t="s">
        <v>2330</v>
      </c>
      <c r="D1693" s="24">
        <v>1413</v>
      </c>
    </row>
    <row r="1694" spans="1:4" x14ac:dyDescent="0.25">
      <c r="A1694" s="24">
        <v>2109</v>
      </c>
      <c r="B1694" s="24">
        <v>834998</v>
      </c>
      <c r="C1694" s="24" t="s">
        <v>2331</v>
      </c>
      <c r="D1694" s="24">
        <v>1414</v>
      </c>
    </row>
    <row r="1695" spans="1:4" x14ac:dyDescent="0.25">
      <c r="A1695" s="24">
        <v>1941</v>
      </c>
      <c r="B1695" s="24">
        <v>835005</v>
      </c>
      <c r="C1695" s="24" t="s">
        <v>2332</v>
      </c>
      <c r="D1695" s="24">
        <v>1415</v>
      </c>
    </row>
    <row r="1696" spans="1:4" x14ac:dyDescent="0.25">
      <c r="A1696" s="24">
        <v>2653</v>
      </c>
      <c r="B1696" s="24">
        <v>835021</v>
      </c>
      <c r="C1696" s="24" t="s">
        <v>2333</v>
      </c>
      <c r="D1696" s="24">
        <v>1416</v>
      </c>
    </row>
    <row r="1697" spans="1:4" x14ac:dyDescent="0.25">
      <c r="A1697" s="24">
        <v>636</v>
      </c>
      <c r="B1697" s="24">
        <v>835030</v>
      </c>
      <c r="C1697" s="24" t="s">
        <v>2334</v>
      </c>
      <c r="D1697" s="24">
        <v>1417</v>
      </c>
    </row>
    <row r="1698" spans="1:4" x14ac:dyDescent="0.25">
      <c r="A1698" s="24">
        <v>2831</v>
      </c>
      <c r="B1698" s="24">
        <v>835102</v>
      </c>
      <c r="C1698" s="24" t="s">
        <v>2335</v>
      </c>
      <c r="D1698" s="24">
        <v>1418</v>
      </c>
    </row>
    <row r="1699" spans="1:4" x14ac:dyDescent="0.25">
      <c r="A1699" s="24">
        <v>989</v>
      </c>
      <c r="B1699" s="24">
        <v>835137</v>
      </c>
      <c r="C1699" s="24" t="s">
        <v>2336</v>
      </c>
      <c r="D1699" s="24">
        <v>1419</v>
      </c>
    </row>
    <row r="1700" spans="1:4" x14ac:dyDescent="0.25">
      <c r="A1700" s="24">
        <v>1682</v>
      </c>
      <c r="B1700" s="24">
        <v>875414</v>
      </c>
      <c r="C1700" s="24" t="s">
        <v>4090</v>
      </c>
      <c r="D1700" s="24">
        <v>1419</v>
      </c>
    </row>
    <row r="1701" spans="1:4" x14ac:dyDescent="0.25">
      <c r="A1701" s="24">
        <v>2560</v>
      </c>
      <c r="B1701" s="24">
        <v>835161</v>
      </c>
      <c r="C1701" s="24" t="s">
        <v>2337</v>
      </c>
      <c r="D1701" s="24">
        <v>1420</v>
      </c>
    </row>
    <row r="1702" spans="1:4" x14ac:dyDescent="0.25">
      <c r="A1702" s="24">
        <v>3119</v>
      </c>
      <c r="B1702" s="24">
        <v>835170</v>
      </c>
      <c r="C1702" s="24" t="s">
        <v>2338</v>
      </c>
      <c r="D1702" s="24">
        <v>1421</v>
      </c>
    </row>
    <row r="1703" spans="1:4" x14ac:dyDescent="0.25">
      <c r="A1703" s="24">
        <v>3405</v>
      </c>
      <c r="B1703" s="24">
        <v>835188</v>
      </c>
      <c r="C1703" s="24" t="s">
        <v>2339</v>
      </c>
      <c r="D1703" s="24">
        <v>1422</v>
      </c>
    </row>
    <row r="1704" spans="1:4" x14ac:dyDescent="0.25">
      <c r="A1704" s="24">
        <v>609</v>
      </c>
      <c r="B1704" s="24">
        <v>864765</v>
      </c>
      <c r="C1704" s="24" t="s">
        <v>3588</v>
      </c>
      <c r="D1704" s="24">
        <v>1423</v>
      </c>
    </row>
    <row r="1705" spans="1:4" x14ac:dyDescent="0.25">
      <c r="A1705" s="24">
        <v>3460</v>
      </c>
      <c r="B1705" s="24">
        <v>835196</v>
      </c>
      <c r="C1705" s="24" t="s">
        <v>2340</v>
      </c>
      <c r="D1705" s="24">
        <v>1424</v>
      </c>
    </row>
    <row r="1706" spans="1:4" x14ac:dyDescent="0.25">
      <c r="A1706" s="24">
        <v>523</v>
      </c>
      <c r="B1706" s="24">
        <v>801372</v>
      </c>
      <c r="C1706" s="24" t="s">
        <v>788</v>
      </c>
      <c r="D1706" s="24">
        <v>1425</v>
      </c>
    </row>
    <row r="1707" spans="1:4" x14ac:dyDescent="0.25">
      <c r="A1707" s="24">
        <v>35</v>
      </c>
      <c r="B1707" s="24">
        <v>835382</v>
      </c>
      <c r="C1707" s="24" t="s">
        <v>2341</v>
      </c>
      <c r="D1707" s="24">
        <v>1426</v>
      </c>
    </row>
    <row r="1708" spans="1:4" x14ac:dyDescent="0.25">
      <c r="A1708" s="24">
        <v>366</v>
      </c>
      <c r="B1708" s="24">
        <v>835391</v>
      </c>
      <c r="C1708" s="24" t="s">
        <v>2342</v>
      </c>
      <c r="D1708" s="24">
        <v>1427</v>
      </c>
    </row>
    <row r="1709" spans="1:4" x14ac:dyDescent="0.25">
      <c r="A1709" s="24">
        <v>1350</v>
      </c>
      <c r="B1709" s="24">
        <v>835412</v>
      </c>
      <c r="C1709" s="24" t="s">
        <v>2343</v>
      </c>
      <c r="D1709" s="24">
        <v>1428</v>
      </c>
    </row>
    <row r="1710" spans="1:4" x14ac:dyDescent="0.25">
      <c r="A1710" s="24">
        <v>3152</v>
      </c>
      <c r="B1710" s="24">
        <v>835447</v>
      </c>
      <c r="C1710" s="24" t="s">
        <v>2344</v>
      </c>
      <c r="D1710" s="24">
        <v>1429</v>
      </c>
    </row>
    <row r="1711" spans="1:4" x14ac:dyDescent="0.25">
      <c r="A1711" s="24">
        <v>2623</v>
      </c>
      <c r="B1711" s="24">
        <v>835463</v>
      </c>
      <c r="C1711" s="24" t="s">
        <v>2346</v>
      </c>
      <c r="D1711" s="24">
        <v>1430</v>
      </c>
    </row>
    <row r="1712" spans="1:4" x14ac:dyDescent="0.25">
      <c r="A1712" s="24">
        <v>3261</v>
      </c>
      <c r="B1712" s="24">
        <v>835455</v>
      </c>
      <c r="C1712" s="24" t="s">
        <v>2345</v>
      </c>
      <c r="D1712" s="24">
        <v>1430</v>
      </c>
    </row>
    <row r="1713" spans="1:4" x14ac:dyDescent="0.25">
      <c r="A1713" s="24">
        <v>1793</v>
      </c>
      <c r="B1713" s="24">
        <v>835498</v>
      </c>
      <c r="C1713" s="24" t="s">
        <v>2349</v>
      </c>
      <c r="D1713" s="24">
        <v>1431</v>
      </c>
    </row>
    <row r="1714" spans="1:4" x14ac:dyDescent="0.25">
      <c r="A1714" s="24">
        <v>1375</v>
      </c>
      <c r="B1714" s="24">
        <v>814113</v>
      </c>
      <c r="C1714" s="24" t="s">
        <v>1337</v>
      </c>
      <c r="D1714" s="24">
        <v>1432</v>
      </c>
    </row>
    <row r="1715" spans="1:4" x14ac:dyDescent="0.25">
      <c r="A1715" s="24">
        <v>2443</v>
      </c>
      <c r="B1715" s="24">
        <v>835510</v>
      </c>
      <c r="C1715" s="24" t="s">
        <v>2350</v>
      </c>
      <c r="D1715" s="24">
        <v>1433</v>
      </c>
    </row>
    <row r="1716" spans="1:4" x14ac:dyDescent="0.25">
      <c r="A1716" s="24">
        <v>3554</v>
      </c>
      <c r="B1716" s="24">
        <v>835536</v>
      </c>
      <c r="C1716" s="24" t="s">
        <v>2352</v>
      </c>
      <c r="D1716" s="24">
        <v>1434</v>
      </c>
    </row>
    <row r="1717" spans="1:4" x14ac:dyDescent="0.25">
      <c r="A1717" s="24">
        <v>1684</v>
      </c>
      <c r="B1717" s="24">
        <v>835544</v>
      </c>
      <c r="C1717" s="24" t="s">
        <v>2353</v>
      </c>
      <c r="D1717" s="24">
        <v>1435</v>
      </c>
    </row>
    <row r="1718" spans="1:4" x14ac:dyDescent="0.25">
      <c r="A1718" s="24">
        <v>242</v>
      </c>
      <c r="B1718" s="24">
        <v>835587</v>
      </c>
      <c r="C1718" s="24" t="s">
        <v>2355</v>
      </c>
      <c r="D1718" s="24">
        <v>1436</v>
      </c>
    </row>
    <row r="1719" spans="1:4" x14ac:dyDescent="0.25">
      <c r="A1719" s="24">
        <v>719</v>
      </c>
      <c r="B1719" s="24">
        <v>835595</v>
      </c>
      <c r="C1719" s="24" t="s">
        <v>2356</v>
      </c>
      <c r="D1719" s="24">
        <v>1437</v>
      </c>
    </row>
    <row r="1720" spans="1:4" x14ac:dyDescent="0.25">
      <c r="A1720" s="24">
        <v>1410</v>
      </c>
      <c r="B1720" s="24">
        <v>835617</v>
      </c>
      <c r="C1720" s="24" t="s">
        <v>2357</v>
      </c>
      <c r="D1720" s="24">
        <v>1438</v>
      </c>
    </row>
    <row r="1721" spans="1:4" x14ac:dyDescent="0.25">
      <c r="A1721" s="24">
        <v>3172</v>
      </c>
      <c r="B1721" s="24">
        <v>835625</v>
      </c>
      <c r="C1721" s="24" t="s">
        <v>2358</v>
      </c>
      <c r="D1721" s="24">
        <v>1439</v>
      </c>
    </row>
    <row r="1722" spans="1:4" x14ac:dyDescent="0.25">
      <c r="A1722" s="24">
        <v>338</v>
      </c>
      <c r="B1722" s="24">
        <v>835633</v>
      </c>
      <c r="C1722" s="24" t="s">
        <v>2359</v>
      </c>
      <c r="D1722" s="24">
        <v>1440</v>
      </c>
    </row>
    <row r="1723" spans="1:4" x14ac:dyDescent="0.25">
      <c r="A1723" s="24">
        <v>3511</v>
      </c>
      <c r="B1723" s="24">
        <v>835650</v>
      </c>
      <c r="C1723" s="24" t="s">
        <v>2361</v>
      </c>
      <c r="D1723" s="24">
        <v>1441</v>
      </c>
    </row>
    <row r="1724" spans="1:4" x14ac:dyDescent="0.25">
      <c r="A1724" s="24">
        <v>2541</v>
      </c>
      <c r="B1724" s="24">
        <v>835668</v>
      </c>
      <c r="C1724" s="24" t="s">
        <v>2362</v>
      </c>
      <c r="D1724" s="24">
        <v>1442</v>
      </c>
    </row>
    <row r="1725" spans="1:4" x14ac:dyDescent="0.25">
      <c r="A1725" s="24">
        <v>590</v>
      </c>
      <c r="B1725" s="24">
        <v>835676</v>
      </c>
      <c r="C1725" s="24" t="s">
        <v>2363</v>
      </c>
      <c r="D1725" s="24">
        <v>1443</v>
      </c>
    </row>
    <row r="1726" spans="1:4" x14ac:dyDescent="0.25">
      <c r="A1726" s="24">
        <v>1931</v>
      </c>
      <c r="B1726" s="24">
        <v>835692</v>
      </c>
      <c r="C1726" s="24" t="s">
        <v>2365</v>
      </c>
      <c r="D1726" s="24">
        <v>1444</v>
      </c>
    </row>
    <row r="1727" spans="1:4" x14ac:dyDescent="0.25">
      <c r="A1727" s="24">
        <v>168</v>
      </c>
      <c r="B1727" s="24">
        <v>835706</v>
      </c>
      <c r="C1727" s="24" t="s">
        <v>2366</v>
      </c>
      <c r="D1727" s="24">
        <v>1445</v>
      </c>
    </row>
    <row r="1728" spans="1:4" x14ac:dyDescent="0.25">
      <c r="A1728" s="24">
        <v>1036</v>
      </c>
      <c r="B1728" s="24">
        <v>835714</v>
      </c>
      <c r="C1728" s="24" t="s">
        <v>2367</v>
      </c>
      <c r="D1728" s="24">
        <v>1446</v>
      </c>
    </row>
    <row r="1729" spans="1:4" x14ac:dyDescent="0.25">
      <c r="A1729" s="24">
        <v>2057</v>
      </c>
      <c r="B1729" s="24">
        <v>835722</v>
      </c>
      <c r="C1729" s="24" t="s">
        <v>2368</v>
      </c>
      <c r="D1729" s="24">
        <v>1447</v>
      </c>
    </row>
    <row r="1730" spans="1:4" x14ac:dyDescent="0.25">
      <c r="A1730" s="24">
        <v>3485</v>
      </c>
      <c r="B1730" s="24">
        <v>835749</v>
      </c>
      <c r="C1730" s="24" t="s">
        <v>2369</v>
      </c>
      <c r="D1730" s="24">
        <v>1448</v>
      </c>
    </row>
    <row r="1731" spans="1:4" x14ac:dyDescent="0.25">
      <c r="A1731" s="24">
        <v>604</v>
      </c>
      <c r="B1731" s="24">
        <v>835757</v>
      </c>
      <c r="C1731" s="24" t="s">
        <v>2370</v>
      </c>
      <c r="D1731" s="24">
        <v>1449</v>
      </c>
    </row>
    <row r="1732" spans="1:4" x14ac:dyDescent="0.25">
      <c r="A1732" s="24">
        <v>66</v>
      </c>
      <c r="B1732" s="24">
        <v>821357</v>
      </c>
      <c r="C1732" s="24" t="s">
        <v>1700</v>
      </c>
      <c r="D1732" s="24">
        <v>1450</v>
      </c>
    </row>
    <row r="1733" spans="1:4" x14ac:dyDescent="0.25">
      <c r="A1733" s="24">
        <v>865</v>
      </c>
      <c r="B1733" s="24">
        <v>835773</v>
      </c>
      <c r="C1733" s="24" t="s">
        <v>2371</v>
      </c>
      <c r="D1733" s="24">
        <v>1450</v>
      </c>
    </row>
    <row r="1734" spans="1:4" x14ac:dyDescent="0.25">
      <c r="A1734" s="24">
        <v>3288</v>
      </c>
      <c r="B1734" s="24">
        <v>835790</v>
      </c>
      <c r="C1734" s="24" t="s">
        <v>2372</v>
      </c>
      <c r="D1734" s="24">
        <v>1451</v>
      </c>
    </row>
    <row r="1735" spans="1:4" x14ac:dyDescent="0.25">
      <c r="A1735" s="24">
        <v>909</v>
      </c>
      <c r="B1735" s="24">
        <v>835803</v>
      </c>
      <c r="C1735" s="24" t="s">
        <v>2373</v>
      </c>
      <c r="D1735" s="24">
        <v>1452</v>
      </c>
    </row>
    <row r="1736" spans="1:4" x14ac:dyDescent="0.25">
      <c r="A1736" s="24">
        <v>1727</v>
      </c>
      <c r="B1736" s="24">
        <v>835811</v>
      </c>
      <c r="C1736" s="24" t="s">
        <v>2374</v>
      </c>
      <c r="D1736" s="24">
        <v>1452</v>
      </c>
    </row>
    <row r="1737" spans="1:4" x14ac:dyDescent="0.25">
      <c r="A1737" s="24">
        <v>830</v>
      </c>
      <c r="B1737" s="24">
        <v>835820</v>
      </c>
      <c r="C1737" s="24" t="s">
        <v>2375</v>
      </c>
      <c r="D1737" s="24">
        <v>1453</v>
      </c>
    </row>
    <row r="1738" spans="1:4" x14ac:dyDescent="0.25">
      <c r="A1738" s="24">
        <v>1980</v>
      </c>
      <c r="B1738" s="24">
        <v>840599</v>
      </c>
      <c r="C1738" s="24" t="s">
        <v>2583</v>
      </c>
      <c r="D1738" s="24">
        <v>1454</v>
      </c>
    </row>
    <row r="1739" spans="1:4" x14ac:dyDescent="0.25">
      <c r="A1739" s="24">
        <v>2061</v>
      </c>
      <c r="B1739" s="24">
        <v>835846</v>
      </c>
      <c r="C1739" s="24" t="s">
        <v>2376</v>
      </c>
      <c r="D1739" s="24">
        <v>1455</v>
      </c>
    </row>
    <row r="1740" spans="1:4" x14ac:dyDescent="0.25">
      <c r="A1740" s="24">
        <v>2105</v>
      </c>
      <c r="B1740" s="24">
        <v>835854</v>
      </c>
      <c r="C1740" s="24" t="s">
        <v>2377</v>
      </c>
      <c r="D1740" s="24">
        <v>1456</v>
      </c>
    </row>
    <row r="1741" spans="1:4" x14ac:dyDescent="0.25">
      <c r="A1741" s="24">
        <v>2505</v>
      </c>
      <c r="B1741" s="24">
        <v>950025</v>
      </c>
      <c r="C1741" s="24" t="s">
        <v>4104</v>
      </c>
      <c r="D1741" s="24">
        <v>1456</v>
      </c>
    </row>
    <row r="1742" spans="1:4" x14ac:dyDescent="0.25">
      <c r="A1742" s="24">
        <v>307</v>
      </c>
      <c r="B1742" s="24">
        <v>835862</v>
      </c>
      <c r="C1742" s="24" t="s">
        <v>2378</v>
      </c>
      <c r="D1742" s="24">
        <v>1457</v>
      </c>
    </row>
    <row r="1743" spans="1:4" x14ac:dyDescent="0.25">
      <c r="A1743" s="24">
        <v>1345</v>
      </c>
      <c r="B1743" s="24">
        <v>835889</v>
      </c>
      <c r="C1743" s="24" t="s">
        <v>2380</v>
      </c>
      <c r="D1743" s="24">
        <v>1458</v>
      </c>
    </row>
    <row r="1744" spans="1:4" x14ac:dyDescent="0.25">
      <c r="A1744" s="24">
        <v>268</v>
      </c>
      <c r="B1744" s="24">
        <v>830623</v>
      </c>
      <c r="C1744" s="24" t="s">
        <v>2131</v>
      </c>
      <c r="D1744" s="24">
        <v>1459</v>
      </c>
    </row>
    <row r="1745" spans="1:4" x14ac:dyDescent="0.25">
      <c r="A1745" s="24">
        <v>940</v>
      </c>
      <c r="B1745" s="24">
        <v>835897</v>
      </c>
      <c r="C1745" s="24" t="s">
        <v>2381</v>
      </c>
      <c r="D1745" s="24">
        <v>1460</v>
      </c>
    </row>
    <row r="1746" spans="1:4" x14ac:dyDescent="0.25">
      <c r="A1746" s="24">
        <v>1297</v>
      </c>
      <c r="B1746" s="24">
        <v>835901</v>
      </c>
      <c r="C1746" s="24" t="s">
        <v>2382</v>
      </c>
      <c r="D1746" s="24">
        <v>1461</v>
      </c>
    </row>
    <row r="1747" spans="1:4" x14ac:dyDescent="0.25">
      <c r="A1747" s="24">
        <v>1040</v>
      </c>
      <c r="B1747" s="24">
        <v>835919</v>
      </c>
      <c r="C1747" s="24" t="s">
        <v>2383</v>
      </c>
      <c r="D1747" s="24">
        <v>1462</v>
      </c>
    </row>
    <row r="1748" spans="1:4" x14ac:dyDescent="0.25">
      <c r="A1748" s="24">
        <v>117</v>
      </c>
      <c r="B1748" s="24">
        <v>835943</v>
      </c>
      <c r="C1748" s="24" t="s">
        <v>2384</v>
      </c>
      <c r="D1748" s="24">
        <v>1463</v>
      </c>
    </row>
    <row r="1749" spans="1:4" x14ac:dyDescent="0.25">
      <c r="A1749" s="24">
        <v>1059</v>
      </c>
      <c r="B1749" s="24">
        <v>835960</v>
      </c>
      <c r="C1749" s="24" t="s">
        <v>2385</v>
      </c>
      <c r="D1749" s="24">
        <v>1464</v>
      </c>
    </row>
    <row r="1750" spans="1:4" x14ac:dyDescent="0.25">
      <c r="A1750" s="24">
        <v>291</v>
      </c>
      <c r="B1750" s="24">
        <v>836001</v>
      </c>
      <c r="C1750" s="24" t="s">
        <v>2387</v>
      </c>
      <c r="D1750" s="24">
        <v>1465</v>
      </c>
    </row>
    <row r="1751" spans="1:4" x14ac:dyDescent="0.25">
      <c r="A1751" s="24">
        <v>3489</v>
      </c>
      <c r="B1751" s="24">
        <v>835994</v>
      </c>
      <c r="C1751" s="24" t="s">
        <v>2386</v>
      </c>
      <c r="D1751" s="24">
        <v>1465</v>
      </c>
    </row>
    <row r="1752" spans="1:4" x14ac:dyDescent="0.25">
      <c r="A1752" s="24">
        <v>1688</v>
      </c>
      <c r="B1752" s="24">
        <v>836010</v>
      </c>
      <c r="C1752" s="24" t="s">
        <v>2388</v>
      </c>
      <c r="D1752" s="24">
        <v>1466</v>
      </c>
    </row>
    <row r="1753" spans="1:4" x14ac:dyDescent="0.25">
      <c r="A1753" s="24">
        <v>12</v>
      </c>
      <c r="B1753" s="24">
        <v>836036</v>
      </c>
      <c r="C1753" s="24" t="s">
        <v>2390</v>
      </c>
      <c r="D1753" s="24">
        <v>1467</v>
      </c>
    </row>
    <row r="1754" spans="1:4" x14ac:dyDescent="0.25">
      <c r="A1754" s="24">
        <v>2160</v>
      </c>
      <c r="B1754" s="24">
        <v>836028</v>
      </c>
      <c r="C1754" s="24" t="s">
        <v>2389</v>
      </c>
      <c r="D1754" s="24">
        <v>1467</v>
      </c>
    </row>
    <row r="1755" spans="1:4" x14ac:dyDescent="0.25">
      <c r="A1755" s="24">
        <v>866</v>
      </c>
      <c r="B1755" s="24">
        <v>836044</v>
      </c>
      <c r="C1755" s="24" t="s">
        <v>2391</v>
      </c>
      <c r="D1755" s="24">
        <v>1468</v>
      </c>
    </row>
    <row r="1756" spans="1:4" x14ac:dyDescent="0.25">
      <c r="A1756" s="24">
        <v>1261</v>
      </c>
      <c r="B1756" s="24">
        <v>836052</v>
      </c>
      <c r="C1756" s="24" t="s">
        <v>2392</v>
      </c>
      <c r="D1756" s="24">
        <v>1468</v>
      </c>
    </row>
    <row r="1757" spans="1:4" x14ac:dyDescent="0.25">
      <c r="A1757" s="24">
        <v>1044</v>
      </c>
      <c r="B1757" s="24">
        <v>836061</v>
      </c>
      <c r="C1757" s="24" t="s">
        <v>2393</v>
      </c>
      <c r="D1757" s="24">
        <v>1469</v>
      </c>
    </row>
    <row r="1758" spans="1:4" x14ac:dyDescent="0.25">
      <c r="A1758" s="24">
        <v>2202</v>
      </c>
      <c r="B1758" s="24">
        <v>836079</v>
      </c>
      <c r="C1758" s="24" t="s">
        <v>2394</v>
      </c>
      <c r="D1758" s="24">
        <v>1470</v>
      </c>
    </row>
    <row r="1759" spans="1:4" x14ac:dyDescent="0.25">
      <c r="A1759" s="24">
        <v>645</v>
      </c>
      <c r="B1759" s="24">
        <v>836087</v>
      </c>
      <c r="C1759" s="24" t="s">
        <v>2395</v>
      </c>
      <c r="D1759" s="24">
        <v>1471</v>
      </c>
    </row>
    <row r="1760" spans="1:4" x14ac:dyDescent="0.25">
      <c r="A1760" s="24">
        <v>2582</v>
      </c>
      <c r="B1760" s="24">
        <v>836095</v>
      </c>
      <c r="C1760" s="24" t="s">
        <v>2396</v>
      </c>
      <c r="D1760" s="24">
        <v>1472</v>
      </c>
    </row>
    <row r="1761" spans="1:4" x14ac:dyDescent="0.25">
      <c r="A1761" s="24">
        <v>1777</v>
      </c>
      <c r="B1761" s="24">
        <v>836125</v>
      </c>
      <c r="C1761" s="24" t="s">
        <v>2397</v>
      </c>
      <c r="D1761" s="24">
        <v>1473</v>
      </c>
    </row>
    <row r="1762" spans="1:4" x14ac:dyDescent="0.25">
      <c r="A1762" s="24">
        <v>2320</v>
      </c>
      <c r="B1762" s="24">
        <v>836141</v>
      </c>
      <c r="C1762" s="24" t="s">
        <v>2398</v>
      </c>
      <c r="D1762" s="24">
        <v>1474</v>
      </c>
    </row>
    <row r="1763" spans="1:4" x14ac:dyDescent="0.25">
      <c r="A1763" s="24">
        <v>146</v>
      </c>
      <c r="B1763" s="24">
        <v>836168</v>
      </c>
      <c r="C1763" s="24" t="s">
        <v>2399</v>
      </c>
      <c r="D1763" s="24">
        <v>1475</v>
      </c>
    </row>
    <row r="1764" spans="1:4" x14ac:dyDescent="0.25">
      <c r="A1764" s="24">
        <v>988</v>
      </c>
      <c r="B1764" s="24">
        <v>849839</v>
      </c>
      <c r="C1764" s="24" t="s">
        <v>2967</v>
      </c>
      <c r="D1764" s="24">
        <v>1475</v>
      </c>
    </row>
    <row r="1765" spans="1:4" x14ac:dyDescent="0.25">
      <c r="A1765" s="24">
        <v>2349</v>
      </c>
      <c r="B1765" s="24">
        <v>872407</v>
      </c>
      <c r="C1765" s="24" t="s">
        <v>3964</v>
      </c>
      <c r="D1765" s="24">
        <v>1475</v>
      </c>
    </row>
    <row r="1766" spans="1:4" x14ac:dyDescent="0.25">
      <c r="A1766" s="24">
        <v>3376</v>
      </c>
      <c r="B1766" s="24">
        <v>836273</v>
      </c>
      <c r="C1766" s="24" t="s">
        <v>2400</v>
      </c>
      <c r="D1766" s="24">
        <v>1475</v>
      </c>
    </row>
    <row r="1767" spans="1:4" x14ac:dyDescent="0.25">
      <c r="A1767" s="24">
        <v>3327</v>
      </c>
      <c r="B1767" s="24">
        <v>836320</v>
      </c>
      <c r="C1767" s="24" t="s">
        <v>2401</v>
      </c>
      <c r="D1767" s="24">
        <v>1476</v>
      </c>
    </row>
    <row r="1768" spans="1:4" x14ac:dyDescent="0.25">
      <c r="A1768" s="24">
        <v>2769</v>
      </c>
      <c r="B1768" s="24">
        <v>836338</v>
      </c>
      <c r="C1768" s="24" t="s">
        <v>2402</v>
      </c>
      <c r="D1768" s="24">
        <v>1477</v>
      </c>
    </row>
    <row r="1769" spans="1:4" x14ac:dyDescent="0.25">
      <c r="A1769" s="24">
        <v>2213</v>
      </c>
      <c r="B1769" s="24">
        <v>836346</v>
      </c>
      <c r="C1769" s="24" t="s">
        <v>2290</v>
      </c>
      <c r="D1769" s="24">
        <v>1478</v>
      </c>
    </row>
    <row r="1770" spans="1:4" x14ac:dyDescent="0.25">
      <c r="A1770" s="24">
        <v>1846</v>
      </c>
      <c r="B1770" s="24">
        <v>836354</v>
      </c>
      <c r="C1770" s="24" t="s">
        <v>2403</v>
      </c>
      <c r="D1770" s="24">
        <v>1479</v>
      </c>
    </row>
    <row r="1771" spans="1:4" x14ac:dyDescent="0.25">
      <c r="A1771" s="24">
        <v>1278</v>
      </c>
      <c r="B1771" s="24">
        <v>836362</v>
      </c>
      <c r="C1771" s="24" t="s">
        <v>2404</v>
      </c>
      <c r="D1771" s="24">
        <v>1480</v>
      </c>
    </row>
    <row r="1772" spans="1:4" x14ac:dyDescent="0.25">
      <c r="A1772" s="24">
        <v>1678</v>
      </c>
      <c r="B1772" s="24">
        <v>871494</v>
      </c>
      <c r="C1772" s="24" t="s">
        <v>3925</v>
      </c>
      <c r="D1772" s="24">
        <v>1481</v>
      </c>
    </row>
    <row r="1773" spans="1:4" x14ac:dyDescent="0.25">
      <c r="A1773" s="24">
        <v>1582</v>
      </c>
      <c r="B1773" s="24">
        <v>836389</v>
      </c>
      <c r="C1773" s="24" t="s">
        <v>2406</v>
      </c>
      <c r="D1773" s="24">
        <v>1482</v>
      </c>
    </row>
    <row r="1774" spans="1:4" x14ac:dyDescent="0.25">
      <c r="A1774" s="24">
        <v>2157</v>
      </c>
      <c r="B1774" s="24">
        <v>836397</v>
      </c>
      <c r="C1774" s="24" t="s">
        <v>2407</v>
      </c>
      <c r="D1774" s="24">
        <v>1483</v>
      </c>
    </row>
    <row r="1775" spans="1:4" x14ac:dyDescent="0.25">
      <c r="A1775" s="24">
        <v>362</v>
      </c>
      <c r="B1775" s="24">
        <v>836401</v>
      </c>
      <c r="C1775" s="24" t="s">
        <v>2408</v>
      </c>
      <c r="D1775" s="24">
        <v>1484</v>
      </c>
    </row>
    <row r="1776" spans="1:4" x14ac:dyDescent="0.25">
      <c r="A1776" s="24">
        <v>869</v>
      </c>
      <c r="B1776" s="24">
        <v>836427</v>
      </c>
      <c r="C1776" s="24" t="s">
        <v>2409</v>
      </c>
      <c r="D1776" s="24">
        <v>1485</v>
      </c>
    </row>
    <row r="1777" spans="1:4" x14ac:dyDescent="0.25">
      <c r="A1777" s="24">
        <v>1534</v>
      </c>
      <c r="B1777" s="24">
        <v>836435</v>
      </c>
      <c r="C1777" s="24" t="s">
        <v>2410</v>
      </c>
      <c r="D1777" s="24">
        <v>1486</v>
      </c>
    </row>
    <row r="1778" spans="1:4" x14ac:dyDescent="0.25">
      <c r="A1778" s="24">
        <v>2542</v>
      </c>
      <c r="B1778" s="24">
        <v>836443</v>
      </c>
      <c r="C1778" s="24" t="s">
        <v>2411</v>
      </c>
      <c r="D1778" s="24">
        <v>1486</v>
      </c>
    </row>
    <row r="1779" spans="1:4" x14ac:dyDescent="0.25">
      <c r="A1779" s="24">
        <v>1779</v>
      </c>
      <c r="B1779" s="24">
        <v>836451</v>
      </c>
      <c r="C1779" s="24" t="s">
        <v>2412</v>
      </c>
      <c r="D1779" s="24">
        <v>1487</v>
      </c>
    </row>
    <row r="1780" spans="1:4" x14ac:dyDescent="0.25">
      <c r="A1780" s="24">
        <v>3442</v>
      </c>
      <c r="B1780" s="24">
        <v>836478</v>
      </c>
      <c r="C1780" s="24" t="s">
        <v>2413</v>
      </c>
      <c r="D1780" s="24">
        <v>1488</v>
      </c>
    </row>
    <row r="1781" spans="1:4" x14ac:dyDescent="0.25">
      <c r="A1781" s="24">
        <v>872</v>
      </c>
      <c r="B1781" s="24">
        <v>836486</v>
      </c>
      <c r="C1781" s="24" t="s">
        <v>2414</v>
      </c>
      <c r="D1781" s="24">
        <v>1489</v>
      </c>
    </row>
    <row r="1782" spans="1:4" x14ac:dyDescent="0.25">
      <c r="A1782" s="24">
        <v>927</v>
      </c>
      <c r="B1782" s="24">
        <v>836516</v>
      </c>
      <c r="C1782" s="24" t="s">
        <v>2417</v>
      </c>
      <c r="D1782" s="24">
        <v>1490</v>
      </c>
    </row>
    <row r="1783" spans="1:4" x14ac:dyDescent="0.25">
      <c r="A1783" s="24">
        <v>1840</v>
      </c>
      <c r="B1783" s="24">
        <v>836508</v>
      </c>
      <c r="C1783" s="24" t="s">
        <v>2416</v>
      </c>
      <c r="D1783" s="24">
        <v>1491</v>
      </c>
    </row>
    <row r="1784" spans="1:4" x14ac:dyDescent="0.25">
      <c r="A1784" s="24">
        <v>1106</v>
      </c>
      <c r="B1784" s="24">
        <v>836524</v>
      </c>
      <c r="C1784" s="24" t="s">
        <v>2418</v>
      </c>
      <c r="D1784" s="24">
        <v>1492</v>
      </c>
    </row>
    <row r="1785" spans="1:4" x14ac:dyDescent="0.25">
      <c r="A1785" s="24">
        <v>2936</v>
      </c>
      <c r="B1785" s="24">
        <v>836567</v>
      </c>
      <c r="C1785" s="24" t="s">
        <v>2419</v>
      </c>
      <c r="D1785" s="24">
        <v>1493</v>
      </c>
    </row>
    <row r="1786" spans="1:4" x14ac:dyDescent="0.25">
      <c r="A1786" s="24">
        <v>1181</v>
      </c>
      <c r="B1786" s="24">
        <v>836591</v>
      </c>
      <c r="C1786" s="24" t="s">
        <v>2421</v>
      </c>
      <c r="D1786" s="24">
        <v>1494</v>
      </c>
    </row>
    <row r="1787" spans="1:4" x14ac:dyDescent="0.25">
      <c r="A1787" s="24">
        <v>948</v>
      </c>
      <c r="B1787" s="24">
        <v>836605</v>
      </c>
      <c r="C1787" s="24" t="s">
        <v>2422</v>
      </c>
      <c r="D1787" s="24">
        <v>1495</v>
      </c>
    </row>
    <row r="1788" spans="1:4" x14ac:dyDescent="0.25">
      <c r="A1788" s="24">
        <v>1758</v>
      </c>
      <c r="B1788" s="24">
        <v>836613</v>
      </c>
      <c r="C1788" s="24" t="s">
        <v>2423</v>
      </c>
      <c r="D1788" s="24">
        <v>1496</v>
      </c>
    </row>
    <row r="1789" spans="1:4" x14ac:dyDescent="0.25">
      <c r="A1789" s="24">
        <v>930</v>
      </c>
      <c r="B1789" s="24">
        <v>836621</v>
      </c>
      <c r="C1789" s="24" t="s">
        <v>2424</v>
      </c>
      <c r="D1789" s="24">
        <v>1497</v>
      </c>
    </row>
    <row r="1790" spans="1:4" x14ac:dyDescent="0.25">
      <c r="A1790" s="24">
        <v>1685</v>
      </c>
      <c r="B1790" s="24">
        <v>836630</v>
      </c>
      <c r="C1790" s="24" t="s">
        <v>2425</v>
      </c>
      <c r="D1790" s="24">
        <v>1497</v>
      </c>
    </row>
    <row r="1791" spans="1:4" x14ac:dyDescent="0.25">
      <c r="A1791" s="24">
        <v>2873</v>
      </c>
      <c r="B1791" s="24">
        <v>803723</v>
      </c>
      <c r="C1791" s="24" t="s">
        <v>916</v>
      </c>
      <c r="D1791" s="24">
        <v>1497</v>
      </c>
    </row>
    <row r="1792" spans="1:4" x14ac:dyDescent="0.25">
      <c r="A1792" s="24">
        <v>692</v>
      </c>
      <c r="B1792" s="24">
        <v>873063</v>
      </c>
      <c r="C1792" s="24" t="s">
        <v>3994</v>
      </c>
      <c r="D1792" s="24">
        <v>1498</v>
      </c>
    </row>
    <row r="1793" spans="1:4" x14ac:dyDescent="0.25">
      <c r="A1793" s="24">
        <v>3483</v>
      </c>
      <c r="B1793" s="24">
        <v>836664</v>
      </c>
      <c r="C1793" s="24" t="s">
        <v>2426</v>
      </c>
      <c r="D1793" s="24">
        <v>1498</v>
      </c>
    </row>
    <row r="1794" spans="1:4" x14ac:dyDescent="0.25">
      <c r="A1794" s="24">
        <v>2588</v>
      </c>
      <c r="B1794" s="24">
        <v>836672</v>
      </c>
      <c r="C1794" s="24" t="s">
        <v>2427</v>
      </c>
      <c r="D1794" s="24">
        <v>1499</v>
      </c>
    </row>
    <row r="1795" spans="1:4" x14ac:dyDescent="0.25">
      <c r="A1795" s="24">
        <v>2074</v>
      </c>
      <c r="B1795" s="24">
        <v>836681</v>
      </c>
      <c r="C1795" s="24" t="s">
        <v>2428</v>
      </c>
      <c r="D1795" s="24">
        <v>1500</v>
      </c>
    </row>
    <row r="1796" spans="1:4" x14ac:dyDescent="0.25">
      <c r="A1796" s="24">
        <v>3414</v>
      </c>
      <c r="B1796" s="24">
        <v>836702</v>
      </c>
      <c r="C1796" s="24" t="s">
        <v>2429</v>
      </c>
      <c r="D1796" s="24">
        <v>1501</v>
      </c>
    </row>
    <row r="1797" spans="1:4" x14ac:dyDescent="0.25">
      <c r="A1797" s="24">
        <v>2494</v>
      </c>
      <c r="B1797" s="24">
        <v>836729</v>
      </c>
      <c r="C1797" s="24" t="s">
        <v>2431</v>
      </c>
      <c r="D1797" s="24">
        <v>1502</v>
      </c>
    </row>
    <row r="1798" spans="1:4" x14ac:dyDescent="0.25">
      <c r="A1798" s="24">
        <v>2309</v>
      </c>
      <c r="B1798" s="24">
        <v>836737</v>
      </c>
      <c r="C1798" s="24" t="s">
        <v>2432</v>
      </c>
      <c r="D1798" s="24">
        <v>1503</v>
      </c>
    </row>
    <row r="1799" spans="1:4" x14ac:dyDescent="0.25">
      <c r="A1799" s="24">
        <v>3411</v>
      </c>
      <c r="B1799" s="24">
        <v>836753</v>
      </c>
      <c r="C1799" s="24" t="s">
        <v>2433</v>
      </c>
      <c r="D1799" s="24">
        <v>1504</v>
      </c>
    </row>
    <row r="1800" spans="1:4" x14ac:dyDescent="0.25">
      <c r="A1800" s="24">
        <v>3559</v>
      </c>
      <c r="B1800" s="24">
        <v>836761</v>
      </c>
      <c r="C1800" s="24" t="s">
        <v>2434</v>
      </c>
      <c r="D1800" s="24">
        <v>1505</v>
      </c>
    </row>
    <row r="1801" spans="1:4" x14ac:dyDescent="0.25">
      <c r="A1801" s="24">
        <v>2238</v>
      </c>
      <c r="B1801" s="24">
        <v>836770</v>
      </c>
      <c r="C1801" s="24" t="s">
        <v>2435</v>
      </c>
      <c r="D1801" s="24">
        <v>1506</v>
      </c>
    </row>
    <row r="1802" spans="1:4" x14ac:dyDescent="0.25">
      <c r="A1802" s="24">
        <v>3448</v>
      </c>
      <c r="B1802" s="24">
        <v>836788</v>
      </c>
      <c r="C1802" s="24" t="s">
        <v>2436</v>
      </c>
      <c r="D1802" s="24">
        <v>1507</v>
      </c>
    </row>
    <row r="1803" spans="1:4" x14ac:dyDescent="0.25">
      <c r="A1803" s="24">
        <v>2536</v>
      </c>
      <c r="B1803" s="24">
        <v>836796</v>
      </c>
      <c r="C1803" s="24" t="s">
        <v>2437</v>
      </c>
      <c r="D1803" s="24">
        <v>1508</v>
      </c>
    </row>
    <row r="1804" spans="1:4" x14ac:dyDescent="0.25">
      <c r="A1804" s="24">
        <v>963</v>
      </c>
      <c r="B1804" s="24">
        <v>836800</v>
      </c>
      <c r="C1804" s="24" t="s">
        <v>2438</v>
      </c>
      <c r="D1804" s="24">
        <v>1509</v>
      </c>
    </row>
    <row r="1805" spans="1:4" x14ac:dyDescent="0.25">
      <c r="A1805" s="24">
        <v>3236</v>
      </c>
      <c r="B1805" s="24">
        <v>836826</v>
      </c>
      <c r="C1805" s="24" t="s">
        <v>2439</v>
      </c>
      <c r="D1805" s="24">
        <v>1510</v>
      </c>
    </row>
    <row r="1806" spans="1:4" x14ac:dyDescent="0.25">
      <c r="A1806" s="24">
        <v>2067</v>
      </c>
      <c r="B1806" s="24">
        <v>836834</v>
      </c>
      <c r="C1806" s="24" t="s">
        <v>2440</v>
      </c>
      <c r="D1806" s="24">
        <v>1511</v>
      </c>
    </row>
    <row r="1807" spans="1:4" x14ac:dyDescent="0.25">
      <c r="A1807" s="24">
        <v>1086</v>
      </c>
      <c r="B1807" s="24">
        <v>836842</v>
      </c>
      <c r="C1807" s="24" t="s">
        <v>2441</v>
      </c>
      <c r="D1807" s="24">
        <v>1512</v>
      </c>
    </row>
    <row r="1808" spans="1:4" x14ac:dyDescent="0.25">
      <c r="A1808" s="24">
        <v>1791</v>
      </c>
      <c r="B1808" s="24">
        <v>836877</v>
      </c>
      <c r="C1808" s="24" t="s">
        <v>2442</v>
      </c>
      <c r="D1808" s="24">
        <v>1513</v>
      </c>
    </row>
    <row r="1809" spans="1:4" x14ac:dyDescent="0.25">
      <c r="A1809" s="24">
        <v>1218</v>
      </c>
      <c r="B1809" s="24">
        <v>836893</v>
      </c>
      <c r="C1809" s="24" t="s">
        <v>2443</v>
      </c>
      <c r="D1809" s="24">
        <v>1514</v>
      </c>
    </row>
    <row r="1810" spans="1:4" x14ac:dyDescent="0.25">
      <c r="A1810" s="24">
        <v>1066</v>
      </c>
      <c r="B1810" s="24">
        <v>836907</v>
      </c>
      <c r="C1810" s="24" t="s">
        <v>2444</v>
      </c>
      <c r="D1810" s="24">
        <v>1515</v>
      </c>
    </row>
    <row r="1811" spans="1:4" x14ac:dyDescent="0.25">
      <c r="A1811" s="24">
        <v>697</v>
      </c>
      <c r="B1811" s="24">
        <v>836915</v>
      </c>
      <c r="C1811" s="24" t="s">
        <v>2445</v>
      </c>
      <c r="D1811" s="24">
        <v>1516</v>
      </c>
    </row>
    <row r="1812" spans="1:4" x14ac:dyDescent="0.25">
      <c r="A1812" s="24">
        <v>733</v>
      </c>
      <c r="B1812" s="24">
        <v>837431</v>
      </c>
      <c r="C1812" s="24" t="s">
        <v>2449</v>
      </c>
      <c r="D1812" s="24">
        <v>1516</v>
      </c>
    </row>
    <row r="1813" spans="1:4" x14ac:dyDescent="0.25">
      <c r="A1813" s="24">
        <v>2998</v>
      </c>
      <c r="B1813" s="24">
        <v>837075</v>
      </c>
      <c r="C1813" s="24" t="s">
        <v>2446</v>
      </c>
      <c r="D1813" s="24">
        <v>1516</v>
      </c>
    </row>
    <row r="1814" spans="1:4" x14ac:dyDescent="0.25">
      <c r="A1814" s="24">
        <v>2606</v>
      </c>
      <c r="B1814" s="24">
        <v>837318</v>
      </c>
      <c r="C1814" s="24" t="s">
        <v>2448</v>
      </c>
      <c r="D1814" s="24">
        <v>1516</v>
      </c>
    </row>
    <row r="1815" spans="1:4" x14ac:dyDescent="0.25">
      <c r="A1815" s="24">
        <v>2857</v>
      </c>
      <c r="B1815" s="24">
        <v>837156</v>
      </c>
      <c r="C1815" s="24" t="s">
        <v>2447</v>
      </c>
      <c r="D1815" s="24">
        <v>1516</v>
      </c>
    </row>
    <row r="1816" spans="1:4" x14ac:dyDescent="0.25">
      <c r="A1816" s="24">
        <v>473</v>
      </c>
      <c r="B1816" s="24">
        <v>837504</v>
      </c>
      <c r="C1816" s="24" t="s">
        <v>2450</v>
      </c>
      <c r="D1816" s="24">
        <v>1517</v>
      </c>
    </row>
    <row r="1817" spans="1:4" x14ac:dyDescent="0.25">
      <c r="A1817" s="24">
        <v>1705</v>
      </c>
      <c r="B1817" s="24">
        <v>837512</v>
      </c>
      <c r="C1817" s="24" t="s">
        <v>2451</v>
      </c>
      <c r="D1817" s="24">
        <v>1518</v>
      </c>
    </row>
    <row r="1818" spans="1:4" x14ac:dyDescent="0.25">
      <c r="A1818" s="24">
        <v>2091</v>
      </c>
      <c r="B1818" s="24">
        <v>837521</v>
      </c>
      <c r="C1818" s="24" t="s">
        <v>2452</v>
      </c>
      <c r="D1818" s="24">
        <v>1519</v>
      </c>
    </row>
    <row r="1819" spans="1:4" x14ac:dyDescent="0.25">
      <c r="A1819" s="24">
        <v>813</v>
      </c>
      <c r="B1819" s="24">
        <v>837539</v>
      </c>
      <c r="C1819" s="24" t="s">
        <v>2453</v>
      </c>
      <c r="D1819" s="24">
        <v>1520</v>
      </c>
    </row>
    <row r="1820" spans="1:4" x14ac:dyDescent="0.25">
      <c r="A1820" s="24">
        <v>3526</v>
      </c>
      <c r="B1820" s="24">
        <v>833797</v>
      </c>
      <c r="C1820" s="24" t="s">
        <v>2285</v>
      </c>
      <c r="D1820" s="24">
        <v>1521</v>
      </c>
    </row>
    <row r="1821" spans="1:4" x14ac:dyDescent="0.25">
      <c r="A1821" s="24">
        <v>1369</v>
      </c>
      <c r="B1821" s="24">
        <v>819107</v>
      </c>
      <c r="C1821" s="24" t="s">
        <v>1583</v>
      </c>
      <c r="D1821" s="24">
        <v>1522</v>
      </c>
    </row>
    <row r="1822" spans="1:4" x14ac:dyDescent="0.25">
      <c r="A1822" s="24">
        <v>1504</v>
      </c>
      <c r="B1822" s="24">
        <v>837628</v>
      </c>
      <c r="C1822" s="24" t="s">
        <v>2457</v>
      </c>
      <c r="D1822" s="24">
        <v>1523</v>
      </c>
    </row>
    <row r="1823" spans="1:4" x14ac:dyDescent="0.25">
      <c r="A1823" s="24">
        <v>2738</v>
      </c>
      <c r="B1823" s="24">
        <v>837636</v>
      </c>
      <c r="C1823" s="24" t="s">
        <v>2458</v>
      </c>
      <c r="D1823" s="24">
        <v>1524</v>
      </c>
    </row>
    <row r="1824" spans="1:4" x14ac:dyDescent="0.25">
      <c r="A1824" s="24">
        <v>407</v>
      </c>
      <c r="B1824" s="24">
        <v>837644</v>
      </c>
      <c r="C1824" s="24" t="s">
        <v>2459</v>
      </c>
      <c r="D1824" s="24">
        <v>1525</v>
      </c>
    </row>
    <row r="1825" spans="1:4" x14ac:dyDescent="0.25">
      <c r="A1825" s="24">
        <v>54</v>
      </c>
      <c r="B1825" s="24">
        <v>837661</v>
      </c>
      <c r="C1825" s="24" t="s">
        <v>2460</v>
      </c>
      <c r="D1825" s="24">
        <v>1526</v>
      </c>
    </row>
    <row r="1826" spans="1:4" x14ac:dyDescent="0.25">
      <c r="A1826" s="24">
        <v>1210</v>
      </c>
      <c r="B1826" s="24">
        <v>837687</v>
      </c>
      <c r="C1826" s="24" t="s">
        <v>2461</v>
      </c>
      <c r="D1826" s="24">
        <v>1527</v>
      </c>
    </row>
    <row r="1827" spans="1:4" x14ac:dyDescent="0.25">
      <c r="A1827" s="24">
        <v>2602</v>
      </c>
      <c r="B1827" s="24">
        <v>837695</v>
      </c>
      <c r="C1827" s="24" t="s">
        <v>2462</v>
      </c>
      <c r="D1827" s="24">
        <v>1528</v>
      </c>
    </row>
    <row r="1828" spans="1:4" x14ac:dyDescent="0.25">
      <c r="A1828" s="24">
        <v>910</v>
      </c>
      <c r="B1828" s="24">
        <v>837741</v>
      </c>
      <c r="C1828" s="24" t="s">
        <v>2466</v>
      </c>
      <c r="D1828" s="24">
        <v>1529</v>
      </c>
    </row>
    <row r="1829" spans="1:4" x14ac:dyDescent="0.25">
      <c r="A1829" s="24">
        <v>1888</v>
      </c>
      <c r="B1829" s="24">
        <v>837750</v>
      </c>
      <c r="C1829" s="24" t="s">
        <v>2467</v>
      </c>
      <c r="D1829" s="24">
        <v>1530</v>
      </c>
    </row>
    <row r="1830" spans="1:4" x14ac:dyDescent="0.25">
      <c r="A1830" s="24">
        <v>2895</v>
      </c>
      <c r="B1830" s="24">
        <v>837784</v>
      </c>
      <c r="C1830" s="24" t="s">
        <v>2468</v>
      </c>
      <c r="D1830" s="24">
        <v>1531</v>
      </c>
    </row>
    <row r="1831" spans="1:4" x14ac:dyDescent="0.25">
      <c r="A1831" s="24">
        <v>2604</v>
      </c>
      <c r="B1831" s="24">
        <v>837814</v>
      </c>
      <c r="C1831" s="24" t="s">
        <v>2469</v>
      </c>
      <c r="D1831" s="24">
        <v>1532</v>
      </c>
    </row>
    <row r="1832" spans="1:4" x14ac:dyDescent="0.25">
      <c r="A1832" s="24">
        <v>2161</v>
      </c>
      <c r="B1832" s="24">
        <v>837873</v>
      </c>
      <c r="C1832" s="24" t="s">
        <v>2470</v>
      </c>
      <c r="D1832" s="24">
        <v>1533</v>
      </c>
    </row>
    <row r="1833" spans="1:4" x14ac:dyDescent="0.25">
      <c r="A1833" s="24">
        <v>3506</v>
      </c>
      <c r="B1833" s="24">
        <v>837890</v>
      </c>
      <c r="C1833" s="24" t="s">
        <v>2471</v>
      </c>
      <c r="D1833" s="24">
        <v>1534</v>
      </c>
    </row>
    <row r="1834" spans="1:4" x14ac:dyDescent="0.25">
      <c r="A1834" s="24">
        <v>507</v>
      </c>
      <c r="B1834" s="24">
        <v>837920</v>
      </c>
      <c r="C1834" s="24" t="s">
        <v>2472</v>
      </c>
      <c r="D1834" s="24">
        <v>1535</v>
      </c>
    </row>
    <row r="1835" spans="1:4" x14ac:dyDescent="0.25">
      <c r="A1835" s="24">
        <v>2972</v>
      </c>
      <c r="B1835" s="24">
        <v>837938</v>
      </c>
      <c r="C1835" s="24" t="s">
        <v>2473</v>
      </c>
      <c r="D1835" s="24">
        <v>1535</v>
      </c>
    </row>
    <row r="1836" spans="1:4" x14ac:dyDescent="0.25">
      <c r="A1836" s="24">
        <v>539</v>
      </c>
      <c r="B1836" s="24">
        <v>837954</v>
      </c>
      <c r="C1836" s="24" t="s">
        <v>2474</v>
      </c>
      <c r="D1836" s="24">
        <v>1536</v>
      </c>
    </row>
    <row r="1837" spans="1:4" x14ac:dyDescent="0.25">
      <c r="A1837" s="24">
        <v>300</v>
      </c>
      <c r="B1837" s="24">
        <v>855936</v>
      </c>
      <c r="C1837" s="24" t="s">
        <v>3217</v>
      </c>
      <c r="D1837" s="24">
        <v>1537</v>
      </c>
    </row>
    <row r="1838" spans="1:4" x14ac:dyDescent="0.25">
      <c r="A1838" s="24">
        <v>1349</v>
      </c>
      <c r="B1838" s="24">
        <v>837989</v>
      </c>
      <c r="C1838" s="24" t="s">
        <v>2475</v>
      </c>
      <c r="D1838" s="24">
        <v>1538</v>
      </c>
    </row>
    <row r="1839" spans="1:4" x14ac:dyDescent="0.25">
      <c r="A1839" s="24">
        <v>410</v>
      </c>
      <c r="B1839" s="24">
        <v>838039</v>
      </c>
      <c r="C1839" s="24" t="s">
        <v>2477</v>
      </c>
      <c r="D1839" s="24">
        <v>1539</v>
      </c>
    </row>
    <row r="1840" spans="1:4" x14ac:dyDescent="0.25">
      <c r="A1840" s="24">
        <v>3493</v>
      </c>
      <c r="B1840" s="24">
        <v>838063</v>
      </c>
      <c r="C1840" s="24" t="s">
        <v>2478</v>
      </c>
      <c r="D1840" s="24">
        <v>1540</v>
      </c>
    </row>
    <row r="1841" spans="1:4" x14ac:dyDescent="0.25">
      <c r="A1841" s="24">
        <v>277</v>
      </c>
      <c r="B1841" s="24">
        <v>838080</v>
      </c>
      <c r="C1841" s="24" t="s">
        <v>2480</v>
      </c>
      <c r="D1841" s="24">
        <v>1541</v>
      </c>
    </row>
    <row r="1842" spans="1:4" x14ac:dyDescent="0.25">
      <c r="A1842" s="24">
        <v>1439</v>
      </c>
      <c r="B1842" s="24">
        <v>838098</v>
      </c>
      <c r="C1842" s="24" t="s">
        <v>2481</v>
      </c>
      <c r="D1842" s="24">
        <v>1542</v>
      </c>
    </row>
    <row r="1843" spans="1:4" x14ac:dyDescent="0.25">
      <c r="A1843" s="24">
        <v>326</v>
      </c>
      <c r="B1843" s="24">
        <v>838101</v>
      </c>
      <c r="C1843" s="24" t="s">
        <v>2482</v>
      </c>
      <c r="D1843" s="24">
        <v>1543</v>
      </c>
    </row>
    <row r="1844" spans="1:4" x14ac:dyDescent="0.25">
      <c r="A1844" s="24">
        <v>3556</v>
      </c>
      <c r="B1844" s="24">
        <v>838128</v>
      </c>
      <c r="C1844" s="24" t="s">
        <v>2483</v>
      </c>
      <c r="D1844" s="24">
        <v>1544</v>
      </c>
    </row>
    <row r="1845" spans="1:4" x14ac:dyDescent="0.25">
      <c r="A1845" s="24">
        <v>1591</v>
      </c>
      <c r="B1845" s="24">
        <v>838179</v>
      </c>
      <c r="C1845" s="24" t="s">
        <v>2486</v>
      </c>
      <c r="D1845" s="24">
        <v>1545</v>
      </c>
    </row>
    <row r="1846" spans="1:4" x14ac:dyDescent="0.25">
      <c r="A1846" s="24">
        <v>3088</v>
      </c>
      <c r="B1846" s="24">
        <v>838187</v>
      </c>
      <c r="C1846" s="24" t="s">
        <v>2487</v>
      </c>
      <c r="D1846" s="24">
        <v>1546</v>
      </c>
    </row>
    <row r="1847" spans="1:4" x14ac:dyDescent="0.25">
      <c r="A1847" s="24">
        <v>1266</v>
      </c>
      <c r="B1847" s="24">
        <v>838217</v>
      </c>
      <c r="C1847" s="24" t="s">
        <v>2489</v>
      </c>
      <c r="D1847" s="24">
        <v>1547</v>
      </c>
    </row>
    <row r="1848" spans="1:4" x14ac:dyDescent="0.25">
      <c r="A1848" s="24">
        <v>271</v>
      </c>
      <c r="B1848" s="24">
        <v>838225</v>
      </c>
      <c r="C1848" s="24" t="s">
        <v>2490</v>
      </c>
      <c r="D1848" s="24">
        <v>1548</v>
      </c>
    </row>
    <row r="1849" spans="1:4" x14ac:dyDescent="0.25">
      <c r="A1849" s="24">
        <v>1243</v>
      </c>
      <c r="B1849" s="24">
        <v>838233</v>
      </c>
      <c r="C1849" s="24" t="s">
        <v>2491</v>
      </c>
      <c r="D1849" s="24">
        <v>1549</v>
      </c>
    </row>
    <row r="1850" spans="1:4" x14ac:dyDescent="0.25">
      <c r="A1850" s="24">
        <v>186</v>
      </c>
      <c r="B1850" s="24">
        <v>838268</v>
      </c>
      <c r="C1850" s="24" t="s">
        <v>2494</v>
      </c>
      <c r="D1850" s="24">
        <v>1550</v>
      </c>
    </row>
    <row r="1851" spans="1:4" x14ac:dyDescent="0.25">
      <c r="A1851" s="24">
        <v>2249</v>
      </c>
      <c r="B1851" s="24">
        <v>838276</v>
      </c>
      <c r="C1851" s="24" t="s">
        <v>2495</v>
      </c>
      <c r="D1851" s="24">
        <v>1551</v>
      </c>
    </row>
    <row r="1852" spans="1:4" x14ac:dyDescent="0.25">
      <c r="A1852" s="24">
        <v>3164</v>
      </c>
      <c r="B1852" s="24">
        <v>838284</v>
      </c>
      <c r="C1852" s="24" t="s">
        <v>2496</v>
      </c>
      <c r="D1852" s="24">
        <v>1552</v>
      </c>
    </row>
    <row r="1853" spans="1:4" x14ac:dyDescent="0.25">
      <c r="A1853" s="24">
        <v>621</v>
      </c>
      <c r="B1853" s="24">
        <v>807281</v>
      </c>
      <c r="C1853" s="24" t="s">
        <v>1002</v>
      </c>
      <c r="D1853" s="24">
        <v>1553</v>
      </c>
    </row>
    <row r="1854" spans="1:4" x14ac:dyDescent="0.25">
      <c r="A1854" s="24">
        <v>1034</v>
      </c>
      <c r="B1854" s="24">
        <v>838322</v>
      </c>
      <c r="C1854" s="24" t="s">
        <v>2498</v>
      </c>
      <c r="D1854" s="24">
        <v>1553</v>
      </c>
    </row>
    <row r="1855" spans="1:4" x14ac:dyDescent="0.25">
      <c r="A1855" s="24">
        <v>325</v>
      </c>
      <c r="B1855" s="24">
        <v>838411</v>
      </c>
      <c r="C1855" s="24" t="s">
        <v>2499</v>
      </c>
      <c r="D1855" s="24">
        <v>1554</v>
      </c>
    </row>
    <row r="1856" spans="1:4" x14ac:dyDescent="0.25">
      <c r="A1856" s="24">
        <v>1419</v>
      </c>
      <c r="B1856" s="24">
        <v>838420</v>
      </c>
      <c r="C1856" s="24" t="s">
        <v>2500</v>
      </c>
      <c r="D1856" s="24">
        <v>1555</v>
      </c>
    </row>
    <row r="1857" spans="1:4" x14ac:dyDescent="0.25">
      <c r="A1857" s="24">
        <v>3112</v>
      </c>
      <c r="B1857" s="24">
        <v>838454</v>
      </c>
      <c r="C1857" s="24" t="s">
        <v>2501</v>
      </c>
      <c r="D1857" s="24">
        <v>1556</v>
      </c>
    </row>
    <row r="1858" spans="1:4" x14ac:dyDescent="0.25">
      <c r="A1858" s="24">
        <v>648</v>
      </c>
      <c r="B1858" s="24">
        <v>838489</v>
      </c>
      <c r="C1858" s="24" t="s">
        <v>2502</v>
      </c>
      <c r="D1858" s="24">
        <v>1557</v>
      </c>
    </row>
    <row r="1859" spans="1:4" x14ac:dyDescent="0.25">
      <c r="A1859" s="24">
        <v>1269</v>
      </c>
      <c r="B1859" s="24">
        <v>838519</v>
      </c>
      <c r="C1859" s="24" t="s">
        <v>2504</v>
      </c>
      <c r="D1859" s="24">
        <v>1558</v>
      </c>
    </row>
    <row r="1860" spans="1:4" x14ac:dyDescent="0.25">
      <c r="A1860" s="24">
        <v>1354</v>
      </c>
      <c r="B1860" s="24">
        <v>838527</v>
      </c>
      <c r="C1860" s="24" t="s">
        <v>2505</v>
      </c>
      <c r="D1860" s="24">
        <v>1558</v>
      </c>
    </row>
    <row r="1861" spans="1:4" x14ac:dyDescent="0.25">
      <c r="A1861" s="24">
        <v>2601</v>
      </c>
      <c r="B1861" s="24">
        <v>838551</v>
      </c>
      <c r="C1861" s="24" t="s">
        <v>2508</v>
      </c>
      <c r="D1861" s="24">
        <v>1559</v>
      </c>
    </row>
    <row r="1862" spans="1:4" x14ac:dyDescent="0.25">
      <c r="A1862" s="24">
        <v>1851</v>
      </c>
      <c r="B1862" s="24">
        <v>838543</v>
      </c>
      <c r="C1862" s="24" t="s">
        <v>2507</v>
      </c>
      <c r="D1862" s="24">
        <v>1559</v>
      </c>
    </row>
    <row r="1863" spans="1:4" x14ac:dyDescent="0.25">
      <c r="A1863" s="24">
        <v>2177</v>
      </c>
      <c r="B1863" s="24">
        <v>838560</v>
      </c>
      <c r="C1863" s="24" t="s">
        <v>2509</v>
      </c>
      <c r="D1863" s="24">
        <v>1560</v>
      </c>
    </row>
    <row r="1864" spans="1:4" x14ac:dyDescent="0.25">
      <c r="A1864" s="24">
        <v>375</v>
      </c>
      <c r="B1864" s="24">
        <v>838578</v>
      </c>
      <c r="C1864" s="24" t="s">
        <v>2510</v>
      </c>
      <c r="D1864" s="24">
        <v>1561</v>
      </c>
    </row>
    <row r="1865" spans="1:4" x14ac:dyDescent="0.25">
      <c r="A1865" s="24">
        <v>459</v>
      </c>
      <c r="B1865" s="24">
        <v>838586</v>
      </c>
      <c r="C1865" s="24" t="s">
        <v>2511</v>
      </c>
      <c r="D1865" s="24">
        <v>1562</v>
      </c>
    </row>
    <row r="1866" spans="1:4" x14ac:dyDescent="0.25">
      <c r="A1866" s="24">
        <v>1539</v>
      </c>
      <c r="B1866" s="24">
        <v>838594</v>
      </c>
      <c r="C1866" s="24" t="s">
        <v>2512</v>
      </c>
      <c r="D1866" s="24">
        <v>1563</v>
      </c>
    </row>
    <row r="1867" spans="1:4" x14ac:dyDescent="0.25">
      <c r="A1867" s="24">
        <v>2150</v>
      </c>
      <c r="B1867" s="24">
        <v>845957</v>
      </c>
      <c r="C1867" s="24" t="s">
        <v>2816</v>
      </c>
      <c r="D1867" s="24">
        <v>1564</v>
      </c>
    </row>
    <row r="1868" spans="1:4" x14ac:dyDescent="0.25">
      <c r="A1868" s="24">
        <v>2142</v>
      </c>
      <c r="B1868" s="24">
        <v>838608</v>
      </c>
      <c r="C1868" s="24" t="s">
        <v>2513</v>
      </c>
      <c r="D1868" s="24">
        <v>1564</v>
      </c>
    </row>
    <row r="1869" spans="1:4" x14ac:dyDescent="0.25">
      <c r="A1869" s="24">
        <v>3384</v>
      </c>
      <c r="B1869" s="24">
        <v>838616</v>
      </c>
      <c r="C1869" s="24" t="s">
        <v>2514</v>
      </c>
      <c r="D1869" s="24">
        <v>1564</v>
      </c>
    </row>
    <row r="1870" spans="1:4" x14ac:dyDescent="0.25">
      <c r="A1870" s="24">
        <v>1748</v>
      </c>
      <c r="B1870" s="24">
        <v>838659</v>
      </c>
      <c r="C1870" s="24" t="s">
        <v>2515</v>
      </c>
      <c r="D1870" s="24">
        <v>1565</v>
      </c>
    </row>
    <row r="1871" spans="1:4" x14ac:dyDescent="0.25">
      <c r="A1871" s="24">
        <v>3360</v>
      </c>
      <c r="B1871" s="24">
        <v>838306</v>
      </c>
      <c r="C1871" s="24" t="s">
        <v>2497</v>
      </c>
      <c r="D1871" s="24">
        <v>1566</v>
      </c>
    </row>
    <row r="1872" spans="1:4" x14ac:dyDescent="0.25">
      <c r="A1872" s="24">
        <v>2442</v>
      </c>
      <c r="B1872" s="24">
        <v>838683</v>
      </c>
      <c r="C1872" s="24" t="s">
        <v>2516</v>
      </c>
      <c r="D1872" s="24">
        <v>1567</v>
      </c>
    </row>
    <row r="1873" spans="1:4" x14ac:dyDescent="0.25">
      <c r="A1873" s="24">
        <v>1050</v>
      </c>
      <c r="B1873" s="24">
        <v>838691</v>
      </c>
      <c r="C1873" s="24" t="s">
        <v>2517</v>
      </c>
      <c r="D1873" s="24">
        <v>1568</v>
      </c>
    </row>
    <row r="1874" spans="1:4" x14ac:dyDescent="0.25">
      <c r="A1874" s="24">
        <v>3541</v>
      </c>
      <c r="B1874" s="24">
        <v>838721</v>
      </c>
      <c r="C1874" s="24" t="s">
        <v>2518</v>
      </c>
      <c r="D1874" s="24">
        <v>1569</v>
      </c>
    </row>
    <row r="1875" spans="1:4" x14ac:dyDescent="0.25">
      <c r="A1875" s="24">
        <v>1342</v>
      </c>
      <c r="B1875" s="24">
        <v>838730</v>
      </c>
      <c r="C1875" s="24" t="s">
        <v>2519</v>
      </c>
      <c r="D1875" s="24">
        <v>1570</v>
      </c>
    </row>
    <row r="1876" spans="1:4" x14ac:dyDescent="0.25">
      <c r="A1876" s="24">
        <v>1971</v>
      </c>
      <c r="B1876" s="24">
        <v>838756</v>
      </c>
      <c r="C1876" s="24" t="s">
        <v>2520</v>
      </c>
      <c r="D1876" s="24">
        <v>1571</v>
      </c>
    </row>
    <row r="1877" spans="1:4" x14ac:dyDescent="0.25">
      <c r="A1877" s="24">
        <v>1653</v>
      </c>
      <c r="B1877" s="24">
        <v>838772</v>
      </c>
      <c r="C1877" s="24" t="s">
        <v>2522</v>
      </c>
      <c r="D1877" s="24">
        <v>1572</v>
      </c>
    </row>
    <row r="1878" spans="1:4" x14ac:dyDescent="0.25">
      <c r="A1878" s="24">
        <v>3034</v>
      </c>
      <c r="B1878" s="24">
        <v>838799</v>
      </c>
      <c r="C1878" s="24" t="s">
        <v>2523</v>
      </c>
      <c r="D1878" s="24">
        <v>1573</v>
      </c>
    </row>
    <row r="1879" spans="1:4" x14ac:dyDescent="0.25">
      <c r="A1879" s="24">
        <v>123</v>
      </c>
      <c r="B1879" s="24">
        <v>838802</v>
      </c>
      <c r="C1879" s="24" t="s">
        <v>2524</v>
      </c>
      <c r="D1879" s="24">
        <v>1574</v>
      </c>
    </row>
    <row r="1880" spans="1:4" x14ac:dyDescent="0.25">
      <c r="A1880" s="24">
        <v>1505</v>
      </c>
      <c r="B1880" s="24">
        <v>838811</v>
      </c>
      <c r="C1880" s="24" t="s">
        <v>2525</v>
      </c>
      <c r="D1880" s="24">
        <v>1575</v>
      </c>
    </row>
    <row r="1881" spans="1:4" x14ac:dyDescent="0.25">
      <c r="A1881" s="24">
        <v>1139</v>
      </c>
      <c r="B1881" s="24">
        <v>838829</v>
      </c>
      <c r="C1881" s="24" t="s">
        <v>2526</v>
      </c>
      <c r="D1881" s="24">
        <v>1576</v>
      </c>
    </row>
    <row r="1882" spans="1:4" x14ac:dyDescent="0.25">
      <c r="A1882" s="24">
        <v>1060</v>
      </c>
      <c r="B1882" s="24">
        <v>838837</v>
      </c>
      <c r="C1882" s="24" t="s">
        <v>2527</v>
      </c>
      <c r="D1882" s="24">
        <v>1577</v>
      </c>
    </row>
    <row r="1883" spans="1:4" x14ac:dyDescent="0.25">
      <c r="A1883" s="24">
        <v>3002</v>
      </c>
      <c r="B1883" s="24">
        <v>838896</v>
      </c>
      <c r="C1883" s="24" t="s">
        <v>2528</v>
      </c>
      <c r="D1883" s="24">
        <v>1578</v>
      </c>
    </row>
    <row r="1884" spans="1:4" x14ac:dyDescent="0.25">
      <c r="A1884" s="24">
        <v>3070</v>
      </c>
      <c r="B1884" s="24">
        <v>838926</v>
      </c>
      <c r="C1884" s="24" t="s">
        <v>2529</v>
      </c>
      <c r="D1884" s="24">
        <v>1579</v>
      </c>
    </row>
    <row r="1885" spans="1:4" x14ac:dyDescent="0.25">
      <c r="A1885" s="24">
        <v>3510</v>
      </c>
      <c r="B1885" s="24">
        <v>865702</v>
      </c>
      <c r="C1885" s="24" t="s">
        <v>3620</v>
      </c>
      <c r="D1885" s="24">
        <v>1579</v>
      </c>
    </row>
    <row r="1886" spans="1:4" x14ac:dyDescent="0.25">
      <c r="A1886" s="24">
        <v>2253</v>
      </c>
      <c r="B1886" s="24">
        <v>839027</v>
      </c>
      <c r="C1886" s="24" t="s">
        <v>2531</v>
      </c>
      <c r="D1886" s="24">
        <v>1580</v>
      </c>
    </row>
    <row r="1887" spans="1:4" x14ac:dyDescent="0.25">
      <c r="A1887" s="24">
        <v>257</v>
      </c>
      <c r="B1887" s="24">
        <v>839108</v>
      </c>
      <c r="C1887" s="24" t="s">
        <v>2532</v>
      </c>
      <c r="D1887" s="24">
        <v>1581</v>
      </c>
    </row>
    <row r="1888" spans="1:4" x14ac:dyDescent="0.25">
      <c r="A1888" s="24">
        <v>1701</v>
      </c>
      <c r="B1888" s="24">
        <v>839141</v>
      </c>
      <c r="C1888" s="24" t="s">
        <v>2534</v>
      </c>
      <c r="D1888" s="24">
        <v>1582</v>
      </c>
    </row>
    <row r="1889" spans="1:4" x14ac:dyDescent="0.25">
      <c r="A1889" s="24">
        <v>278</v>
      </c>
      <c r="B1889" s="24">
        <v>839175</v>
      </c>
      <c r="C1889" s="24" t="s">
        <v>2535</v>
      </c>
      <c r="D1889" s="24">
        <v>1583</v>
      </c>
    </row>
    <row r="1890" spans="1:4" x14ac:dyDescent="0.25">
      <c r="A1890" s="24">
        <v>2851</v>
      </c>
      <c r="B1890" s="24">
        <v>839205</v>
      </c>
      <c r="C1890" s="24" t="s">
        <v>2536</v>
      </c>
      <c r="D1890" s="24">
        <v>1584</v>
      </c>
    </row>
    <row r="1891" spans="1:4" x14ac:dyDescent="0.25">
      <c r="A1891" s="24">
        <v>721</v>
      </c>
      <c r="B1891" s="24">
        <v>839230</v>
      </c>
      <c r="C1891" s="24" t="s">
        <v>2538</v>
      </c>
      <c r="D1891" s="24">
        <v>1585</v>
      </c>
    </row>
    <row r="1892" spans="1:4" x14ac:dyDescent="0.25">
      <c r="A1892" s="24">
        <v>2797</v>
      </c>
      <c r="B1892" s="24">
        <v>839248</v>
      </c>
      <c r="C1892" s="24" t="s">
        <v>2539</v>
      </c>
      <c r="D1892" s="24">
        <v>1586</v>
      </c>
    </row>
    <row r="1893" spans="1:4" x14ac:dyDescent="0.25">
      <c r="A1893" s="24">
        <v>3473</v>
      </c>
      <c r="B1893" s="24">
        <v>839256</v>
      </c>
      <c r="C1893" s="24" t="s">
        <v>2540</v>
      </c>
      <c r="D1893" s="24">
        <v>1587</v>
      </c>
    </row>
    <row r="1894" spans="1:4" x14ac:dyDescent="0.25">
      <c r="A1894" s="24">
        <v>659</v>
      </c>
      <c r="B1894" s="24">
        <v>839299</v>
      </c>
      <c r="C1894" s="24" t="s">
        <v>2541</v>
      </c>
      <c r="D1894" s="24">
        <v>1588</v>
      </c>
    </row>
    <row r="1895" spans="1:4" x14ac:dyDescent="0.25">
      <c r="A1895" s="24">
        <v>673</v>
      </c>
      <c r="B1895" s="24">
        <v>839353</v>
      </c>
      <c r="C1895" s="24" t="s">
        <v>2543</v>
      </c>
      <c r="D1895" s="24">
        <v>1589</v>
      </c>
    </row>
    <row r="1896" spans="1:4" x14ac:dyDescent="0.25">
      <c r="A1896" s="24">
        <v>502</v>
      </c>
      <c r="B1896" s="24">
        <v>839361</v>
      </c>
      <c r="C1896" s="24" t="s">
        <v>2544</v>
      </c>
      <c r="D1896" s="24">
        <v>1589</v>
      </c>
    </row>
    <row r="1897" spans="1:4" x14ac:dyDescent="0.25">
      <c r="A1897" s="24">
        <v>1512</v>
      </c>
      <c r="B1897" s="24">
        <v>839345</v>
      </c>
      <c r="C1897" s="24" t="s">
        <v>2542</v>
      </c>
      <c r="D1897" s="24">
        <v>1589</v>
      </c>
    </row>
    <row r="1898" spans="1:4" x14ac:dyDescent="0.25">
      <c r="A1898" s="24">
        <v>2123</v>
      </c>
      <c r="B1898" s="24">
        <v>861545</v>
      </c>
      <c r="C1898" s="24" t="s">
        <v>3483</v>
      </c>
      <c r="D1898" s="24">
        <v>1590</v>
      </c>
    </row>
    <row r="1899" spans="1:4" x14ac:dyDescent="0.25">
      <c r="A1899" s="24">
        <v>2139</v>
      </c>
      <c r="B1899" s="24">
        <v>839370</v>
      </c>
      <c r="C1899" s="24" t="s">
        <v>2545</v>
      </c>
      <c r="D1899" s="24">
        <v>1591</v>
      </c>
    </row>
    <row r="1900" spans="1:4" x14ac:dyDescent="0.25">
      <c r="A1900" s="24">
        <v>2485</v>
      </c>
      <c r="B1900" s="24">
        <v>863955</v>
      </c>
      <c r="C1900" s="24" t="s">
        <v>3558</v>
      </c>
      <c r="D1900" s="24">
        <v>1592</v>
      </c>
    </row>
    <row r="1901" spans="1:4" x14ac:dyDescent="0.25">
      <c r="A1901" s="24">
        <v>924</v>
      </c>
      <c r="B1901" s="24">
        <v>839400</v>
      </c>
      <c r="C1901" s="24" t="s">
        <v>2547</v>
      </c>
      <c r="D1901" s="24">
        <v>1593</v>
      </c>
    </row>
    <row r="1902" spans="1:4" x14ac:dyDescent="0.25">
      <c r="A1902" s="24">
        <v>3430</v>
      </c>
      <c r="B1902" s="24">
        <v>839418</v>
      </c>
      <c r="C1902" s="24" t="s">
        <v>2548</v>
      </c>
      <c r="D1902" s="24">
        <v>1594</v>
      </c>
    </row>
    <row r="1903" spans="1:4" x14ac:dyDescent="0.25">
      <c r="A1903" s="24">
        <v>2180</v>
      </c>
      <c r="B1903" s="24">
        <v>839426</v>
      </c>
      <c r="C1903" s="24" t="s">
        <v>2549</v>
      </c>
      <c r="D1903" s="24">
        <v>1595</v>
      </c>
    </row>
    <row r="1904" spans="1:4" x14ac:dyDescent="0.25">
      <c r="A1904" s="24">
        <v>2073</v>
      </c>
      <c r="B1904" s="24">
        <v>839434</v>
      </c>
      <c r="C1904" s="24" t="s">
        <v>2550</v>
      </c>
      <c r="D1904" s="24">
        <v>1596</v>
      </c>
    </row>
    <row r="1905" spans="1:4" x14ac:dyDescent="0.25">
      <c r="A1905" s="24">
        <v>351</v>
      </c>
      <c r="B1905" s="24">
        <v>839442</v>
      </c>
      <c r="C1905" s="24" t="s">
        <v>2551</v>
      </c>
      <c r="D1905" s="24">
        <v>1597</v>
      </c>
    </row>
    <row r="1906" spans="1:4" x14ac:dyDescent="0.25">
      <c r="A1906" s="24">
        <v>803</v>
      </c>
      <c r="B1906" s="24">
        <v>839477</v>
      </c>
      <c r="C1906" s="24" t="s">
        <v>2553</v>
      </c>
      <c r="D1906" s="24">
        <v>1598</v>
      </c>
    </row>
    <row r="1907" spans="1:4" x14ac:dyDescent="0.25">
      <c r="A1907" s="24">
        <v>901</v>
      </c>
      <c r="B1907" s="24">
        <v>839469</v>
      </c>
      <c r="C1907" s="24" t="s">
        <v>963</v>
      </c>
      <c r="D1907" s="24">
        <v>1598</v>
      </c>
    </row>
    <row r="1908" spans="1:4" x14ac:dyDescent="0.25">
      <c r="A1908" s="24">
        <v>3215</v>
      </c>
      <c r="B1908" s="24">
        <v>839485</v>
      </c>
      <c r="C1908" s="24" t="s">
        <v>2554</v>
      </c>
      <c r="D1908" s="24">
        <v>1599</v>
      </c>
    </row>
    <row r="1909" spans="1:4" x14ac:dyDescent="0.25">
      <c r="A1909" s="24">
        <v>2585</v>
      </c>
      <c r="B1909" s="24">
        <v>801437</v>
      </c>
      <c r="C1909" s="24" t="s">
        <v>793</v>
      </c>
      <c r="D1909" s="24">
        <v>1600</v>
      </c>
    </row>
    <row r="1910" spans="1:4" x14ac:dyDescent="0.25">
      <c r="A1910" s="24">
        <v>1602</v>
      </c>
      <c r="B1910" s="24">
        <v>839493</v>
      </c>
      <c r="C1910" s="24" t="s">
        <v>2555</v>
      </c>
      <c r="D1910" s="24">
        <v>1601</v>
      </c>
    </row>
    <row r="1911" spans="1:4" x14ac:dyDescent="0.25">
      <c r="A1911" s="24">
        <v>2620</v>
      </c>
      <c r="B1911" s="24">
        <v>839507</v>
      </c>
      <c r="C1911" s="24" t="s">
        <v>2555</v>
      </c>
      <c r="D1911" s="24">
        <v>1602</v>
      </c>
    </row>
    <row r="1912" spans="1:4" x14ac:dyDescent="0.25">
      <c r="A1912" s="24">
        <v>762</v>
      </c>
      <c r="B1912" s="24">
        <v>839558</v>
      </c>
      <c r="C1912" s="24" t="s">
        <v>2556</v>
      </c>
      <c r="D1912" s="24">
        <v>1603</v>
      </c>
    </row>
    <row r="1913" spans="1:4" x14ac:dyDescent="0.25">
      <c r="A1913" s="24">
        <v>814</v>
      </c>
      <c r="B1913" s="24">
        <v>839566</v>
      </c>
      <c r="C1913" s="24" t="s">
        <v>2557</v>
      </c>
      <c r="D1913" s="24">
        <v>1604</v>
      </c>
    </row>
    <row r="1914" spans="1:4" x14ac:dyDescent="0.25">
      <c r="A1914" s="24">
        <v>1540</v>
      </c>
      <c r="B1914" s="24">
        <v>839574</v>
      </c>
      <c r="C1914" s="24" t="s">
        <v>2558</v>
      </c>
      <c r="D1914" s="24">
        <v>1604</v>
      </c>
    </row>
    <row r="1915" spans="1:4" x14ac:dyDescent="0.25">
      <c r="A1915" s="24">
        <v>426</v>
      </c>
      <c r="B1915" s="24">
        <v>839591</v>
      </c>
      <c r="C1915" s="24" t="s">
        <v>2559</v>
      </c>
      <c r="D1915" s="24">
        <v>1605</v>
      </c>
    </row>
    <row r="1916" spans="1:4" x14ac:dyDescent="0.25">
      <c r="A1916" s="24">
        <v>2988</v>
      </c>
      <c r="B1916" s="24">
        <v>839612</v>
      </c>
      <c r="C1916" s="24" t="s">
        <v>2560</v>
      </c>
      <c r="D1916" s="24">
        <v>1606</v>
      </c>
    </row>
    <row r="1917" spans="1:4" x14ac:dyDescent="0.25">
      <c r="A1917" s="24">
        <v>1228</v>
      </c>
      <c r="B1917" s="24">
        <v>839621</v>
      </c>
      <c r="C1917" s="24" t="s">
        <v>2561</v>
      </c>
      <c r="D1917" s="24">
        <v>1607</v>
      </c>
    </row>
    <row r="1918" spans="1:4" x14ac:dyDescent="0.25">
      <c r="A1918" s="24">
        <v>175</v>
      </c>
      <c r="B1918" s="24">
        <v>824879</v>
      </c>
      <c r="C1918" s="24" t="s">
        <v>1874</v>
      </c>
      <c r="D1918" s="24">
        <v>1608</v>
      </c>
    </row>
    <row r="1919" spans="1:4" x14ac:dyDescent="0.25">
      <c r="A1919" s="24">
        <v>2076</v>
      </c>
      <c r="B1919" s="24">
        <v>872431</v>
      </c>
      <c r="C1919" s="24" t="s">
        <v>3965</v>
      </c>
      <c r="D1919" s="24">
        <v>1608</v>
      </c>
    </row>
    <row r="1920" spans="1:4" x14ac:dyDescent="0.25">
      <c r="A1920" s="24">
        <v>2477</v>
      </c>
      <c r="B1920" s="24">
        <v>833533</v>
      </c>
      <c r="C1920" s="24" t="s">
        <v>2273</v>
      </c>
      <c r="D1920" s="24">
        <v>1608</v>
      </c>
    </row>
    <row r="1921" spans="1:4" x14ac:dyDescent="0.25">
      <c r="A1921" s="24">
        <v>2291</v>
      </c>
      <c r="B1921" s="24">
        <v>839639</v>
      </c>
      <c r="C1921" s="24" t="s">
        <v>2562</v>
      </c>
      <c r="D1921" s="24">
        <v>1608</v>
      </c>
    </row>
    <row r="1922" spans="1:4" x14ac:dyDescent="0.25">
      <c r="A1922" s="24">
        <v>1401</v>
      </c>
      <c r="B1922" s="24">
        <v>839655</v>
      </c>
      <c r="C1922" s="24" t="s">
        <v>2563</v>
      </c>
      <c r="D1922" s="24">
        <v>1609</v>
      </c>
    </row>
    <row r="1923" spans="1:4" x14ac:dyDescent="0.25">
      <c r="A1923" s="24">
        <v>605</v>
      </c>
      <c r="B1923" s="24">
        <v>839671</v>
      </c>
      <c r="C1923" s="24" t="s">
        <v>2565</v>
      </c>
      <c r="D1923" s="24">
        <v>1610</v>
      </c>
    </row>
    <row r="1924" spans="1:4" x14ac:dyDescent="0.25">
      <c r="A1924" s="24">
        <v>1119</v>
      </c>
      <c r="B1924" s="24">
        <v>839663</v>
      </c>
      <c r="C1924" s="24" t="s">
        <v>2564</v>
      </c>
      <c r="D1924" s="24">
        <v>1610</v>
      </c>
    </row>
    <row r="1925" spans="1:4" x14ac:dyDescent="0.25">
      <c r="A1925" s="24">
        <v>2044</v>
      </c>
      <c r="B1925" s="24">
        <v>839680</v>
      </c>
      <c r="C1925" s="24" t="s">
        <v>2566</v>
      </c>
      <c r="D1925" s="24">
        <v>1611</v>
      </c>
    </row>
    <row r="1926" spans="1:4" x14ac:dyDescent="0.25">
      <c r="A1926" s="24">
        <v>1740</v>
      </c>
      <c r="B1926" s="24">
        <v>839728</v>
      </c>
      <c r="C1926" s="24" t="s">
        <v>2567</v>
      </c>
      <c r="D1926" s="24">
        <v>1612</v>
      </c>
    </row>
    <row r="1927" spans="1:4" x14ac:dyDescent="0.25">
      <c r="A1927" s="24">
        <v>3297</v>
      </c>
      <c r="B1927" s="24">
        <v>839817</v>
      </c>
      <c r="C1927" s="24" t="s">
        <v>2568</v>
      </c>
      <c r="D1927" s="24">
        <v>1613</v>
      </c>
    </row>
    <row r="1928" spans="1:4" x14ac:dyDescent="0.25">
      <c r="A1928" s="24">
        <v>1364</v>
      </c>
      <c r="B1928" s="24">
        <v>839833</v>
      </c>
      <c r="C1928" s="24" t="s">
        <v>2569</v>
      </c>
      <c r="D1928" s="24">
        <v>1614</v>
      </c>
    </row>
    <row r="1929" spans="1:4" x14ac:dyDescent="0.25">
      <c r="A1929" s="24">
        <v>191</v>
      </c>
      <c r="B1929" s="24">
        <v>839841</v>
      </c>
      <c r="C1929" s="24" t="s">
        <v>2570</v>
      </c>
      <c r="D1929" s="24">
        <v>1615</v>
      </c>
    </row>
    <row r="1930" spans="1:4" x14ac:dyDescent="0.25">
      <c r="A1930" s="24">
        <v>2950</v>
      </c>
      <c r="B1930" s="24">
        <v>839850</v>
      </c>
      <c r="C1930" s="24" t="s">
        <v>2570</v>
      </c>
      <c r="D1930" s="24">
        <v>1616</v>
      </c>
    </row>
    <row r="1931" spans="1:4" x14ac:dyDescent="0.25">
      <c r="A1931" s="24">
        <v>2901</v>
      </c>
      <c r="B1931" s="24">
        <v>839868</v>
      </c>
      <c r="C1931" s="24" t="s">
        <v>2571</v>
      </c>
      <c r="D1931" s="24">
        <v>1617</v>
      </c>
    </row>
    <row r="1932" spans="1:4" x14ac:dyDescent="0.25">
      <c r="A1932" s="24">
        <v>2012</v>
      </c>
      <c r="B1932" s="24">
        <v>867438</v>
      </c>
      <c r="C1932" s="24" t="s">
        <v>3702</v>
      </c>
      <c r="D1932" s="24">
        <v>1618</v>
      </c>
    </row>
    <row r="1933" spans="1:4" x14ac:dyDescent="0.25">
      <c r="A1933" s="24">
        <v>3139</v>
      </c>
      <c r="B1933" s="24">
        <v>839884</v>
      </c>
      <c r="C1933" s="24" t="s">
        <v>2572</v>
      </c>
      <c r="D1933" s="24">
        <v>1619</v>
      </c>
    </row>
    <row r="1934" spans="1:4" x14ac:dyDescent="0.25">
      <c r="A1934" s="24">
        <v>297</v>
      </c>
      <c r="B1934" s="24">
        <v>840378</v>
      </c>
      <c r="C1934" s="24" t="s">
        <v>2579</v>
      </c>
      <c r="D1934" s="24">
        <v>1620</v>
      </c>
    </row>
    <row r="1935" spans="1:4" x14ac:dyDescent="0.25">
      <c r="A1935" s="24">
        <v>391</v>
      </c>
      <c r="B1935" s="24">
        <v>840076</v>
      </c>
      <c r="C1935" s="24" t="s">
        <v>2574</v>
      </c>
      <c r="D1935" s="24">
        <v>1620</v>
      </c>
    </row>
    <row r="1936" spans="1:4" x14ac:dyDescent="0.25">
      <c r="A1936" s="24">
        <v>390</v>
      </c>
      <c r="B1936" s="24">
        <v>868035</v>
      </c>
      <c r="C1936" s="24" t="s">
        <v>3747</v>
      </c>
      <c r="D1936" s="24">
        <v>1620</v>
      </c>
    </row>
    <row r="1937" spans="1:4" x14ac:dyDescent="0.25">
      <c r="A1937" s="24">
        <v>1237</v>
      </c>
      <c r="B1937" s="24">
        <v>812854</v>
      </c>
      <c r="C1937" s="24" t="s">
        <v>1275</v>
      </c>
      <c r="D1937" s="24">
        <v>1620</v>
      </c>
    </row>
    <row r="1938" spans="1:4" x14ac:dyDescent="0.25">
      <c r="A1938" s="24">
        <v>1275</v>
      </c>
      <c r="B1938" s="24">
        <v>840319</v>
      </c>
      <c r="C1938" s="24" t="s">
        <v>2578</v>
      </c>
      <c r="D1938" s="24">
        <v>1620</v>
      </c>
    </row>
    <row r="1939" spans="1:4" x14ac:dyDescent="0.25">
      <c r="A1939" s="24">
        <v>899</v>
      </c>
      <c r="B1939" s="24">
        <v>840254</v>
      </c>
      <c r="C1939" s="24" t="s">
        <v>2577</v>
      </c>
      <c r="D1939" s="24">
        <v>1620</v>
      </c>
    </row>
    <row r="1940" spans="1:4" x14ac:dyDescent="0.25">
      <c r="A1940" s="24">
        <v>2963</v>
      </c>
      <c r="B1940" s="24">
        <v>840203</v>
      </c>
      <c r="C1940" s="24" t="s">
        <v>2576</v>
      </c>
      <c r="D1940" s="24">
        <v>1620</v>
      </c>
    </row>
    <row r="1941" spans="1:4" x14ac:dyDescent="0.25">
      <c r="A1941" s="24">
        <v>3302</v>
      </c>
      <c r="B1941" s="24">
        <v>840564</v>
      </c>
      <c r="C1941" s="24" t="s">
        <v>2580</v>
      </c>
      <c r="D1941" s="24">
        <v>1620</v>
      </c>
    </row>
    <row r="1942" spans="1:4" x14ac:dyDescent="0.25">
      <c r="A1942" s="24">
        <v>3402</v>
      </c>
      <c r="B1942" s="24">
        <v>812021</v>
      </c>
      <c r="C1942" s="24" t="s">
        <v>1225</v>
      </c>
      <c r="D1942" s="24">
        <v>1620</v>
      </c>
    </row>
    <row r="1943" spans="1:4" x14ac:dyDescent="0.25">
      <c r="A1943" s="24">
        <v>3340</v>
      </c>
      <c r="B1943" s="24">
        <v>839914</v>
      </c>
      <c r="C1943" s="24" t="s">
        <v>2573</v>
      </c>
      <c r="D1943" s="24">
        <v>1620</v>
      </c>
    </row>
    <row r="1944" spans="1:4" x14ac:dyDescent="0.25">
      <c r="A1944" s="24">
        <v>3520</v>
      </c>
      <c r="B1944" s="24">
        <v>840165</v>
      </c>
      <c r="C1944" s="24" t="s">
        <v>2575</v>
      </c>
      <c r="D1944" s="24">
        <v>1620</v>
      </c>
    </row>
    <row r="1945" spans="1:4" x14ac:dyDescent="0.25">
      <c r="A1945" s="24">
        <v>1289</v>
      </c>
      <c r="B1945" s="24">
        <v>840572</v>
      </c>
      <c r="C1945" s="24" t="s">
        <v>2581</v>
      </c>
      <c r="D1945" s="24">
        <v>1621</v>
      </c>
    </row>
    <row r="1946" spans="1:4" x14ac:dyDescent="0.25">
      <c r="A1946" s="24">
        <v>3026</v>
      </c>
      <c r="B1946" s="24">
        <v>840602</v>
      </c>
      <c r="C1946" s="24" t="s">
        <v>2584</v>
      </c>
      <c r="D1946" s="24">
        <v>1622</v>
      </c>
    </row>
    <row r="1947" spans="1:4" x14ac:dyDescent="0.25">
      <c r="A1947" s="24">
        <v>1807</v>
      </c>
      <c r="B1947" s="24">
        <v>840611</v>
      </c>
      <c r="C1947" s="24" t="s">
        <v>2585</v>
      </c>
      <c r="D1947" s="24">
        <v>1623</v>
      </c>
    </row>
    <row r="1948" spans="1:4" x14ac:dyDescent="0.25">
      <c r="A1948" s="24">
        <v>2423</v>
      </c>
      <c r="B1948" s="24">
        <v>840653</v>
      </c>
      <c r="C1948" s="24" t="s">
        <v>2586</v>
      </c>
      <c r="D1948" s="24">
        <v>1624</v>
      </c>
    </row>
    <row r="1949" spans="1:4" x14ac:dyDescent="0.25">
      <c r="A1949" s="24">
        <v>525</v>
      </c>
      <c r="B1949" s="24">
        <v>840670</v>
      </c>
      <c r="C1949" s="24" t="s">
        <v>2587</v>
      </c>
      <c r="D1949" s="24">
        <v>1625</v>
      </c>
    </row>
    <row r="1950" spans="1:4" x14ac:dyDescent="0.25">
      <c r="A1950" s="24">
        <v>2607</v>
      </c>
      <c r="B1950" s="24">
        <v>840688</v>
      </c>
      <c r="C1950" s="24" t="s">
        <v>2588</v>
      </c>
      <c r="D1950" s="24">
        <v>1625</v>
      </c>
    </row>
    <row r="1951" spans="1:4" x14ac:dyDescent="0.25">
      <c r="A1951" s="24">
        <v>365</v>
      </c>
      <c r="B1951" s="24">
        <v>840696</v>
      </c>
      <c r="C1951" s="24" t="s">
        <v>2589</v>
      </c>
      <c r="D1951" s="24">
        <v>1625</v>
      </c>
    </row>
    <row r="1952" spans="1:4" x14ac:dyDescent="0.25">
      <c r="A1952" s="24">
        <v>3126</v>
      </c>
      <c r="B1952" s="24">
        <v>840700</v>
      </c>
      <c r="C1952" s="24" t="s">
        <v>2590</v>
      </c>
      <c r="D1952" s="24">
        <v>1626</v>
      </c>
    </row>
    <row r="1953" spans="1:4" x14ac:dyDescent="0.25">
      <c r="A1953" s="24">
        <v>137</v>
      </c>
      <c r="B1953" s="24">
        <v>840726</v>
      </c>
      <c r="C1953" s="24" t="s">
        <v>2591</v>
      </c>
      <c r="D1953" s="24">
        <v>1627</v>
      </c>
    </row>
    <row r="1954" spans="1:4" x14ac:dyDescent="0.25">
      <c r="A1954" s="24">
        <v>1277</v>
      </c>
      <c r="B1954" s="24">
        <v>840742</v>
      </c>
      <c r="C1954" s="24" t="s">
        <v>2593</v>
      </c>
      <c r="D1954" s="24">
        <v>1628</v>
      </c>
    </row>
    <row r="1955" spans="1:4" x14ac:dyDescent="0.25">
      <c r="A1955" s="24">
        <v>964</v>
      </c>
      <c r="B1955" s="24">
        <v>840751</v>
      </c>
      <c r="C1955" s="24" t="s">
        <v>2594</v>
      </c>
      <c r="D1955" s="24">
        <v>1628</v>
      </c>
    </row>
    <row r="1956" spans="1:4" x14ac:dyDescent="0.25">
      <c r="A1956" s="24">
        <v>1870</v>
      </c>
      <c r="B1956" s="24">
        <v>840769</v>
      </c>
      <c r="C1956" s="24" t="s">
        <v>2595</v>
      </c>
      <c r="D1956" s="24">
        <v>1629</v>
      </c>
    </row>
    <row r="1957" spans="1:4" x14ac:dyDescent="0.25">
      <c r="A1957" s="24">
        <v>883</v>
      </c>
      <c r="B1957" s="24">
        <v>840777</v>
      </c>
      <c r="C1957" s="24" t="s">
        <v>2595</v>
      </c>
      <c r="D1957" s="24">
        <v>1630</v>
      </c>
    </row>
    <row r="1958" spans="1:4" x14ac:dyDescent="0.25">
      <c r="A1958" s="24">
        <v>1954</v>
      </c>
      <c r="B1958" s="24">
        <v>873004</v>
      </c>
      <c r="C1958" s="24" t="s">
        <v>3990</v>
      </c>
      <c r="D1958" s="24">
        <v>1630</v>
      </c>
    </row>
    <row r="1959" spans="1:4" x14ac:dyDescent="0.25">
      <c r="A1959" s="24">
        <v>947</v>
      </c>
      <c r="B1959" s="24">
        <v>840785</v>
      </c>
      <c r="C1959" s="24" t="s">
        <v>2596</v>
      </c>
      <c r="D1959" s="24">
        <v>1631</v>
      </c>
    </row>
    <row r="1960" spans="1:4" x14ac:dyDescent="0.25">
      <c r="A1960" s="24">
        <v>1057</v>
      </c>
      <c r="B1960" s="24">
        <v>840793</v>
      </c>
      <c r="C1960" s="24" t="s">
        <v>2597</v>
      </c>
      <c r="D1960" s="24">
        <v>1632</v>
      </c>
    </row>
    <row r="1961" spans="1:4" x14ac:dyDescent="0.25">
      <c r="A1961" s="24">
        <v>1757</v>
      </c>
      <c r="B1961" s="24">
        <v>840807</v>
      </c>
      <c r="C1961" s="24" t="s">
        <v>2598</v>
      </c>
      <c r="D1961" s="24">
        <v>1633</v>
      </c>
    </row>
    <row r="1962" spans="1:4" x14ac:dyDescent="0.25">
      <c r="A1962" s="24">
        <v>2292</v>
      </c>
      <c r="B1962" s="24">
        <v>840815</v>
      </c>
      <c r="C1962" s="24" t="s">
        <v>2599</v>
      </c>
      <c r="D1962" s="24">
        <v>1634</v>
      </c>
    </row>
    <row r="1963" spans="1:4" x14ac:dyDescent="0.25">
      <c r="A1963" s="24">
        <v>1656</v>
      </c>
      <c r="B1963" s="24">
        <v>840823</v>
      </c>
      <c r="C1963" s="24" t="s">
        <v>2600</v>
      </c>
      <c r="D1963" s="24">
        <v>1635</v>
      </c>
    </row>
    <row r="1964" spans="1:4" x14ac:dyDescent="0.25">
      <c r="A1964" s="24">
        <v>3093</v>
      </c>
      <c r="B1964" s="24">
        <v>840840</v>
      </c>
      <c r="C1964" s="24" t="s">
        <v>2601</v>
      </c>
      <c r="D1964" s="24">
        <v>1636</v>
      </c>
    </row>
    <row r="1965" spans="1:4" x14ac:dyDescent="0.25">
      <c r="A1965" s="24">
        <v>2459</v>
      </c>
      <c r="B1965" s="24">
        <v>840858</v>
      </c>
      <c r="C1965" s="24" t="s">
        <v>2602</v>
      </c>
      <c r="D1965" s="24">
        <v>1637</v>
      </c>
    </row>
    <row r="1966" spans="1:4" x14ac:dyDescent="0.25">
      <c r="A1966" s="24">
        <v>471</v>
      </c>
      <c r="B1966" s="24">
        <v>840866</v>
      </c>
      <c r="C1966" s="24" t="s">
        <v>2603</v>
      </c>
      <c r="D1966" s="24">
        <v>1638</v>
      </c>
    </row>
    <row r="1967" spans="1:4" x14ac:dyDescent="0.25">
      <c r="A1967" s="24">
        <v>2201</v>
      </c>
      <c r="B1967" s="24">
        <v>840882</v>
      </c>
      <c r="C1967" s="24" t="s">
        <v>2605</v>
      </c>
      <c r="D1967" s="24">
        <v>1639</v>
      </c>
    </row>
    <row r="1968" spans="1:4" x14ac:dyDescent="0.25">
      <c r="A1968" s="24">
        <v>1198</v>
      </c>
      <c r="B1968" s="24">
        <v>840891</v>
      </c>
      <c r="C1968" s="24" t="s">
        <v>2606</v>
      </c>
      <c r="D1968" s="24">
        <v>1640</v>
      </c>
    </row>
    <row r="1969" spans="1:4" x14ac:dyDescent="0.25">
      <c r="A1969" s="24">
        <v>641</v>
      </c>
      <c r="B1969" s="24">
        <v>840904</v>
      </c>
      <c r="C1969" s="24" t="s">
        <v>2607</v>
      </c>
      <c r="D1969" s="24">
        <v>1641</v>
      </c>
    </row>
    <row r="1970" spans="1:4" x14ac:dyDescent="0.25">
      <c r="A1970" s="24">
        <v>1150</v>
      </c>
      <c r="B1970" s="24">
        <v>840912</v>
      </c>
      <c r="C1970" s="24" t="s">
        <v>2608</v>
      </c>
      <c r="D1970" s="24">
        <v>1642</v>
      </c>
    </row>
    <row r="1971" spans="1:4" x14ac:dyDescent="0.25">
      <c r="A1971" s="24">
        <v>3123</v>
      </c>
      <c r="B1971" s="24">
        <v>840971</v>
      </c>
      <c r="C1971" s="24" t="s">
        <v>2611</v>
      </c>
      <c r="D1971" s="24">
        <v>1643</v>
      </c>
    </row>
    <row r="1972" spans="1:4" x14ac:dyDescent="0.25">
      <c r="A1972" s="24">
        <v>638</v>
      </c>
      <c r="B1972" s="24">
        <v>840980</v>
      </c>
      <c r="C1972" s="24" t="s">
        <v>2612</v>
      </c>
      <c r="D1972" s="24">
        <v>1644</v>
      </c>
    </row>
    <row r="1973" spans="1:4" x14ac:dyDescent="0.25">
      <c r="A1973" s="24">
        <v>3298</v>
      </c>
      <c r="B1973" s="24">
        <v>840998</v>
      </c>
      <c r="C1973" s="24" t="s">
        <v>2613</v>
      </c>
      <c r="D1973" s="24">
        <v>1645</v>
      </c>
    </row>
    <row r="1974" spans="1:4" x14ac:dyDescent="0.25">
      <c r="A1974" s="24">
        <v>1746</v>
      </c>
      <c r="B1974" s="24">
        <v>841030</v>
      </c>
      <c r="C1974" s="24" t="s">
        <v>2615</v>
      </c>
      <c r="D1974" s="24">
        <v>1646</v>
      </c>
    </row>
    <row r="1975" spans="1:4" x14ac:dyDescent="0.25">
      <c r="A1975" s="24">
        <v>2643</v>
      </c>
      <c r="B1975" s="24">
        <v>841048</v>
      </c>
      <c r="C1975" s="24" t="s">
        <v>2616</v>
      </c>
      <c r="D1975" s="24">
        <v>1647</v>
      </c>
    </row>
    <row r="1976" spans="1:4" x14ac:dyDescent="0.25">
      <c r="A1976" s="24">
        <v>1362</v>
      </c>
      <c r="B1976" s="24">
        <v>841064</v>
      </c>
      <c r="C1976" s="24" t="s">
        <v>2618</v>
      </c>
      <c r="D1976" s="24">
        <v>1648</v>
      </c>
    </row>
    <row r="1977" spans="1:4" x14ac:dyDescent="0.25">
      <c r="A1977" s="24">
        <v>1904</v>
      </c>
      <c r="B1977" s="24">
        <v>841072</v>
      </c>
      <c r="C1977" s="24" t="s">
        <v>2619</v>
      </c>
      <c r="D1977" s="24">
        <v>1649</v>
      </c>
    </row>
    <row r="1978" spans="1:4" x14ac:dyDescent="0.25">
      <c r="A1978" s="24">
        <v>1832</v>
      </c>
      <c r="B1978" s="24">
        <v>841099</v>
      </c>
      <c r="C1978" s="24" t="s">
        <v>2620</v>
      </c>
      <c r="D1978" s="24">
        <v>1650</v>
      </c>
    </row>
    <row r="1979" spans="1:4" x14ac:dyDescent="0.25">
      <c r="A1979" s="24">
        <v>2159</v>
      </c>
      <c r="B1979" s="24">
        <v>841129</v>
      </c>
      <c r="C1979" s="24" t="s">
        <v>2621</v>
      </c>
      <c r="D1979" s="24">
        <v>1651</v>
      </c>
    </row>
    <row r="1980" spans="1:4" x14ac:dyDescent="0.25">
      <c r="A1980" s="24">
        <v>196</v>
      </c>
      <c r="B1980" s="24">
        <v>841137</v>
      </c>
      <c r="C1980" s="24" t="s">
        <v>2622</v>
      </c>
      <c r="D1980" s="24">
        <v>1652</v>
      </c>
    </row>
    <row r="1981" spans="1:4" x14ac:dyDescent="0.25">
      <c r="A1981" s="24">
        <v>1829</v>
      </c>
      <c r="B1981" s="24">
        <v>841145</v>
      </c>
      <c r="C1981" s="24" t="s">
        <v>2623</v>
      </c>
      <c r="D1981" s="24">
        <v>1653</v>
      </c>
    </row>
    <row r="1982" spans="1:4" x14ac:dyDescent="0.25">
      <c r="A1982" s="24">
        <v>2892</v>
      </c>
      <c r="B1982" s="24">
        <v>841153</v>
      </c>
      <c r="C1982" s="24" t="s">
        <v>2624</v>
      </c>
      <c r="D1982" s="24">
        <v>1654</v>
      </c>
    </row>
    <row r="1983" spans="1:4" x14ac:dyDescent="0.25">
      <c r="A1983" s="24">
        <v>50</v>
      </c>
      <c r="B1983" s="24">
        <v>841161</v>
      </c>
      <c r="C1983" s="24" t="s">
        <v>2625</v>
      </c>
      <c r="D1983" s="24">
        <v>1655</v>
      </c>
    </row>
    <row r="1984" spans="1:4" x14ac:dyDescent="0.25">
      <c r="A1984" s="24">
        <v>2543</v>
      </c>
      <c r="B1984" s="24">
        <v>841170</v>
      </c>
      <c r="C1984" s="24" t="s">
        <v>2626</v>
      </c>
      <c r="D1984" s="24">
        <v>1656</v>
      </c>
    </row>
    <row r="1985" spans="1:4" x14ac:dyDescent="0.25">
      <c r="A1985" s="24">
        <v>72</v>
      </c>
      <c r="B1985" s="24">
        <v>868647</v>
      </c>
      <c r="C1985" s="24" t="s">
        <v>3769</v>
      </c>
      <c r="D1985" s="24">
        <v>1657</v>
      </c>
    </row>
    <row r="1986" spans="1:4" x14ac:dyDescent="0.25">
      <c r="A1986" s="24">
        <v>3179</v>
      </c>
      <c r="B1986" s="24">
        <v>841188</v>
      </c>
      <c r="C1986" s="24" t="s">
        <v>2627</v>
      </c>
      <c r="D1986" s="24">
        <v>1658</v>
      </c>
    </row>
    <row r="1987" spans="1:4" x14ac:dyDescent="0.25">
      <c r="A1987" s="24">
        <v>535</v>
      </c>
      <c r="B1987" s="24">
        <v>841196</v>
      </c>
      <c r="C1987" s="24" t="s">
        <v>2628</v>
      </c>
      <c r="D1987" s="24">
        <v>1659</v>
      </c>
    </row>
    <row r="1988" spans="1:4" x14ac:dyDescent="0.25">
      <c r="A1988" s="24">
        <v>1623</v>
      </c>
      <c r="B1988" s="24">
        <v>841200</v>
      </c>
      <c r="C1988" s="24" t="s">
        <v>2629</v>
      </c>
      <c r="D1988" s="24">
        <v>1660</v>
      </c>
    </row>
    <row r="1989" spans="1:4" x14ac:dyDescent="0.25">
      <c r="A1989" s="24">
        <v>1213</v>
      </c>
      <c r="B1989" s="24">
        <v>841218</v>
      </c>
      <c r="C1989" s="24" t="s">
        <v>2630</v>
      </c>
      <c r="D1989" s="24">
        <v>1661</v>
      </c>
    </row>
    <row r="1990" spans="1:4" x14ac:dyDescent="0.25">
      <c r="A1990" s="24">
        <v>3366</v>
      </c>
      <c r="B1990" s="24">
        <v>841226</v>
      </c>
      <c r="C1990" s="24" t="s">
        <v>2631</v>
      </c>
      <c r="D1990" s="24">
        <v>1662</v>
      </c>
    </row>
    <row r="1991" spans="1:4" x14ac:dyDescent="0.25">
      <c r="A1991" s="24">
        <v>3143</v>
      </c>
      <c r="B1991" s="24">
        <v>841251</v>
      </c>
      <c r="C1991" s="24" t="s">
        <v>2633</v>
      </c>
      <c r="D1991" s="24">
        <v>1663</v>
      </c>
    </row>
    <row r="1992" spans="1:4" x14ac:dyDescent="0.25">
      <c r="A1992" s="24">
        <v>568</v>
      </c>
      <c r="B1992" s="24">
        <v>841447</v>
      </c>
      <c r="C1992" s="24" t="s">
        <v>2634</v>
      </c>
      <c r="D1992" s="24">
        <v>1664</v>
      </c>
    </row>
    <row r="1993" spans="1:4" x14ac:dyDescent="0.25">
      <c r="A1993" s="24">
        <v>2232</v>
      </c>
      <c r="B1993" s="24">
        <v>841501</v>
      </c>
      <c r="C1993" s="24" t="s">
        <v>2637</v>
      </c>
      <c r="D1993" s="24">
        <v>1665</v>
      </c>
    </row>
    <row r="1994" spans="1:4" x14ac:dyDescent="0.25">
      <c r="A1994" s="24">
        <v>417</v>
      </c>
      <c r="B1994" s="24">
        <v>841633</v>
      </c>
      <c r="C1994" s="24" t="s">
        <v>2638</v>
      </c>
      <c r="D1994" s="24">
        <v>1666</v>
      </c>
    </row>
    <row r="1995" spans="1:4" x14ac:dyDescent="0.25">
      <c r="A1995" s="24">
        <v>3353</v>
      </c>
      <c r="B1995" s="24">
        <v>852325</v>
      </c>
      <c r="C1995" s="24" t="s">
        <v>3071</v>
      </c>
      <c r="D1995" s="24">
        <v>1666</v>
      </c>
    </row>
    <row r="1996" spans="1:4" x14ac:dyDescent="0.25">
      <c r="A1996" s="24">
        <v>2319</v>
      </c>
      <c r="B1996" s="24">
        <v>815802</v>
      </c>
      <c r="C1996" s="24" t="s">
        <v>1430</v>
      </c>
      <c r="D1996" s="24">
        <v>1666</v>
      </c>
    </row>
    <row r="1997" spans="1:4" x14ac:dyDescent="0.25">
      <c r="A1997" s="24">
        <v>238</v>
      </c>
      <c r="B1997" s="24">
        <v>841722</v>
      </c>
      <c r="C1997" s="24" t="s">
        <v>2639</v>
      </c>
      <c r="D1997" s="24">
        <v>1667</v>
      </c>
    </row>
    <row r="1998" spans="1:4" x14ac:dyDescent="0.25">
      <c r="A1998" s="24">
        <v>1107</v>
      </c>
      <c r="B1998" s="24">
        <v>815209</v>
      </c>
      <c r="C1998" s="24" t="s">
        <v>1395</v>
      </c>
      <c r="D1998" s="24">
        <v>1667</v>
      </c>
    </row>
    <row r="1999" spans="1:4" x14ac:dyDescent="0.25">
      <c r="A1999" s="24">
        <v>2343</v>
      </c>
      <c r="B1999" s="24">
        <v>841706</v>
      </c>
      <c r="C1999" s="24" t="s">
        <v>2284</v>
      </c>
      <c r="D1999" s="24">
        <v>1667</v>
      </c>
    </row>
    <row r="2000" spans="1:4" x14ac:dyDescent="0.25">
      <c r="A2000" s="24">
        <v>467</v>
      </c>
      <c r="B2000" s="24">
        <v>841749</v>
      </c>
      <c r="C2000" s="24" t="s">
        <v>2641</v>
      </c>
      <c r="D2000" s="24">
        <v>1668</v>
      </c>
    </row>
    <row r="2001" spans="1:4" x14ac:dyDescent="0.25">
      <c r="A2001" s="24">
        <v>3258</v>
      </c>
      <c r="B2001" s="24">
        <v>841731</v>
      </c>
      <c r="C2001" s="24" t="s">
        <v>2640</v>
      </c>
      <c r="D2001" s="24">
        <v>1668</v>
      </c>
    </row>
    <row r="2002" spans="1:4" x14ac:dyDescent="0.25">
      <c r="A2002" s="24">
        <v>499</v>
      </c>
      <c r="B2002" s="24">
        <v>825425</v>
      </c>
      <c r="C2002" s="24" t="s">
        <v>1900</v>
      </c>
      <c r="D2002" s="24">
        <v>1669</v>
      </c>
    </row>
    <row r="2003" spans="1:4" x14ac:dyDescent="0.25">
      <c r="A2003" s="24">
        <v>3284</v>
      </c>
      <c r="B2003" s="24">
        <v>825417</v>
      </c>
      <c r="C2003" s="24" t="s">
        <v>1899</v>
      </c>
      <c r="D2003" s="24">
        <v>1669</v>
      </c>
    </row>
    <row r="2004" spans="1:4" x14ac:dyDescent="0.25">
      <c r="A2004" s="24">
        <v>3168</v>
      </c>
      <c r="B2004" s="24">
        <v>841757</v>
      </c>
      <c r="C2004" s="24" t="s">
        <v>2642</v>
      </c>
      <c r="D2004" s="24">
        <v>1669</v>
      </c>
    </row>
    <row r="2005" spans="1:4" x14ac:dyDescent="0.25">
      <c r="A2005" s="24">
        <v>1282</v>
      </c>
      <c r="B2005" s="24">
        <v>841765</v>
      </c>
      <c r="C2005" s="24" t="s">
        <v>2643</v>
      </c>
      <c r="D2005" s="24">
        <v>1670</v>
      </c>
    </row>
    <row r="2006" spans="1:4" x14ac:dyDescent="0.25">
      <c r="A2006" s="24">
        <v>106</v>
      </c>
      <c r="B2006" s="24">
        <v>841781</v>
      </c>
      <c r="C2006" s="24" t="s">
        <v>2644</v>
      </c>
      <c r="D2006" s="24">
        <v>1671</v>
      </c>
    </row>
    <row r="2007" spans="1:4" x14ac:dyDescent="0.25">
      <c r="A2007" s="24">
        <v>2545</v>
      </c>
      <c r="B2007" s="24">
        <v>841820</v>
      </c>
      <c r="C2007" s="24" t="s">
        <v>2645</v>
      </c>
      <c r="D2007" s="24">
        <v>1672</v>
      </c>
    </row>
    <row r="2008" spans="1:4" x14ac:dyDescent="0.25">
      <c r="A2008" s="24">
        <v>2440</v>
      </c>
      <c r="B2008" s="24">
        <v>841846</v>
      </c>
      <c r="C2008" s="24" t="s">
        <v>2647</v>
      </c>
      <c r="D2008" s="24">
        <v>1673</v>
      </c>
    </row>
    <row r="2009" spans="1:4" x14ac:dyDescent="0.25">
      <c r="A2009" s="24">
        <v>587</v>
      </c>
      <c r="B2009" s="24">
        <v>841854</v>
      </c>
      <c r="C2009" s="24" t="s">
        <v>2648</v>
      </c>
      <c r="D2009" s="24">
        <v>1674</v>
      </c>
    </row>
    <row r="2010" spans="1:4" x14ac:dyDescent="0.25">
      <c r="A2010" s="24">
        <v>2448</v>
      </c>
      <c r="B2010" s="24">
        <v>841862</v>
      </c>
      <c r="C2010" s="24" t="s">
        <v>2649</v>
      </c>
      <c r="D2010" s="24">
        <v>1675</v>
      </c>
    </row>
    <row r="2011" spans="1:4" x14ac:dyDescent="0.25">
      <c r="A2011" s="24">
        <v>1370</v>
      </c>
      <c r="B2011" s="24">
        <v>841871</v>
      </c>
      <c r="C2011" s="24" t="s">
        <v>2650</v>
      </c>
      <c r="D2011" s="24">
        <v>1676</v>
      </c>
    </row>
    <row r="2012" spans="1:4" x14ac:dyDescent="0.25">
      <c r="A2012" s="24">
        <v>1823</v>
      </c>
      <c r="B2012" s="24">
        <v>841927</v>
      </c>
      <c r="C2012" s="24" t="s">
        <v>2652</v>
      </c>
      <c r="D2012" s="24">
        <v>1677</v>
      </c>
    </row>
    <row r="2013" spans="1:4" x14ac:dyDescent="0.25">
      <c r="A2013" s="24">
        <v>2877</v>
      </c>
      <c r="B2013" s="24">
        <v>841935</v>
      </c>
      <c r="C2013" s="24" t="s">
        <v>2653</v>
      </c>
      <c r="D2013" s="24">
        <v>1678</v>
      </c>
    </row>
    <row r="2014" spans="1:4" x14ac:dyDescent="0.25">
      <c r="A2014" s="24">
        <v>783</v>
      </c>
      <c r="B2014" s="24">
        <v>841943</v>
      </c>
      <c r="C2014" s="24" t="s">
        <v>2654</v>
      </c>
      <c r="D2014" s="24">
        <v>1679</v>
      </c>
    </row>
    <row r="2015" spans="1:4" x14ac:dyDescent="0.25">
      <c r="A2015" s="24">
        <v>116</v>
      </c>
      <c r="B2015" s="24">
        <v>841960</v>
      </c>
      <c r="C2015" s="24" t="s">
        <v>2655</v>
      </c>
      <c r="D2015" s="24">
        <v>1680</v>
      </c>
    </row>
    <row r="2016" spans="1:4" x14ac:dyDescent="0.25">
      <c r="A2016" s="24">
        <v>1407</v>
      </c>
      <c r="B2016" s="24">
        <v>841978</v>
      </c>
      <c r="C2016" s="24" t="s">
        <v>1385</v>
      </c>
      <c r="D2016" s="24">
        <v>1681</v>
      </c>
    </row>
    <row r="2017" spans="1:4" x14ac:dyDescent="0.25">
      <c r="A2017" s="24">
        <v>727</v>
      </c>
      <c r="B2017" s="24">
        <v>842001</v>
      </c>
      <c r="C2017" s="24" t="s">
        <v>2656</v>
      </c>
      <c r="D2017" s="24">
        <v>1682</v>
      </c>
    </row>
    <row r="2018" spans="1:4" x14ac:dyDescent="0.25">
      <c r="A2018" s="24">
        <v>284</v>
      </c>
      <c r="B2018" s="24">
        <v>842010</v>
      </c>
      <c r="C2018" s="24" t="s">
        <v>2657</v>
      </c>
      <c r="D2018" s="24">
        <v>1683</v>
      </c>
    </row>
    <row r="2019" spans="1:4" x14ac:dyDescent="0.25">
      <c r="A2019" s="24">
        <v>1462</v>
      </c>
      <c r="B2019" s="24">
        <v>842044</v>
      </c>
      <c r="C2019" s="24" t="s">
        <v>2659</v>
      </c>
      <c r="D2019" s="24">
        <v>1684</v>
      </c>
    </row>
    <row r="2020" spans="1:4" x14ac:dyDescent="0.25">
      <c r="A2020" s="24">
        <v>2254</v>
      </c>
      <c r="B2020" s="24">
        <v>842311</v>
      </c>
      <c r="C2020" s="24" t="s">
        <v>2661</v>
      </c>
      <c r="D2020" s="24">
        <v>1685</v>
      </c>
    </row>
    <row r="2021" spans="1:4" x14ac:dyDescent="0.25">
      <c r="A2021" s="24">
        <v>2872</v>
      </c>
      <c r="B2021" s="24">
        <v>808270</v>
      </c>
      <c r="C2021" s="24" t="s">
        <v>1054</v>
      </c>
      <c r="D2021" s="24">
        <v>1685</v>
      </c>
    </row>
    <row r="2022" spans="1:4" x14ac:dyDescent="0.25">
      <c r="A2022" s="24">
        <v>3349</v>
      </c>
      <c r="B2022" s="24">
        <v>842320</v>
      </c>
      <c r="C2022" s="24" t="s">
        <v>2662</v>
      </c>
      <c r="D2022" s="24">
        <v>1686</v>
      </c>
    </row>
    <row r="2023" spans="1:4" x14ac:dyDescent="0.25">
      <c r="A2023" s="24">
        <v>724</v>
      </c>
      <c r="B2023" s="24">
        <v>842851</v>
      </c>
      <c r="C2023" s="24" t="s">
        <v>2663</v>
      </c>
      <c r="D2023" s="24">
        <v>1687</v>
      </c>
    </row>
    <row r="2024" spans="1:4" x14ac:dyDescent="0.25">
      <c r="A2024" s="24">
        <v>949</v>
      </c>
      <c r="B2024" s="24">
        <v>842877</v>
      </c>
      <c r="C2024" s="24" t="s">
        <v>2664</v>
      </c>
      <c r="D2024" s="24">
        <v>1688</v>
      </c>
    </row>
    <row r="2025" spans="1:4" x14ac:dyDescent="0.25">
      <c r="A2025" s="24">
        <v>1560</v>
      </c>
      <c r="B2025" s="24">
        <v>842893</v>
      </c>
      <c r="C2025" s="24" t="s">
        <v>2665</v>
      </c>
      <c r="D2025" s="24">
        <v>1689</v>
      </c>
    </row>
    <row r="2026" spans="1:4" x14ac:dyDescent="0.25">
      <c r="A2026" s="24">
        <v>3223</v>
      </c>
      <c r="B2026" s="24">
        <v>842907</v>
      </c>
      <c r="C2026" s="24" t="s">
        <v>2666</v>
      </c>
      <c r="D2026" s="24">
        <v>1689</v>
      </c>
    </row>
    <row r="2027" spans="1:4" x14ac:dyDescent="0.25">
      <c r="A2027" s="24">
        <v>1028</v>
      </c>
      <c r="B2027" s="24">
        <v>842915</v>
      </c>
      <c r="C2027" s="24" t="s">
        <v>2667</v>
      </c>
      <c r="D2027" s="24">
        <v>1690</v>
      </c>
    </row>
    <row r="2028" spans="1:4" x14ac:dyDescent="0.25">
      <c r="A2028" s="24">
        <v>36</v>
      </c>
      <c r="B2028" s="24">
        <v>851922</v>
      </c>
      <c r="C2028" s="24" t="s">
        <v>3054</v>
      </c>
      <c r="D2028" s="24">
        <v>1691</v>
      </c>
    </row>
    <row r="2029" spans="1:4" x14ac:dyDescent="0.25">
      <c r="A2029" s="24">
        <v>207</v>
      </c>
      <c r="B2029" s="24">
        <v>842931</v>
      </c>
      <c r="C2029" s="24" t="s">
        <v>2669</v>
      </c>
      <c r="D2029" s="24">
        <v>1692</v>
      </c>
    </row>
    <row r="2030" spans="1:4" x14ac:dyDescent="0.25">
      <c r="A2030" s="24">
        <v>1058</v>
      </c>
      <c r="B2030" s="24">
        <v>842923</v>
      </c>
      <c r="C2030" s="24" t="s">
        <v>2668</v>
      </c>
      <c r="D2030" s="24">
        <v>1692</v>
      </c>
    </row>
    <row r="2031" spans="1:4" x14ac:dyDescent="0.25">
      <c r="A2031" s="24">
        <v>1273</v>
      </c>
      <c r="B2031" s="24">
        <v>842991</v>
      </c>
      <c r="C2031" s="24" t="s">
        <v>2673</v>
      </c>
      <c r="D2031" s="24">
        <v>1693</v>
      </c>
    </row>
    <row r="2032" spans="1:4" x14ac:dyDescent="0.25">
      <c r="A2032" s="24">
        <v>976</v>
      </c>
      <c r="B2032" s="24">
        <v>842974</v>
      </c>
      <c r="C2032" s="24" t="s">
        <v>2672</v>
      </c>
      <c r="D2032" s="24">
        <v>1693</v>
      </c>
    </row>
    <row r="2033" spans="1:4" x14ac:dyDescent="0.25">
      <c r="A2033" s="24">
        <v>2509</v>
      </c>
      <c r="B2033" s="24">
        <v>842966</v>
      </c>
      <c r="C2033" s="24" t="s">
        <v>2671</v>
      </c>
      <c r="D2033" s="24">
        <v>1693</v>
      </c>
    </row>
    <row r="2034" spans="1:4" x14ac:dyDescent="0.25">
      <c r="A2034" s="24">
        <v>2612</v>
      </c>
      <c r="B2034" s="24">
        <v>842958</v>
      </c>
      <c r="C2034" s="24" t="s">
        <v>2670</v>
      </c>
      <c r="D2034" s="24">
        <v>1693</v>
      </c>
    </row>
    <row r="2035" spans="1:4" x14ac:dyDescent="0.25">
      <c r="A2035" s="24">
        <v>1813</v>
      </c>
      <c r="B2035" s="24">
        <v>843016</v>
      </c>
      <c r="C2035" s="24" t="s">
        <v>2674</v>
      </c>
      <c r="D2035" s="24">
        <v>1694</v>
      </c>
    </row>
    <row r="2036" spans="1:4" x14ac:dyDescent="0.25">
      <c r="A2036" s="24">
        <v>1820</v>
      </c>
      <c r="B2036" s="24">
        <v>843024</v>
      </c>
      <c r="C2036" s="24" t="s">
        <v>2675</v>
      </c>
      <c r="D2036" s="24">
        <v>1695</v>
      </c>
    </row>
    <row r="2037" spans="1:4" x14ac:dyDescent="0.25">
      <c r="A2037" s="24">
        <v>704</v>
      </c>
      <c r="B2037" s="24">
        <v>843032</v>
      </c>
      <c r="C2037" s="24" t="s">
        <v>2676</v>
      </c>
      <c r="D2037" s="24">
        <v>1696</v>
      </c>
    </row>
    <row r="2038" spans="1:4" x14ac:dyDescent="0.25">
      <c r="A2038" s="24">
        <v>322</v>
      </c>
      <c r="B2038" s="24">
        <v>843041</v>
      </c>
      <c r="C2038" s="24" t="s">
        <v>2677</v>
      </c>
      <c r="D2038" s="24">
        <v>1697</v>
      </c>
    </row>
    <row r="2039" spans="1:4" x14ac:dyDescent="0.25">
      <c r="A2039" s="24">
        <v>1663</v>
      </c>
      <c r="B2039" s="24">
        <v>843059</v>
      </c>
      <c r="C2039" s="24" t="s">
        <v>2678</v>
      </c>
      <c r="D2039" s="24">
        <v>1698</v>
      </c>
    </row>
    <row r="2040" spans="1:4" x14ac:dyDescent="0.25">
      <c r="A2040" s="24">
        <v>2903</v>
      </c>
      <c r="B2040" s="24">
        <v>843067</v>
      </c>
      <c r="C2040" s="24" t="s">
        <v>2679</v>
      </c>
      <c r="D2040" s="24">
        <v>1698</v>
      </c>
    </row>
    <row r="2041" spans="1:4" x14ac:dyDescent="0.25">
      <c r="A2041" s="24">
        <v>2445</v>
      </c>
      <c r="B2041" s="24">
        <v>843075</v>
      </c>
      <c r="C2041" s="24" t="s">
        <v>2680</v>
      </c>
      <c r="D2041" s="24">
        <v>1699</v>
      </c>
    </row>
    <row r="2042" spans="1:4" x14ac:dyDescent="0.25">
      <c r="A2042" s="24">
        <v>3514</v>
      </c>
      <c r="B2042" s="24">
        <v>843091</v>
      </c>
      <c r="C2042" s="24" t="s">
        <v>2682</v>
      </c>
      <c r="D2042" s="24">
        <v>1700</v>
      </c>
    </row>
    <row r="2043" spans="1:4" x14ac:dyDescent="0.25">
      <c r="A2043" s="24">
        <v>1933</v>
      </c>
      <c r="B2043" s="24">
        <v>843105</v>
      </c>
      <c r="C2043" s="24" t="s">
        <v>2683</v>
      </c>
      <c r="D2043" s="24">
        <v>1701</v>
      </c>
    </row>
    <row r="2044" spans="1:4" x14ac:dyDescent="0.25">
      <c r="A2044" s="24">
        <v>1607</v>
      </c>
      <c r="B2044" s="24">
        <v>843156</v>
      </c>
      <c r="C2044" s="24" t="s">
        <v>2684</v>
      </c>
      <c r="D2044" s="24">
        <v>1702</v>
      </c>
    </row>
    <row r="2045" spans="1:4" x14ac:dyDescent="0.25">
      <c r="A2045" s="24">
        <v>773</v>
      </c>
      <c r="B2045" s="24">
        <v>843164</v>
      </c>
      <c r="C2045" s="24" t="s">
        <v>2685</v>
      </c>
      <c r="D2045" s="24">
        <v>1703</v>
      </c>
    </row>
    <row r="2046" spans="1:4" x14ac:dyDescent="0.25">
      <c r="A2046" s="24">
        <v>3530</v>
      </c>
      <c r="B2046" s="24">
        <v>843172</v>
      </c>
      <c r="C2046" s="24" t="s">
        <v>2686</v>
      </c>
      <c r="D2046" s="24">
        <v>1704</v>
      </c>
    </row>
    <row r="2047" spans="1:4" x14ac:dyDescent="0.25">
      <c r="A2047" s="24">
        <v>1147</v>
      </c>
      <c r="B2047" s="24">
        <v>843199</v>
      </c>
      <c r="C2047" s="24" t="s">
        <v>2687</v>
      </c>
      <c r="D2047" s="24">
        <v>1705</v>
      </c>
    </row>
    <row r="2048" spans="1:4" x14ac:dyDescent="0.25">
      <c r="A2048" s="24">
        <v>1849</v>
      </c>
      <c r="B2048" s="24">
        <v>843229</v>
      </c>
      <c r="C2048" s="24" t="s">
        <v>2689</v>
      </c>
      <c r="D2048" s="24">
        <v>1706</v>
      </c>
    </row>
    <row r="2049" spans="1:4" x14ac:dyDescent="0.25">
      <c r="A2049" s="24">
        <v>1132</v>
      </c>
      <c r="B2049" s="24">
        <v>843261</v>
      </c>
      <c r="C2049" s="24" t="s">
        <v>2690</v>
      </c>
      <c r="D2049" s="24">
        <v>1707</v>
      </c>
    </row>
    <row r="2050" spans="1:4" x14ac:dyDescent="0.25">
      <c r="A2050" s="24">
        <v>439</v>
      </c>
      <c r="B2050" s="24">
        <v>843946</v>
      </c>
      <c r="C2050" s="24" t="s">
        <v>2722</v>
      </c>
      <c r="D2050" s="24">
        <v>1708</v>
      </c>
    </row>
    <row r="2051" spans="1:4" x14ac:dyDescent="0.25">
      <c r="A2051" s="24">
        <v>2662</v>
      </c>
      <c r="B2051" s="24">
        <v>843300</v>
      </c>
      <c r="C2051" s="24" t="s">
        <v>2691</v>
      </c>
      <c r="D2051" s="24">
        <v>1708</v>
      </c>
    </row>
    <row r="2052" spans="1:4" x14ac:dyDescent="0.25">
      <c r="A2052" s="24">
        <v>1084</v>
      </c>
      <c r="B2052" s="24">
        <v>843342</v>
      </c>
      <c r="C2052" s="24" t="s">
        <v>2692</v>
      </c>
      <c r="D2052" s="24">
        <v>1709</v>
      </c>
    </row>
    <row r="2053" spans="1:4" x14ac:dyDescent="0.25">
      <c r="A2053" s="24">
        <v>118</v>
      </c>
      <c r="B2053" s="24">
        <v>843423</v>
      </c>
      <c r="C2053" s="24" t="s">
        <v>2695</v>
      </c>
      <c r="D2053" s="24">
        <v>1710</v>
      </c>
    </row>
    <row r="2054" spans="1:4" x14ac:dyDescent="0.25">
      <c r="A2054" s="24">
        <v>1617</v>
      </c>
      <c r="B2054" s="24">
        <v>843415</v>
      </c>
      <c r="C2054" s="24" t="s">
        <v>2694</v>
      </c>
      <c r="D2054" s="24">
        <v>1710</v>
      </c>
    </row>
    <row r="2055" spans="1:4" x14ac:dyDescent="0.25">
      <c r="A2055" s="24">
        <v>2250</v>
      </c>
      <c r="B2055" s="24">
        <v>843431</v>
      </c>
      <c r="C2055" s="24" t="s">
        <v>2696</v>
      </c>
      <c r="D2055" s="24">
        <v>1711</v>
      </c>
    </row>
    <row r="2056" spans="1:4" x14ac:dyDescent="0.25">
      <c r="A2056" s="24">
        <v>1700</v>
      </c>
      <c r="B2056" s="24">
        <v>843466</v>
      </c>
      <c r="C2056" s="24" t="s">
        <v>2697</v>
      </c>
      <c r="D2056" s="24">
        <v>1712</v>
      </c>
    </row>
    <row r="2057" spans="1:4" x14ac:dyDescent="0.25">
      <c r="A2057" s="24">
        <v>2669</v>
      </c>
      <c r="B2057" s="24">
        <v>843482</v>
      </c>
      <c r="C2057" s="24" t="s">
        <v>2698</v>
      </c>
      <c r="D2057" s="24">
        <v>1713</v>
      </c>
    </row>
    <row r="2058" spans="1:4" x14ac:dyDescent="0.25">
      <c r="A2058" s="24">
        <v>628</v>
      </c>
      <c r="B2058" s="24">
        <v>843504</v>
      </c>
      <c r="C2058" s="24" t="s">
        <v>2699</v>
      </c>
      <c r="D2058" s="24">
        <v>1714</v>
      </c>
    </row>
    <row r="2059" spans="1:4" x14ac:dyDescent="0.25">
      <c r="A2059" s="24">
        <v>795</v>
      </c>
      <c r="B2059" s="24">
        <v>843610</v>
      </c>
      <c r="C2059" s="24" t="s">
        <v>2700</v>
      </c>
      <c r="D2059" s="24">
        <v>1715</v>
      </c>
    </row>
    <row r="2060" spans="1:4" x14ac:dyDescent="0.25">
      <c r="A2060" s="24">
        <v>3471</v>
      </c>
      <c r="B2060" s="24">
        <v>843644</v>
      </c>
      <c r="C2060" s="24" t="s">
        <v>2701</v>
      </c>
      <c r="D2060" s="24">
        <v>1715</v>
      </c>
    </row>
    <row r="2061" spans="1:4" x14ac:dyDescent="0.25">
      <c r="A2061" s="24">
        <v>3380</v>
      </c>
      <c r="B2061" s="24">
        <v>843679</v>
      </c>
      <c r="C2061" s="24" t="s">
        <v>2703</v>
      </c>
      <c r="D2061" s="24">
        <v>1716</v>
      </c>
    </row>
    <row r="2062" spans="1:4" x14ac:dyDescent="0.25">
      <c r="A2062" s="24">
        <v>3450</v>
      </c>
      <c r="B2062" s="24">
        <v>843661</v>
      </c>
      <c r="C2062" s="24" t="s">
        <v>2702</v>
      </c>
      <c r="D2062" s="24">
        <v>1716</v>
      </c>
    </row>
    <row r="2063" spans="1:4" x14ac:dyDescent="0.25">
      <c r="A2063" s="24">
        <v>2270</v>
      </c>
      <c r="B2063" s="24">
        <v>843687</v>
      </c>
      <c r="C2063" s="24" t="s">
        <v>2704</v>
      </c>
      <c r="D2063" s="24">
        <v>1717</v>
      </c>
    </row>
    <row r="2064" spans="1:4" x14ac:dyDescent="0.25">
      <c r="A2064" s="24">
        <v>1352</v>
      </c>
      <c r="B2064" s="24">
        <v>843695</v>
      </c>
      <c r="C2064" s="24" t="s">
        <v>2705</v>
      </c>
      <c r="D2064" s="24">
        <v>1718</v>
      </c>
    </row>
    <row r="2065" spans="1:4" x14ac:dyDescent="0.25">
      <c r="A2065" s="24">
        <v>1458</v>
      </c>
      <c r="B2065" s="24">
        <v>843709</v>
      </c>
      <c r="C2065" s="24" t="s">
        <v>2706</v>
      </c>
      <c r="D2065" s="24">
        <v>1719</v>
      </c>
    </row>
    <row r="2066" spans="1:4" x14ac:dyDescent="0.25">
      <c r="A2066" s="24">
        <v>1182</v>
      </c>
      <c r="B2066" s="24">
        <v>843733</v>
      </c>
      <c r="C2066" s="24" t="s">
        <v>2707</v>
      </c>
      <c r="D2066" s="24">
        <v>1720</v>
      </c>
    </row>
    <row r="2067" spans="1:4" x14ac:dyDescent="0.25">
      <c r="A2067" s="24">
        <v>45</v>
      </c>
      <c r="B2067" s="24">
        <v>843725</v>
      </c>
      <c r="C2067" s="24" t="s">
        <v>2707</v>
      </c>
      <c r="D2067" s="24">
        <v>1721</v>
      </c>
    </row>
    <row r="2068" spans="1:4" x14ac:dyDescent="0.25">
      <c r="A2068" s="24">
        <v>47</v>
      </c>
      <c r="B2068" s="24">
        <v>843741</v>
      </c>
      <c r="C2068" s="24" t="s">
        <v>2708</v>
      </c>
      <c r="D2068" s="24">
        <v>1722</v>
      </c>
    </row>
    <row r="2069" spans="1:4" x14ac:dyDescent="0.25">
      <c r="A2069" s="24">
        <v>896</v>
      </c>
      <c r="B2069" s="24">
        <v>843750</v>
      </c>
      <c r="C2069" s="24" t="s">
        <v>2709</v>
      </c>
      <c r="D2069" s="24">
        <v>1723</v>
      </c>
    </row>
    <row r="2070" spans="1:4" x14ac:dyDescent="0.25">
      <c r="A2070" s="24">
        <v>1525</v>
      </c>
      <c r="B2070" s="24">
        <v>843768</v>
      </c>
      <c r="C2070" s="24" t="s">
        <v>2710</v>
      </c>
      <c r="D2070" s="24">
        <v>1724</v>
      </c>
    </row>
    <row r="2071" spans="1:4" x14ac:dyDescent="0.25">
      <c r="A2071" s="24">
        <v>2520</v>
      </c>
      <c r="B2071" s="24">
        <v>843776</v>
      </c>
      <c r="C2071" s="24" t="s">
        <v>2711</v>
      </c>
      <c r="D2071" s="24">
        <v>1725</v>
      </c>
    </row>
    <row r="2072" spans="1:4" x14ac:dyDescent="0.25">
      <c r="A2072" s="24">
        <v>3248</v>
      </c>
      <c r="B2072" s="24">
        <v>843792</v>
      </c>
      <c r="C2072" s="24" t="s">
        <v>2712</v>
      </c>
      <c r="D2072" s="24">
        <v>1726</v>
      </c>
    </row>
    <row r="2073" spans="1:4" x14ac:dyDescent="0.25">
      <c r="A2073" s="24">
        <v>3171</v>
      </c>
      <c r="B2073" s="24">
        <v>843806</v>
      </c>
      <c r="C2073" s="24" t="s">
        <v>2713</v>
      </c>
      <c r="D2073" s="24">
        <v>1727</v>
      </c>
    </row>
    <row r="2074" spans="1:4" x14ac:dyDescent="0.25">
      <c r="A2074" s="24">
        <v>1226</v>
      </c>
      <c r="B2074" s="24">
        <v>843814</v>
      </c>
      <c r="C2074" s="24" t="s">
        <v>2714</v>
      </c>
      <c r="D2074" s="24">
        <v>1728</v>
      </c>
    </row>
    <row r="2075" spans="1:4" x14ac:dyDescent="0.25">
      <c r="A2075" s="24">
        <v>987</v>
      </c>
      <c r="B2075" s="24">
        <v>843822</v>
      </c>
      <c r="C2075" s="24" t="s">
        <v>2715</v>
      </c>
      <c r="D2075" s="24">
        <v>1729</v>
      </c>
    </row>
    <row r="2076" spans="1:4" x14ac:dyDescent="0.25">
      <c r="A2076" s="24">
        <v>2335</v>
      </c>
      <c r="B2076" s="24">
        <v>843831</v>
      </c>
      <c r="C2076" s="24" t="s">
        <v>2716</v>
      </c>
      <c r="D2076" s="24">
        <v>1730</v>
      </c>
    </row>
    <row r="2077" spans="1:4" x14ac:dyDescent="0.25">
      <c r="A2077" s="24">
        <v>360</v>
      </c>
      <c r="B2077" s="24">
        <v>843849</v>
      </c>
      <c r="C2077" s="24" t="s">
        <v>2717</v>
      </c>
      <c r="D2077" s="24">
        <v>1731</v>
      </c>
    </row>
    <row r="2078" spans="1:4" x14ac:dyDescent="0.25">
      <c r="A2078" s="24">
        <v>1246</v>
      </c>
      <c r="B2078" s="24">
        <v>843857</v>
      </c>
      <c r="C2078" s="24" t="s">
        <v>2718</v>
      </c>
      <c r="D2078" s="24">
        <v>1732</v>
      </c>
    </row>
    <row r="2079" spans="1:4" x14ac:dyDescent="0.25">
      <c r="A2079" s="24">
        <v>1372</v>
      </c>
      <c r="B2079" s="24">
        <v>843873</v>
      </c>
      <c r="C2079" s="24" t="s">
        <v>2719</v>
      </c>
      <c r="D2079" s="24">
        <v>1733</v>
      </c>
    </row>
    <row r="2080" spans="1:4" x14ac:dyDescent="0.25">
      <c r="A2080" s="24">
        <v>2763</v>
      </c>
      <c r="B2080" s="24">
        <v>843881</v>
      </c>
      <c r="C2080" s="24" t="s">
        <v>2720</v>
      </c>
      <c r="D2080" s="24">
        <v>1734</v>
      </c>
    </row>
    <row r="2081" spans="1:4" x14ac:dyDescent="0.25">
      <c r="A2081" s="24">
        <v>944</v>
      </c>
      <c r="B2081" s="24">
        <v>843903</v>
      </c>
      <c r="C2081" s="24" t="s">
        <v>2721</v>
      </c>
      <c r="D2081" s="24">
        <v>1735</v>
      </c>
    </row>
    <row r="2082" spans="1:4" x14ac:dyDescent="0.25">
      <c r="A2082" s="24">
        <v>2558</v>
      </c>
      <c r="B2082" s="24">
        <v>843962</v>
      </c>
      <c r="C2082" s="24" t="s">
        <v>2723</v>
      </c>
      <c r="D2082" s="24">
        <v>1736</v>
      </c>
    </row>
    <row r="2083" spans="1:4" x14ac:dyDescent="0.25">
      <c r="A2083" s="24">
        <v>3294</v>
      </c>
      <c r="B2083" s="24">
        <v>843997</v>
      </c>
      <c r="C2083" s="24" t="s">
        <v>2724</v>
      </c>
      <c r="D2083" s="24">
        <v>1737</v>
      </c>
    </row>
    <row r="2084" spans="1:4" x14ac:dyDescent="0.25">
      <c r="A2084" s="24">
        <v>2540</v>
      </c>
      <c r="B2084" s="24">
        <v>844004</v>
      </c>
      <c r="C2084" s="24" t="s">
        <v>2725</v>
      </c>
      <c r="D2084" s="24">
        <v>1738</v>
      </c>
    </row>
    <row r="2085" spans="1:4" x14ac:dyDescent="0.25">
      <c r="A2085" s="24">
        <v>929</v>
      </c>
      <c r="B2085" s="24">
        <v>844012</v>
      </c>
      <c r="C2085" s="24" t="s">
        <v>2726</v>
      </c>
      <c r="D2085" s="24">
        <v>1739</v>
      </c>
    </row>
    <row r="2086" spans="1:4" x14ac:dyDescent="0.25">
      <c r="A2086" s="24">
        <v>1000</v>
      </c>
      <c r="B2086" s="24">
        <v>844021</v>
      </c>
      <c r="C2086" s="24" t="s">
        <v>2727</v>
      </c>
      <c r="D2086" s="24">
        <v>1740</v>
      </c>
    </row>
    <row r="2087" spans="1:4" x14ac:dyDescent="0.25">
      <c r="A2087" s="24">
        <v>1686</v>
      </c>
      <c r="B2087" s="24">
        <v>844039</v>
      </c>
      <c r="C2087" s="24" t="s">
        <v>2728</v>
      </c>
      <c r="D2087" s="24">
        <v>1741</v>
      </c>
    </row>
    <row r="2088" spans="1:4" x14ac:dyDescent="0.25">
      <c r="A2088" s="24">
        <v>1499</v>
      </c>
      <c r="B2088" s="24">
        <v>844047</v>
      </c>
      <c r="C2088" s="24" t="s">
        <v>2729</v>
      </c>
      <c r="D2088" s="24">
        <v>1742</v>
      </c>
    </row>
    <row r="2089" spans="1:4" x14ac:dyDescent="0.25">
      <c r="A2089" s="24">
        <v>378</v>
      </c>
      <c r="B2089" s="24">
        <v>844110</v>
      </c>
      <c r="C2089" s="24" t="s">
        <v>2730</v>
      </c>
      <c r="D2089" s="24">
        <v>1743</v>
      </c>
    </row>
    <row r="2090" spans="1:4" x14ac:dyDescent="0.25">
      <c r="A2090" s="24">
        <v>3098</v>
      </c>
      <c r="B2090" s="24">
        <v>844128</v>
      </c>
      <c r="C2090" s="24" t="s">
        <v>2731</v>
      </c>
      <c r="D2090" s="24">
        <v>1744</v>
      </c>
    </row>
    <row r="2091" spans="1:4" x14ac:dyDescent="0.25">
      <c r="A2091" s="24">
        <v>1239</v>
      </c>
      <c r="B2091" s="24">
        <v>844152</v>
      </c>
      <c r="C2091" s="24" t="s">
        <v>2733</v>
      </c>
      <c r="D2091" s="24">
        <v>1745</v>
      </c>
    </row>
    <row r="2092" spans="1:4" x14ac:dyDescent="0.25">
      <c r="A2092" s="24">
        <v>2476</v>
      </c>
      <c r="B2092" s="24">
        <v>844144</v>
      </c>
      <c r="C2092" s="24" t="s">
        <v>2732</v>
      </c>
      <c r="D2092" s="24">
        <v>1745</v>
      </c>
    </row>
    <row r="2093" spans="1:4" x14ac:dyDescent="0.25">
      <c r="A2093" s="24">
        <v>1133</v>
      </c>
      <c r="B2093" s="24">
        <v>844179</v>
      </c>
      <c r="C2093" s="24" t="s">
        <v>2734</v>
      </c>
      <c r="D2093" s="24">
        <v>1746</v>
      </c>
    </row>
    <row r="2094" spans="1:4" x14ac:dyDescent="0.25">
      <c r="A2094" s="24">
        <v>1725</v>
      </c>
      <c r="B2094" s="24">
        <v>844195</v>
      </c>
      <c r="C2094" s="24" t="s">
        <v>2735</v>
      </c>
      <c r="D2094" s="24">
        <v>1747</v>
      </c>
    </row>
    <row r="2095" spans="1:4" x14ac:dyDescent="0.25">
      <c r="A2095" s="24">
        <v>885</v>
      </c>
      <c r="B2095" s="24">
        <v>844209</v>
      </c>
      <c r="C2095" s="24" t="s">
        <v>2736</v>
      </c>
      <c r="D2095" s="24">
        <v>1748</v>
      </c>
    </row>
    <row r="2096" spans="1:4" x14ac:dyDescent="0.25">
      <c r="A2096" s="24">
        <v>1588</v>
      </c>
      <c r="B2096" s="24">
        <v>811599</v>
      </c>
      <c r="C2096" s="24" t="s">
        <v>1208</v>
      </c>
      <c r="D2096" s="24">
        <v>1748</v>
      </c>
    </row>
    <row r="2097" spans="1:4" x14ac:dyDescent="0.25">
      <c r="A2097" s="24">
        <v>3315</v>
      </c>
      <c r="B2097" s="24">
        <v>844225</v>
      </c>
      <c r="C2097" s="24" t="s">
        <v>2737</v>
      </c>
      <c r="D2097" s="24">
        <v>1749</v>
      </c>
    </row>
    <row r="2098" spans="1:4" x14ac:dyDescent="0.25">
      <c r="A2098" s="24">
        <v>1610</v>
      </c>
      <c r="B2098" s="24">
        <v>844241</v>
      </c>
      <c r="C2098" s="24" t="s">
        <v>2738</v>
      </c>
      <c r="D2098" s="24">
        <v>1750</v>
      </c>
    </row>
    <row r="2099" spans="1:4" x14ac:dyDescent="0.25">
      <c r="A2099" s="24">
        <v>103</v>
      </c>
      <c r="B2099" s="24">
        <v>844268</v>
      </c>
      <c r="C2099" s="24" t="s">
        <v>2740</v>
      </c>
      <c r="D2099" s="24">
        <v>1751</v>
      </c>
    </row>
    <row r="2100" spans="1:4" x14ac:dyDescent="0.25">
      <c r="A2100" s="24">
        <v>1586</v>
      </c>
      <c r="B2100" s="24">
        <v>844250</v>
      </c>
      <c r="C2100" s="24" t="s">
        <v>2739</v>
      </c>
      <c r="D2100" s="24">
        <v>1751</v>
      </c>
    </row>
    <row r="2101" spans="1:4" x14ac:dyDescent="0.25">
      <c r="A2101" s="24">
        <v>1721</v>
      </c>
      <c r="B2101" s="24">
        <v>844314</v>
      </c>
      <c r="C2101" s="24" t="s">
        <v>2742</v>
      </c>
      <c r="D2101" s="24">
        <v>1752</v>
      </c>
    </row>
    <row r="2102" spans="1:4" x14ac:dyDescent="0.25">
      <c r="A2102" s="24">
        <v>1095</v>
      </c>
      <c r="B2102" s="24">
        <v>844322</v>
      </c>
      <c r="C2102" s="24" t="s">
        <v>2742</v>
      </c>
      <c r="D2102" s="24">
        <v>1753</v>
      </c>
    </row>
    <row r="2103" spans="1:4" x14ac:dyDescent="0.25">
      <c r="A2103" s="24">
        <v>511</v>
      </c>
      <c r="B2103" s="24">
        <v>844331</v>
      </c>
      <c r="C2103" s="24" t="s">
        <v>2743</v>
      </c>
      <c r="D2103" s="24">
        <v>1754</v>
      </c>
    </row>
    <row r="2104" spans="1:4" x14ac:dyDescent="0.25">
      <c r="A2104" s="24">
        <v>269</v>
      </c>
      <c r="B2104" s="24">
        <v>844365</v>
      </c>
      <c r="C2104" s="24" t="s">
        <v>2745</v>
      </c>
      <c r="D2104" s="24">
        <v>1755</v>
      </c>
    </row>
    <row r="2105" spans="1:4" x14ac:dyDescent="0.25">
      <c r="A2105" s="24">
        <v>2062</v>
      </c>
      <c r="B2105" s="24">
        <v>844411</v>
      </c>
      <c r="C2105" s="24" t="s">
        <v>2747</v>
      </c>
      <c r="D2105" s="24">
        <v>1756</v>
      </c>
    </row>
    <row r="2106" spans="1:4" x14ac:dyDescent="0.25">
      <c r="A2106" s="24">
        <v>702</v>
      </c>
      <c r="B2106" s="24">
        <v>844420</v>
      </c>
      <c r="C2106" s="24" t="s">
        <v>2748</v>
      </c>
      <c r="D2106" s="24">
        <v>1757</v>
      </c>
    </row>
    <row r="2107" spans="1:4" x14ac:dyDescent="0.25">
      <c r="A2107" s="24">
        <v>2907</v>
      </c>
      <c r="B2107" s="24">
        <v>844438</v>
      </c>
      <c r="C2107" s="24" t="s">
        <v>2749</v>
      </c>
      <c r="D2107" s="24">
        <v>1758</v>
      </c>
    </row>
    <row r="2108" spans="1:4" x14ac:dyDescent="0.25">
      <c r="A2108" s="24">
        <v>2056</v>
      </c>
      <c r="B2108" s="24">
        <v>844446</v>
      </c>
      <c r="C2108" s="24" t="s">
        <v>2750</v>
      </c>
      <c r="D2108" s="24">
        <v>1759</v>
      </c>
    </row>
    <row r="2109" spans="1:4" x14ac:dyDescent="0.25">
      <c r="A2109" s="24">
        <v>1863</v>
      </c>
      <c r="B2109" s="24">
        <v>844454</v>
      </c>
      <c r="C2109" s="24" t="s">
        <v>2751</v>
      </c>
      <c r="D2109" s="24">
        <v>1760</v>
      </c>
    </row>
    <row r="2110" spans="1:4" x14ac:dyDescent="0.25">
      <c r="A2110" s="24">
        <v>2131</v>
      </c>
      <c r="B2110" s="24">
        <v>844489</v>
      </c>
      <c r="C2110" s="24" t="s">
        <v>2752</v>
      </c>
      <c r="D2110" s="24">
        <v>1761</v>
      </c>
    </row>
    <row r="2111" spans="1:4" x14ac:dyDescent="0.25">
      <c r="A2111" s="24">
        <v>234</v>
      </c>
      <c r="B2111" s="24">
        <v>844519</v>
      </c>
      <c r="C2111" s="24" t="s">
        <v>2753</v>
      </c>
      <c r="D2111" s="24">
        <v>1762</v>
      </c>
    </row>
    <row r="2112" spans="1:4" x14ac:dyDescent="0.25">
      <c r="A2112" s="24">
        <v>763</v>
      </c>
      <c r="B2112" s="24">
        <v>844527</v>
      </c>
      <c r="C2112" s="24" t="s">
        <v>2754</v>
      </c>
      <c r="D2112" s="24">
        <v>1763</v>
      </c>
    </row>
    <row r="2113" spans="1:4" x14ac:dyDescent="0.25">
      <c r="A2113" s="24">
        <v>13</v>
      </c>
      <c r="B2113" s="24">
        <v>844560</v>
      </c>
      <c r="C2113" s="24" t="s">
        <v>2756</v>
      </c>
      <c r="D2113" s="24">
        <v>1764</v>
      </c>
    </row>
    <row r="2114" spans="1:4" x14ac:dyDescent="0.25">
      <c r="A2114" s="24">
        <v>3358</v>
      </c>
      <c r="B2114" s="24">
        <v>844543</v>
      </c>
      <c r="C2114" s="24" t="s">
        <v>2755</v>
      </c>
      <c r="D2114" s="24">
        <v>1764</v>
      </c>
    </row>
    <row r="2115" spans="1:4" x14ac:dyDescent="0.25">
      <c r="A2115" s="24">
        <v>2338</v>
      </c>
      <c r="B2115" s="24">
        <v>835641</v>
      </c>
      <c r="C2115" s="24" t="s">
        <v>2360</v>
      </c>
      <c r="D2115" s="24">
        <v>1765</v>
      </c>
    </row>
    <row r="2116" spans="1:4" x14ac:dyDescent="0.25">
      <c r="A2116" s="24">
        <v>3307</v>
      </c>
      <c r="B2116" s="24">
        <v>844578</v>
      </c>
      <c r="C2116" s="24" t="s">
        <v>1129</v>
      </c>
      <c r="D2116" s="24">
        <v>1765</v>
      </c>
    </row>
    <row r="2117" spans="1:4" x14ac:dyDescent="0.25">
      <c r="A2117" s="24">
        <v>3523</v>
      </c>
      <c r="B2117" s="24">
        <v>844586</v>
      </c>
      <c r="C2117" s="24" t="s">
        <v>1129</v>
      </c>
      <c r="D2117" s="24">
        <v>1766</v>
      </c>
    </row>
    <row r="2118" spans="1:4" x14ac:dyDescent="0.25">
      <c r="A2118" s="24">
        <v>1229</v>
      </c>
      <c r="B2118" s="24">
        <v>844608</v>
      </c>
      <c r="C2118" s="24" t="s">
        <v>2757</v>
      </c>
      <c r="D2118" s="24">
        <v>1767</v>
      </c>
    </row>
    <row r="2119" spans="1:4" x14ac:dyDescent="0.25">
      <c r="A2119" s="24">
        <v>925</v>
      </c>
      <c r="B2119" s="24">
        <v>844624</v>
      </c>
      <c r="C2119" s="24" t="s">
        <v>2759</v>
      </c>
      <c r="D2119" s="24">
        <v>1768</v>
      </c>
    </row>
    <row r="2120" spans="1:4" x14ac:dyDescent="0.25">
      <c r="A2120" s="24">
        <v>2256</v>
      </c>
      <c r="B2120" s="24">
        <v>844641</v>
      </c>
      <c r="C2120" s="24" t="s">
        <v>2760</v>
      </c>
      <c r="D2120" s="24">
        <v>1769</v>
      </c>
    </row>
    <row r="2121" spans="1:4" x14ac:dyDescent="0.25">
      <c r="A2121" s="24">
        <v>3504</v>
      </c>
      <c r="B2121" s="24">
        <v>844659</v>
      </c>
      <c r="C2121" s="24" t="s">
        <v>2761</v>
      </c>
      <c r="D2121" s="24">
        <v>1770</v>
      </c>
    </row>
    <row r="2122" spans="1:4" x14ac:dyDescent="0.25">
      <c r="A2122" s="24">
        <v>190</v>
      </c>
      <c r="B2122" s="24">
        <v>844748</v>
      </c>
      <c r="C2122" s="24" t="s">
        <v>2762</v>
      </c>
      <c r="D2122" s="24">
        <v>1771</v>
      </c>
    </row>
    <row r="2123" spans="1:4" x14ac:dyDescent="0.25">
      <c r="A2123" s="24">
        <v>2639</v>
      </c>
      <c r="B2123" s="24">
        <v>815489</v>
      </c>
      <c r="C2123" s="24" t="s">
        <v>1415</v>
      </c>
      <c r="D2123" s="24">
        <v>1772</v>
      </c>
    </row>
    <row r="2124" spans="1:4" x14ac:dyDescent="0.25">
      <c r="A2124" s="24">
        <v>1078</v>
      </c>
      <c r="B2124" s="24">
        <v>844829</v>
      </c>
      <c r="C2124" s="24" t="s">
        <v>2764</v>
      </c>
      <c r="D2124" s="24">
        <v>1773</v>
      </c>
    </row>
    <row r="2125" spans="1:4" x14ac:dyDescent="0.25">
      <c r="A2125" s="24">
        <v>3246</v>
      </c>
      <c r="B2125" s="24">
        <v>844837</v>
      </c>
      <c r="C2125" s="24" t="s">
        <v>2765</v>
      </c>
      <c r="D2125" s="24">
        <v>1774</v>
      </c>
    </row>
    <row r="2126" spans="1:4" x14ac:dyDescent="0.25">
      <c r="A2126" s="24">
        <v>1789</v>
      </c>
      <c r="B2126" s="24">
        <v>844845</v>
      </c>
      <c r="C2126" s="24" t="s">
        <v>2766</v>
      </c>
      <c r="D2126" s="24">
        <v>1775</v>
      </c>
    </row>
    <row r="2127" spans="1:4" x14ac:dyDescent="0.25">
      <c r="A2127" s="24">
        <v>765</v>
      </c>
      <c r="B2127" s="24">
        <v>844853</v>
      </c>
      <c r="C2127" s="24" t="s">
        <v>2767</v>
      </c>
      <c r="D2127" s="24">
        <v>1776</v>
      </c>
    </row>
    <row r="2128" spans="1:4" x14ac:dyDescent="0.25">
      <c r="A2128" s="24">
        <v>1010</v>
      </c>
      <c r="B2128" s="24">
        <v>807656</v>
      </c>
      <c r="C2128" s="24" t="s">
        <v>1021</v>
      </c>
      <c r="D2128" s="24">
        <v>1776</v>
      </c>
    </row>
    <row r="2129" spans="1:4" x14ac:dyDescent="0.25">
      <c r="A2129" s="24">
        <v>3539</v>
      </c>
      <c r="B2129" s="24">
        <v>844918</v>
      </c>
      <c r="C2129" s="24" t="s">
        <v>2768</v>
      </c>
      <c r="D2129" s="24">
        <v>1777</v>
      </c>
    </row>
    <row r="2130" spans="1:4" x14ac:dyDescent="0.25">
      <c r="A2130" s="24">
        <v>3455</v>
      </c>
      <c r="B2130" s="24">
        <v>844934</v>
      </c>
      <c r="C2130" s="24" t="s">
        <v>2770</v>
      </c>
      <c r="D2130" s="24">
        <v>1778</v>
      </c>
    </row>
    <row r="2131" spans="1:4" x14ac:dyDescent="0.25">
      <c r="A2131" s="24">
        <v>452</v>
      </c>
      <c r="B2131" s="24">
        <v>844942</v>
      </c>
      <c r="C2131" s="24" t="s">
        <v>2771</v>
      </c>
      <c r="D2131" s="24">
        <v>1779</v>
      </c>
    </row>
    <row r="2132" spans="1:4" x14ac:dyDescent="0.25">
      <c r="A2132" s="24">
        <v>221</v>
      </c>
      <c r="B2132" s="24">
        <v>844969</v>
      </c>
      <c r="C2132" s="24" t="s">
        <v>2772</v>
      </c>
      <c r="D2132" s="24">
        <v>1780</v>
      </c>
    </row>
    <row r="2133" spans="1:4" x14ac:dyDescent="0.25">
      <c r="A2133" s="24">
        <v>1886</v>
      </c>
      <c r="B2133" s="24">
        <v>844985</v>
      </c>
      <c r="C2133" s="24" t="s">
        <v>2774</v>
      </c>
      <c r="D2133" s="24">
        <v>1781</v>
      </c>
    </row>
    <row r="2134" spans="1:4" x14ac:dyDescent="0.25">
      <c r="A2134" s="24">
        <v>1649</v>
      </c>
      <c r="B2134" s="24">
        <v>845027</v>
      </c>
      <c r="C2134" s="24" t="s">
        <v>2775</v>
      </c>
      <c r="D2134" s="24">
        <v>1782</v>
      </c>
    </row>
    <row r="2135" spans="1:4" x14ac:dyDescent="0.25">
      <c r="A2135" s="24">
        <v>1037</v>
      </c>
      <c r="B2135" s="24">
        <v>845230</v>
      </c>
      <c r="C2135" s="24" t="s">
        <v>2776</v>
      </c>
      <c r="D2135" s="24">
        <v>1783</v>
      </c>
    </row>
    <row r="2136" spans="1:4" x14ac:dyDescent="0.25">
      <c r="A2136" s="24">
        <v>2960</v>
      </c>
      <c r="B2136" s="24">
        <v>845256</v>
      </c>
      <c r="C2136" s="24" t="s">
        <v>2778</v>
      </c>
      <c r="D2136" s="24">
        <v>1784</v>
      </c>
    </row>
    <row r="2137" spans="1:4" x14ac:dyDescent="0.25">
      <c r="A2137" s="24">
        <v>3157</v>
      </c>
      <c r="B2137" s="24">
        <v>845272</v>
      </c>
      <c r="C2137" s="24" t="s">
        <v>2779</v>
      </c>
      <c r="D2137" s="24">
        <v>1785</v>
      </c>
    </row>
    <row r="2138" spans="1:4" x14ac:dyDescent="0.25">
      <c r="A2138" s="24">
        <v>2198</v>
      </c>
      <c r="B2138" s="24">
        <v>845299</v>
      </c>
      <c r="C2138" s="24" t="s">
        <v>2780</v>
      </c>
      <c r="D2138" s="24">
        <v>1786</v>
      </c>
    </row>
    <row r="2139" spans="1:4" x14ac:dyDescent="0.25">
      <c r="A2139" s="24">
        <v>1073</v>
      </c>
      <c r="B2139" s="24">
        <v>845302</v>
      </c>
      <c r="C2139" s="24" t="s">
        <v>2781</v>
      </c>
      <c r="D2139" s="24">
        <v>1787</v>
      </c>
    </row>
    <row r="2140" spans="1:4" x14ac:dyDescent="0.25">
      <c r="A2140" s="24">
        <v>1881</v>
      </c>
      <c r="B2140" s="24">
        <v>845311</v>
      </c>
      <c r="C2140" s="24" t="s">
        <v>2782</v>
      </c>
      <c r="D2140" s="24">
        <v>1788</v>
      </c>
    </row>
    <row r="2141" spans="1:4" x14ac:dyDescent="0.25">
      <c r="A2141" s="24">
        <v>623</v>
      </c>
      <c r="B2141" s="24">
        <v>845337</v>
      </c>
      <c r="C2141" s="24" t="s">
        <v>2783</v>
      </c>
      <c r="D2141" s="24">
        <v>1789</v>
      </c>
    </row>
    <row r="2142" spans="1:4" x14ac:dyDescent="0.25">
      <c r="A2142" s="24">
        <v>3071</v>
      </c>
      <c r="B2142" s="24">
        <v>803987</v>
      </c>
      <c r="C2142" s="24" t="s">
        <v>931</v>
      </c>
      <c r="D2142" s="24">
        <v>1790</v>
      </c>
    </row>
    <row r="2143" spans="1:4" x14ac:dyDescent="0.25">
      <c r="A2143" s="24">
        <v>2896</v>
      </c>
      <c r="B2143" s="24">
        <v>845361</v>
      </c>
      <c r="C2143" s="24" t="s">
        <v>2784</v>
      </c>
      <c r="D2143" s="24">
        <v>1790</v>
      </c>
    </row>
    <row r="2144" spans="1:4" x14ac:dyDescent="0.25">
      <c r="A2144" s="24">
        <v>1657</v>
      </c>
      <c r="B2144" s="24">
        <v>845370</v>
      </c>
      <c r="C2144" s="24" t="s">
        <v>2785</v>
      </c>
      <c r="D2144" s="24">
        <v>1791</v>
      </c>
    </row>
    <row r="2145" spans="1:4" x14ac:dyDescent="0.25">
      <c r="A2145" s="24">
        <v>3388</v>
      </c>
      <c r="B2145" s="24">
        <v>845388</v>
      </c>
      <c r="C2145" s="24" t="s">
        <v>2786</v>
      </c>
      <c r="D2145" s="24">
        <v>1792</v>
      </c>
    </row>
    <row r="2146" spans="1:4" x14ac:dyDescent="0.25">
      <c r="A2146" s="24">
        <v>2119</v>
      </c>
      <c r="B2146" s="24">
        <v>845400</v>
      </c>
      <c r="C2146" s="24" t="s">
        <v>2787</v>
      </c>
      <c r="D2146" s="24">
        <v>1793</v>
      </c>
    </row>
    <row r="2147" spans="1:4" x14ac:dyDescent="0.25">
      <c r="A2147" s="24">
        <v>11</v>
      </c>
      <c r="B2147" s="24">
        <v>845426</v>
      </c>
      <c r="C2147" s="24" t="s">
        <v>2788</v>
      </c>
      <c r="D2147" s="24">
        <v>1794</v>
      </c>
    </row>
    <row r="2148" spans="1:4" x14ac:dyDescent="0.25">
      <c r="A2148" s="24">
        <v>3216</v>
      </c>
      <c r="B2148" s="24">
        <v>835480</v>
      </c>
      <c r="C2148" s="24" t="s">
        <v>2348</v>
      </c>
      <c r="D2148" s="24">
        <v>1794</v>
      </c>
    </row>
    <row r="2149" spans="1:4" x14ac:dyDescent="0.25">
      <c r="A2149" s="24">
        <v>3177</v>
      </c>
      <c r="B2149" s="24">
        <v>839388</v>
      </c>
      <c r="C2149" s="24" t="s">
        <v>2546</v>
      </c>
      <c r="D2149" s="24">
        <v>1794</v>
      </c>
    </row>
    <row r="2150" spans="1:4" x14ac:dyDescent="0.25">
      <c r="A2150" s="24">
        <v>3373</v>
      </c>
      <c r="B2150" s="24">
        <v>867934</v>
      </c>
      <c r="C2150" s="24" t="s">
        <v>3738</v>
      </c>
      <c r="D2150" s="24">
        <v>1794</v>
      </c>
    </row>
    <row r="2151" spans="1:4" x14ac:dyDescent="0.25">
      <c r="A2151" s="24">
        <v>1594</v>
      </c>
      <c r="B2151" s="24">
        <v>845566</v>
      </c>
      <c r="C2151" s="24" t="s">
        <v>2789</v>
      </c>
      <c r="D2151" s="24">
        <v>1795</v>
      </c>
    </row>
    <row r="2152" spans="1:4" x14ac:dyDescent="0.25">
      <c r="A2152" s="24">
        <v>1442</v>
      </c>
      <c r="B2152" s="24">
        <v>845591</v>
      </c>
      <c r="C2152" s="24" t="s">
        <v>2790</v>
      </c>
      <c r="D2152" s="24">
        <v>1796</v>
      </c>
    </row>
    <row r="2153" spans="1:4" x14ac:dyDescent="0.25">
      <c r="A2153" s="24">
        <v>1732</v>
      </c>
      <c r="B2153" s="24">
        <v>845639</v>
      </c>
      <c r="C2153" s="24" t="s">
        <v>2792</v>
      </c>
      <c r="D2153" s="24">
        <v>1797</v>
      </c>
    </row>
    <row r="2154" spans="1:4" x14ac:dyDescent="0.25">
      <c r="A2154" s="24">
        <v>2636</v>
      </c>
      <c r="B2154" s="24">
        <v>845647</v>
      </c>
      <c r="C2154" s="24" t="s">
        <v>2793</v>
      </c>
      <c r="D2154" s="24">
        <v>1798</v>
      </c>
    </row>
    <row r="2155" spans="1:4" x14ac:dyDescent="0.25">
      <c r="A2155" s="24">
        <v>2659</v>
      </c>
      <c r="B2155" s="24">
        <v>845655</v>
      </c>
      <c r="C2155" s="24" t="s">
        <v>2794</v>
      </c>
      <c r="D2155" s="24">
        <v>1799</v>
      </c>
    </row>
    <row r="2156" spans="1:4" x14ac:dyDescent="0.25">
      <c r="A2156" s="24">
        <v>3401</v>
      </c>
      <c r="B2156" s="24">
        <v>845612</v>
      </c>
      <c r="C2156" s="24" t="s">
        <v>2791</v>
      </c>
      <c r="D2156" s="24">
        <v>1800</v>
      </c>
    </row>
    <row r="2157" spans="1:4" x14ac:dyDescent="0.25">
      <c r="A2157" s="24">
        <v>2406</v>
      </c>
      <c r="B2157" s="24">
        <v>845663</v>
      </c>
      <c r="C2157" s="24" t="s">
        <v>2795</v>
      </c>
      <c r="D2157" s="24">
        <v>1801</v>
      </c>
    </row>
    <row r="2158" spans="1:4" x14ac:dyDescent="0.25">
      <c r="A2158" s="24">
        <v>3000</v>
      </c>
      <c r="B2158" s="24">
        <v>845671</v>
      </c>
      <c r="C2158" s="24" t="s">
        <v>2796</v>
      </c>
      <c r="D2158" s="24">
        <v>1802</v>
      </c>
    </row>
    <row r="2159" spans="1:4" x14ac:dyDescent="0.25">
      <c r="A2159" s="24">
        <v>1209</v>
      </c>
      <c r="B2159" s="24">
        <v>845680</v>
      </c>
      <c r="C2159" s="24" t="s">
        <v>2797</v>
      </c>
      <c r="D2159" s="24">
        <v>1803</v>
      </c>
    </row>
    <row r="2160" spans="1:4" x14ac:dyDescent="0.25">
      <c r="A2160" s="24">
        <v>1564</v>
      </c>
      <c r="B2160" s="24">
        <v>845698</v>
      </c>
      <c r="C2160" s="24" t="s">
        <v>2798</v>
      </c>
      <c r="D2160" s="24">
        <v>1804</v>
      </c>
    </row>
    <row r="2161" spans="1:4" x14ac:dyDescent="0.25">
      <c r="A2161" s="24">
        <v>1144</v>
      </c>
      <c r="B2161" s="24">
        <v>845701</v>
      </c>
      <c r="C2161" s="24" t="s">
        <v>2799</v>
      </c>
      <c r="D2161" s="24">
        <v>1805</v>
      </c>
    </row>
    <row r="2162" spans="1:4" x14ac:dyDescent="0.25">
      <c r="A2162" s="24">
        <v>28</v>
      </c>
      <c r="B2162" s="24">
        <v>845710</v>
      </c>
      <c r="C2162" s="24" t="s">
        <v>2800</v>
      </c>
      <c r="D2162" s="24">
        <v>1806</v>
      </c>
    </row>
    <row r="2163" spans="1:4" x14ac:dyDescent="0.25">
      <c r="A2163" s="24">
        <v>2243</v>
      </c>
      <c r="B2163" s="24">
        <v>845728</v>
      </c>
      <c r="C2163" s="24" t="s">
        <v>2801</v>
      </c>
      <c r="D2163" s="24">
        <v>1806</v>
      </c>
    </row>
    <row r="2164" spans="1:4" x14ac:dyDescent="0.25">
      <c r="A2164" s="24">
        <v>448</v>
      </c>
      <c r="B2164" s="24">
        <v>845736</v>
      </c>
      <c r="C2164" s="24" t="s">
        <v>2802</v>
      </c>
      <c r="D2164" s="24">
        <v>1807</v>
      </c>
    </row>
    <row r="2165" spans="1:4" x14ac:dyDescent="0.25">
      <c r="A2165" s="24">
        <v>2113</v>
      </c>
      <c r="B2165" s="24">
        <v>845744</v>
      </c>
      <c r="C2165" s="24" t="s">
        <v>2802</v>
      </c>
      <c r="D2165" s="24">
        <v>1808</v>
      </c>
    </row>
    <row r="2166" spans="1:4" x14ac:dyDescent="0.25">
      <c r="A2166" s="24">
        <v>749</v>
      </c>
      <c r="B2166" s="24">
        <v>845787</v>
      </c>
      <c r="C2166" s="24" t="s">
        <v>2803</v>
      </c>
      <c r="D2166" s="24">
        <v>1809</v>
      </c>
    </row>
    <row r="2167" spans="1:4" x14ac:dyDescent="0.25">
      <c r="A2167" s="24">
        <v>2422</v>
      </c>
      <c r="B2167" s="24">
        <v>845809</v>
      </c>
      <c r="C2167" s="24" t="s">
        <v>2804</v>
      </c>
      <c r="D2167" s="24">
        <v>1810</v>
      </c>
    </row>
    <row r="2168" spans="1:4" x14ac:dyDescent="0.25">
      <c r="A2168" s="24">
        <v>2654</v>
      </c>
      <c r="B2168" s="24">
        <v>845817</v>
      </c>
      <c r="C2168" s="24" t="s">
        <v>2805</v>
      </c>
      <c r="D2168" s="24">
        <v>1811</v>
      </c>
    </row>
    <row r="2169" spans="1:4" x14ac:dyDescent="0.25">
      <c r="A2169" s="24">
        <v>399</v>
      </c>
      <c r="B2169" s="24">
        <v>845825</v>
      </c>
      <c r="C2169" s="24" t="s">
        <v>2806</v>
      </c>
      <c r="D2169" s="24">
        <v>1812</v>
      </c>
    </row>
    <row r="2170" spans="1:4" x14ac:dyDescent="0.25">
      <c r="A2170" s="24">
        <v>404</v>
      </c>
      <c r="B2170" s="24">
        <v>845833</v>
      </c>
      <c r="C2170" s="24" t="s">
        <v>2807</v>
      </c>
      <c r="D2170" s="24">
        <v>1813</v>
      </c>
    </row>
    <row r="2171" spans="1:4" x14ac:dyDescent="0.25">
      <c r="A2171" s="24">
        <v>1190</v>
      </c>
      <c r="B2171" s="24">
        <v>845841</v>
      </c>
      <c r="C2171" s="24" t="s">
        <v>2808</v>
      </c>
      <c r="D2171" s="24">
        <v>1814</v>
      </c>
    </row>
    <row r="2172" spans="1:4" x14ac:dyDescent="0.25">
      <c r="A2172" s="24">
        <v>778</v>
      </c>
      <c r="B2172" s="24">
        <v>845876</v>
      </c>
      <c r="C2172" s="24" t="s">
        <v>2809</v>
      </c>
      <c r="D2172" s="24">
        <v>1815</v>
      </c>
    </row>
    <row r="2173" spans="1:4" x14ac:dyDescent="0.25">
      <c r="A2173" s="24">
        <v>2082</v>
      </c>
      <c r="B2173" s="24">
        <v>845884</v>
      </c>
      <c r="C2173" s="24" t="s">
        <v>2810</v>
      </c>
      <c r="D2173" s="24">
        <v>1816</v>
      </c>
    </row>
    <row r="2174" spans="1:4" x14ac:dyDescent="0.25">
      <c r="A2174" s="24">
        <v>581</v>
      </c>
      <c r="B2174" s="24">
        <v>845922</v>
      </c>
      <c r="C2174" s="24" t="s">
        <v>2813</v>
      </c>
      <c r="D2174" s="24">
        <v>1817</v>
      </c>
    </row>
    <row r="2175" spans="1:4" x14ac:dyDescent="0.25">
      <c r="A2175" s="24">
        <v>3086</v>
      </c>
      <c r="B2175" s="24">
        <v>871559</v>
      </c>
      <c r="C2175" s="24" t="s">
        <v>3931</v>
      </c>
      <c r="D2175" s="24">
        <v>1817</v>
      </c>
    </row>
    <row r="2176" spans="1:4" x14ac:dyDescent="0.25">
      <c r="A2176" s="24">
        <v>2475</v>
      </c>
      <c r="B2176" s="24">
        <v>845914</v>
      </c>
      <c r="C2176" s="24" t="s">
        <v>2812</v>
      </c>
      <c r="D2176" s="24">
        <v>1817</v>
      </c>
    </row>
    <row r="2177" spans="1:4" x14ac:dyDescent="0.25">
      <c r="A2177" s="24">
        <v>498</v>
      </c>
      <c r="B2177" s="24">
        <v>845931</v>
      </c>
      <c r="C2177" s="24" t="s">
        <v>2814</v>
      </c>
      <c r="D2177" s="24">
        <v>1818</v>
      </c>
    </row>
    <row r="2178" spans="1:4" x14ac:dyDescent="0.25">
      <c r="A2178" s="24">
        <v>1430</v>
      </c>
      <c r="B2178" s="24">
        <v>845949</v>
      </c>
      <c r="C2178" s="24" t="s">
        <v>2815</v>
      </c>
      <c r="D2178" s="24">
        <v>1819</v>
      </c>
    </row>
    <row r="2179" spans="1:4" x14ac:dyDescent="0.25">
      <c r="A2179" s="24">
        <v>1958</v>
      </c>
      <c r="B2179" s="24">
        <v>845965</v>
      </c>
      <c r="C2179" s="24" t="s">
        <v>2817</v>
      </c>
      <c r="D2179" s="24">
        <v>1820</v>
      </c>
    </row>
    <row r="2180" spans="1:4" x14ac:dyDescent="0.25">
      <c r="A2180" s="24">
        <v>2823</v>
      </c>
      <c r="B2180" s="24">
        <v>845981</v>
      </c>
      <c r="C2180" s="24" t="s">
        <v>2818</v>
      </c>
      <c r="D2180" s="24">
        <v>1821</v>
      </c>
    </row>
    <row r="2181" spans="1:4" x14ac:dyDescent="0.25">
      <c r="A2181" s="24">
        <v>1982</v>
      </c>
      <c r="B2181" s="24">
        <v>845990</v>
      </c>
      <c r="C2181" s="24" t="s">
        <v>2819</v>
      </c>
      <c r="D2181" s="24">
        <v>1822</v>
      </c>
    </row>
    <row r="2182" spans="1:4" x14ac:dyDescent="0.25">
      <c r="A2182" s="24">
        <v>1145</v>
      </c>
      <c r="B2182" s="24">
        <v>950068</v>
      </c>
      <c r="C2182" s="24" t="s">
        <v>4108</v>
      </c>
      <c r="D2182" s="24">
        <v>1823</v>
      </c>
    </row>
    <row r="2183" spans="1:4" x14ac:dyDescent="0.25">
      <c r="A2183" s="24">
        <v>1844</v>
      </c>
      <c r="B2183" s="24">
        <v>846007</v>
      </c>
      <c r="C2183" s="24" t="s">
        <v>2820</v>
      </c>
      <c r="D2183" s="24">
        <v>1823</v>
      </c>
    </row>
    <row r="2184" spans="1:4" x14ac:dyDescent="0.25">
      <c r="A2184" s="24">
        <v>1281</v>
      </c>
      <c r="B2184" s="24">
        <v>846040</v>
      </c>
      <c r="C2184" s="24" t="s">
        <v>2821</v>
      </c>
      <c r="D2184" s="24">
        <v>1824</v>
      </c>
    </row>
    <row r="2185" spans="1:4" x14ac:dyDescent="0.25">
      <c r="A2185" s="24">
        <v>3292</v>
      </c>
      <c r="B2185" s="24">
        <v>846058</v>
      </c>
      <c r="C2185" s="24" t="s">
        <v>2822</v>
      </c>
      <c r="D2185" s="24">
        <v>1824</v>
      </c>
    </row>
    <row r="2186" spans="1:4" x14ac:dyDescent="0.25">
      <c r="A2186" s="24">
        <v>2528</v>
      </c>
      <c r="B2186" s="24">
        <v>846074</v>
      </c>
      <c r="C2186" s="24" t="s">
        <v>2823</v>
      </c>
      <c r="D2186" s="24">
        <v>1825</v>
      </c>
    </row>
    <row r="2187" spans="1:4" x14ac:dyDescent="0.25">
      <c r="A2187" s="24">
        <v>3207</v>
      </c>
      <c r="B2187" s="24">
        <v>846082</v>
      </c>
      <c r="C2187" s="24" t="s">
        <v>2823</v>
      </c>
      <c r="D2187" s="24">
        <v>1826</v>
      </c>
    </row>
    <row r="2188" spans="1:4" x14ac:dyDescent="0.25">
      <c r="A2188" s="24">
        <v>2296</v>
      </c>
      <c r="B2188" s="24">
        <v>846091</v>
      </c>
      <c r="C2188" s="24" t="s">
        <v>2823</v>
      </c>
      <c r="D2188" s="24">
        <v>1827</v>
      </c>
    </row>
    <row r="2189" spans="1:4" x14ac:dyDescent="0.25">
      <c r="A2189" s="24">
        <v>3406</v>
      </c>
      <c r="B2189" s="24">
        <v>846112</v>
      </c>
      <c r="C2189" s="24" t="s">
        <v>2824</v>
      </c>
      <c r="D2189" s="24">
        <v>1828</v>
      </c>
    </row>
    <row r="2190" spans="1:4" x14ac:dyDescent="0.25">
      <c r="A2190" s="24">
        <v>2479</v>
      </c>
      <c r="B2190" s="24">
        <v>846121</v>
      </c>
      <c r="C2190" s="24" t="s">
        <v>2825</v>
      </c>
      <c r="D2190" s="24">
        <v>1829</v>
      </c>
    </row>
    <row r="2191" spans="1:4" x14ac:dyDescent="0.25">
      <c r="A2191" s="24">
        <v>2786</v>
      </c>
      <c r="B2191" s="24">
        <v>846147</v>
      </c>
      <c r="C2191" s="24" t="s">
        <v>2826</v>
      </c>
      <c r="D2191" s="24">
        <v>1829</v>
      </c>
    </row>
    <row r="2192" spans="1:4" x14ac:dyDescent="0.25">
      <c r="A2192" s="24">
        <v>2929</v>
      </c>
      <c r="B2192" s="24">
        <v>846155</v>
      </c>
      <c r="C2192" s="24" t="s">
        <v>2827</v>
      </c>
      <c r="D2192" s="24">
        <v>1830</v>
      </c>
    </row>
    <row r="2193" spans="1:4" x14ac:dyDescent="0.25">
      <c r="A2193" s="24">
        <v>25</v>
      </c>
      <c r="B2193" s="24">
        <v>839019</v>
      </c>
      <c r="C2193" s="24" t="s">
        <v>2530</v>
      </c>
      <c r="D2193" s="24">
        <v>1831</v>
      </c>
    </row>
    <row r="2194" spans="1:4" x14ac:dyDescent="0.25">
      <c r="A2194" s="24">
        <v>3113</v>
      </c>
      <c r="B2194" s="24">
        <v>846163</v>
      </c>
      <c r="C2194" s="24" t="s">
        <v>2828</v>
      </c>
      <c r="D2194" s="24">
        <v>1831</v>
      </c>
    </row>
    <row r="2195" spans="1:4" x14ac:dyDescent="0.25">
      <c r="A2195" s="24">
        <v>88</v>
      </c>
      <c r="B2195" s="24">
        <v>825069</v>
      </c>
      <c r="C2195" s="24" t="s">
        <v>1886</v>
      </c>
      <c r="D2195" s="24">
        <v>1832</v>
      </c>
    </row>
    <row r="2196" spans="1:4" x14ac:dyDescent="0.25">
      <c r="A2196" s="24">
        <v>1962</v>
      </c>
      <c r="B2196" s="24">
        <v>846309</v>
      </c>
      <c r="C2196" s="24" t="s">
        <v>2829</v>
      </c>
      <c r="D2196" s="24">
        <v>1832</v>
      </c>
    </row>
    <row r="2197" spans="1:4" x14ac:dyDescent="0.25">
      <c r="A2197" s="24">
        <v>1233</v>
      </c>
      <c r="B2197" s="24">
        <v>846546</v>
      </c>
      <c r="C2197" s="24" t="s">
        <v>2830</v>
      </c>
      <c r="D2197" s="24">
        <v>1833</v>
      </c>
    </row>
    <row r="2198" spans="1:4" x14ac:dyDescent="0.25">
      <c r="A2198" s="24">
        <v>516</v>
      </c>
      <c r="B2198" s="24">
        <v>846554</v>
      </c>
      <c r="C2198" s="24" t="s">
        <v>2831</v>
      </c>
      <c r="D2198" s="24">
        <v>1834</v>
      </c>
    </row>
    <row r="2199" spans="1:4" x14ac:dyDescent="0.25">
      <c r="A2199" s="24">
        <v>1312</v>
      </c>
      <c r="B2199" s="24">
        <v>846619</v>
      </c>
      <c r="C2199" s="24" t="s">
        <v>2831</v>
      </c>
      <c r="D2199" s="24">
        <v>1835</v>
      </c>
    </row>
    <row r="2200" spans="1:4" x14ac:dyDescent="0.25">
      <c r="A2200" s="24">
        <v>2297</v>
      </c>
      <c r="B2200" s="24">
        <v>846651</v>
      </c>
      <c r="C2200" s="24" t="s">
        <v>2831</v>
      </c>
      <c r="D2200" s="24">
        <v>1836</v>
      </c>
    </row>
    <row r="2201" spans="1:4" x14ac:dyDescent="0.25">
      <c r="A2201" s="24">
        <v>703</v>
      </c>
      <c r="B2201" s="24">
        <v>846660</v>
      </c>
      <c r="C2201" s="24" t="s">
        <v>2832</v>
      </c>
      <c r="D2201" s="24">
        <v>1837</v>
      </c>
    </row>
    <row r="2202" spans="1:4" x14ac:dyDescent="0.25">
      <c r="A2202" s="24">
        <v>3272</v>
      </c>
      <c r="B2202" s="24">
        <v>846678</v>
      </c>
      <c r="C2202" s="24" t="s">
        <v>2833</v>
      </c>
      <c r="D2202" s="24">
        <v>1838</v>
      </c>
    </row>
    <row r="2203" spans="1:4" x14ac:dyDescent="0.25">
      <c r="A2203" s="24">
        <v>632</v>
      </c>
      <c r="B2203" s="24">
        <v>846686</v>
      </c>
      <c r="C2203" s="24" t="s">
        <v>2834</v>
      </c>
      <c r="D2203" s="24">
        <v>1839</v>
      </c>
    </row>
    <row r="2204" spans="1:4" x14ac:dyDescent="0.25">
      <c r="A2204" s="24">
        <v>458</v>
      </c>
      <c r="B2204" s="24">
        <v>846724</v>
      </c>
      <c r="C2204" s="24" t="s">
        <v>2835</v>
      </c>
      <c r="D2204" s="24">
        <v>1840</v>
      </c>
    </row>
    <row r="2205" spans="1:4" x14ac:dyDescent="0.25">
      <c r="A2205" s="24">
        <v>1716</v>
      </c>
      <c r="B2205" s="24">
        <v>846759</v>
      </c>
      <c r="C2205" s="24" t="s">
        <v>2836</v>
      </c>
      <c r="D2205" s="24">
        <v>1841</v>
      </c>
    </row>
    <row r="2206" spans="1:4" x14ac:dyDescent="0.25">
      <c r="A2206" s="24">
        <v>153</v>
      </c>
      <c r="B2206" s="24">
        <v>836494</v>
      </c>
      <c r="C2206" s="24" t="s">
        <v>2415</v>
      </c>
      <c r="D2206" s="24">
        <v>1842</v>
      </c>
    </row>
    <row r="2207" spans="1:4" x14ac:dyDescent="0.25">
      <c r="A2207" s="24">
        <v>3084</v>
      </c>
      <c r="B2207" s="24">
        <v>846767</v>
      </c>
      <c r="C2207" s="24" t="s">
        <v>2837</v>
      </c>
      <c r="D2207" s="24">
        <v>1842</v>
      </c>
    </row>
    <row r="2208" spans="1:4" x14ac:dyDescent="0.25">
      <c r="A2208" s="24">
        <v>3329</v>
      </c>
      <c r="B2208" s="24">
        <v>846775</v>
      </c>
      <c r="C2208" s="24" t="s">
        <v>2838</v>
      </c>
      <c r="D2208" s="24">
        <v>1843</v>
      </c>
    </row>
    <row r="2209" spans="1:4" x14ac:dyDescent="0.25">
      <c r="A2209" s="24">
        <v>2503</v>
      </c>
      <c r="B2209" s="24">
        <v>846791</v>
      </c>
      <c r="C2209" s="24" t="s">
        <v>2839</v>
      </c>
      <c r="D2209" s="24">
        <v>1844</v>
      </c>
    </row>
    <row r="2210" spans="1:4" x14ac:dyDescent="0.25">
      <c r="A2210" s="24">
        <v>1200</v>
      </c>
      <c r="B2210" s="24">
        <v>846805</v>
      </c>
      <c r="C2210" s="24" t="s">
        <v>2840</v>
      </c>
      <c r="D2210" s="24">
        <v>1845</v>
      </c>
    </row>
    <row r="2211" spans="1:4" x14ac:dyDescent="0.25">
      <c r="A2211" s="24">
        <v>1245</v>
      </c>
      <c r="B2211" s="24">
        <v>846813</v>
      </c>
      <c r="C2211" s="24" t="s">
        <v>2841</v>
      </c>
      <c r="D2211" s="24">
        <v>1846</v>
      </c>
    </row>
    <row r="2212" spans="1:4" x14ac:dyDescent="0.25">
      <c r="A2212" s="24">
        <v>2547</v>
      </c>
      <c r="B2212" s="24">
        <v>846821</v>
      </c>
      <c r="C2212" s="24" t="s">
        <v>2842</v>
      </c>
      <c r="D2212" s="24">
        <v>1846</v>
      </c>
    </row>
    <row r="2213" spans="1:4" x14ac:dyDescent="0.25">
      <c r="A2213" s="24">
        <v>3392</v>
      </c>
      <c r="B2213" s="24">
        <v>846848</v>
      </c>
      <c r="C2213" s="24" t="s">
        <v>2843</v>
      </c>
      <c r="D2213" s="24">
        <v>1847</v>
      </c>
    </row>
    <row r="2214" spans="1:4" x14ac:dyDescent="0.25">
      <c r="A2214" s="24">
        <v>1559</v>
      </c>
      <c r="B2214" s="24">
        <v>846872</v>
      </c>
      <c r="C2214" s="24" t="s">
        <v>2844</v>
      </c>
      <c r="D2214" s="24">
        <v>1848</v>
      </c>
    </row>
    <row r="2215" spans="1:4" x14ac:dyDescent="0.25">
      <c r="A2215" s="24">
        <v>1796</v>
      </c>
      <c r="B2215" s="24">
        <v>846881</v>
      </c>
      <c r="C2215" s="24" t="s">
        <v>2845</v>
      </c>
      <c r="D2215" s="24">
        <v>1849</v>
      </c>
    </row>
    <row r="2216" spans="1:4" x14ac:dyDescent="0.25">
      <c r="A2216" s="24">
        <v>601</v>
      </c>
      <c r="B2216" s="24">
        <v>846899</v>
      </c>
      <c r="C2216" s="24" t="s">
        <v>2846</v>
      </c>
      <c r="D2216" s="24">
        <v>1850</v>
      </c>
    </row>
    <row r="2217" spans="1:4" x14ac:dyDescent="0.25">
      <c r="A2217" s="24">
        <v>1636</v>
      </c>
      <c r="B2217" s="24">
        <v>846929</v>
      </c>
      <c r="C2217" s="24" t="s">
        <v>2848</v>
      </c>
      <c r="D2217" s="24">
        <v>1851</v>
      </c>
    </row>
    <row r="2218" spans="1:4" x14ac:dyDescent="0.25">
      <c r="A2218" s="24">
        <v>1341</v>
      </c>
      <c r="B2218" s="24">
        <v>846945</v>
      </c>
      <c r="C2218" s="24" t="s">
        <v>2849</v>
      </c>
      <c r="D2218" s="24">
        <v>1852</v>
      </c>
    </row>
    <row r="2219" spans="1:4" x14ac:dyDescent="0.25">
      <c r="A2219" s="24">
        <v>1140</v>
      </c>
      <c r="B2219" s="24">
        <v>871915</v>
      </c>
      <c r="C2219" s="24" t="s">
        <v>3955</v>
      </c>
      <c r="D2219" s="24">
        <v>1853</v>
      </c>
    </row>
    <row r="2220" spans="1:4" x14ac:dyDescent="0.25">
      <c r="A2220" s="24">
        <v>2756</v>
      </c>
      <c r="B2220" s="24">
        <v>846988</v>
      </c>
      <c r="C2220" s="24" t="s">
        <v>2850</v>
      </c>
      <c r="D2220" s="24">
        <v>1853</v>
      </c>
    </row>
    <row r="2221" spans="1:4" x14ac:dyDescent="0.25">
      <c r="A2221" s="24">
        <v>2000</v>
      </c>
      <c r="B2221" s="24">
        <v>847020</v>
      </c>
      <c r="C2221" s="24" t="s">
        <v>2851</v>
      </c>
      <c r="D2221" s="24">
        <v>1854</v>
      </c>
    </row>
    <row r="2222" spans="1:4" x14ac:dyDescent="0.25">
      <c r="A2222" s="24">
        <v>226</v>
      </c>
      <c r="B2222" s="24">
        <v>847046</v>
      </c>
      <c r="C2222" s="24" t="s">
        <v>2851</v>
      </c>
      <c r="D2222" s="24">
        <v>1855</v>
      </c>
    </row>
    <row r="2223" spans="1:4" x14ac:dyDescent="0.25">
      <c r="A2223" s="24">
        <v>2844</v>
      </c>
      <c r="B2223" s="24">
        <v>847062</v>
      </c>
      <c r="C2223" s="24" t="s">
        <v>2853</v>
      </c>
      <c r="D2223" s="24">
        <v>1856</v>
      </c>
    </row>
    <row r="2224" spans="1:4" x14ac:dyDescent="0.25">
      <c r="A2224" s="24">
        <v>432</v>
      </c>
      <c r="B2224" s="24">
        <v>847071</v>
      </c>
      <c r="C2224" s="24" t="s">
        <v>2854</v>
      </c>
      <c r="D2224" s="24">
        <v>1857</v>
      </c>
    </row>
    <row r="2225" spans="1:4" x14ac:dyDescent="0.25">
      <c r="A2225" s="24">
        <v>1468</v>
      </c>
      <c r="B2225" s="24">
        <v>847089</v>
      </c>
      <c r="C2225" s="24" t="s">
        <v>2855</v>
      </c>
      <c r="D2225" s="24">
        <v>1858</v>
      </c>
    </row>
    <row r="2226" spans="1:4" x14ac:dyDescent="0.25">
      <c r="A2226" s="24">
        <v>738</v>
      </c>
      <c r="B2226" s="24">
        <v>847101</v>
      </c>
      <c r="C2226" s="24" t="s">
        <v>2856</v>
      </c>
      <c r="D2226" s="24">
        <v>1859</v>
      </c>
    </row>
    <row r="2227" spans="1:4" x14ac:dyDescent="0.25">
      <c r="A2227" s="24">
        <v>2003</v>
      </c>
      <c r="B2227" s="24">
        <v>847178</v>
      </c>
      <c r="C2227" s="24" t="s">
        <v>2857</v>
      </c>
      <c r="D2227" s="24">
        <v>1860</v>
      </c>
    </row>
    <row r="2228" spans="1:4" x14ac:dyDescent="0.25">
      <c r="A2228" s="24">
        <v>2085</v>
      </c>
      <c r="B2228" s="24">
        <v>847216</v>
      </c>
      <c r="C2228" s="24" t="s">
        <v>2858</v>
      </c>
      <c r="D2228" s="24">
        <v>1861</v>
      </c>
    </row>
    <row r="2229" spans="1:4" x14ac:dyDescent="0.25">
      <c r="A2229" s="24">
        <v>1437</v>
      </c>
      <c r="B2229" s="24">
        <v>847259</v>
      </c>
      <c r="C2229" s="24" t="s">
        <v>2860</v>
      </c>
      <c r="D2229" s="24">
        <v>1862</v>
      </c>
    </row>
    <row r="2230" spans="1:4" x14ac:dyDescent="0.25">
      <c r="A2230" s="24">
        <v>1638</v>
      </c>
      <c r="B2230" s="24">
        <v>847241</v>
      </c>
      <c r="C2230" s="24" t="s">
        <v>2859</v>
      </c>
      <c r="D2230" s="24">
        <v>1862</v>
      </c>
    </row>
    <row r="2231" spans="1:4" x14ac:dyDescent="0.25">
      <c r="A2231" s="24">
        <v>1293</v>
      </c>
      <c r="B2231" s="24">
        <v>847275</v>
      </c>
      <c r="C2231" s="24" t="s">
        <v>2862</v>
      </c>
      <c r="D2231" s="24">
        <v>1863</v>
      </c>
    </row>
    <row r="2232" spans="1:4" x14ac:dyDescent="0.25">
      <c r="A2232" s="24">
        <v>2358</v>
      </c>
      <c r="B2232" s="24">
        <v>847283</v>
      </c>
      <c r="C2232" s="24" t="s">
        <v>2863</v>
      </c>
      <c r="D2232" s="24">
        <v>1863</v>
      </c>
    </row>
    <row r="2233" spans="1:4" x14ac:dyDescent="0.25">
      <c r="A2233" s="24">
        <v>2718</v>
      </c>
      <c r="B2233" s="24">
        <v>847305</v>
      </c>
      <c r="C2233" s="24" t="s">
        <v>2864</v>
      </c>
      <c r="D2233" s="24">
        <v>1864</v>
      </c>
    </row>
    <row r="2234" spans="1:4" x14ac:dyDescent="0.25">
      <c r="A2234" s="24">
        <v>577</v>
      </c>
      <c r="B2234" s="24">
        <v>847313</v>
      </c>
      <c r="C2234" s="24" t="s">
        <v>2864</v>
      </c>
      <c r="D2234" s="24">
        <v>1865</v>
      </c>
    </row>
    <row r="2235" spans="1:4" x14ac:dyDescent="0.25">
      <c r="A2235" s="24">
        <v>2154</v>
      </c>
      <c r="B2235" s="24">
        <v>847330</v>
      </c>
      <c r="C2235" s="24" t="s">
        <v>2865</v>
      </c>
      <c r="D2235" s="24">
        <v>1866</v>
      </c>
    </row>
    <row r="2236" spans="1:4" x14ac:dyDescent="0.25">
      <c r="A2236" s="24">
        <v>3435</v>
      </c>
      <c r="B2236" s="24">
        <v>847348</v>
      </c>
      <c r="C2236" s="24" t="s">
        <v>2866</v>
      </c>
      <c r="D2236" s="24">
        <v>1866</v>
      </c>
    </row>
    <row r="2237" spans="1:4" x14ac:dyDescent="0.25">
      <c r="A2237" s="24">
        <v>3377</v>
      </c>
      <c r="B2237" s="24">
        <v>847356</v>
      </c>
      <c r="C2237" s="24" t="s">
        <v>2867</v>
      </c>
      <c r="D2237" s="24">
        <v>1867</v>
      </c>
    </row>
    <row r="2238" spans="1:4" x14ac:dyDescent="0.25">
      <c r="A2238" s="24">
        <v>3416</v>
      </c>
      <c r="B2238" s="24">
        <v>847364</v>
      </c>
      <c r="C2238" s="24" t="s">
        <v>2868</v>
      </c>
      <c r="D2238" s="24">
        <v>1868</v>
      </c>
    </row>
    <row r="2239" spans="1:4" x14ac:dyDescent="0.25">
      <c r="A2239" s="24">
        <v>285</v>
      </c>
      <c r="B2239" s="24">
        <v>847372</v>
      </c>
      <c r="C2239" s="24" t="s">
        <v>2869</v>
      </c>
      <c r="D2239" s="24">
        <v>1869</v>
      </c>
    </row>
    <row r="2240" spans="1:4" x14ac:dyDescent="0.25">
      <c r="A2240" s="24">
        <v>3239</v>
      </c>
      <c r="B2240" s="24">
        <v>847381</v>
      </c>
      <c r="C2240" s="24" t="s">
        <v>2870</v>
      </c>
      <c r="D2240" s="24">
        <v>1870</v>
      </c>
    </row>
    <row r="2241" spans="1:4" x14ac:dyDescent="0.25">
      <c r="A2241" s="24">
        <v>2412</v>
      </c>
      <c r="B2241" s="24">
        <v>826154</v>
      </c>
      <c r="C2241" s="24" t="s">
        <v>1924</v>
      </c>
      <c r="D2241" s="24">
        <v>1870</v>
      </c>
    </row>
    <row r="2242" spans="1:4" x14ac:dyDescent="0.25">
      <c r="A2242" s="24">
        <v>3350</v>
      </c>
      <c r="B2242" s="24">
        <v>847399</v>
      </c>
      <c r="C2242" s="24" t="s">
        <v>2869</v>
      </c>
      <c r="D2242" s="24">
        <v>1871</v>
      </c>
    </row>
    <row r="2243" spans="1:4" x14ac:dyDescent="0.25">
      <c r="A2243" s="24">
        <v>323</v>
      </c>
      <c r="B2243" s="24">
        <v>847402</v>
      </c>
      <c r="C2243" s="24" t="s">
        <v>2871</v>
      </c>
      <c r="D2243" s="24">
        <v>1872</v>
      </c>
    </row>
    <row r="2244" spans="1:4" x14ac:dyDescent="0.25">
      <c r="A2244" s="24">
        <v>3023</v>
      </c>
      <c r="B2244" s="24">
        <v>847411</v>
      </c>
      <c r="C2244" s="24" t="s">
        <v>2872</v>
      </c>
      <c r="D2244" s="24">
        <v>1873</v>
      </c>
    </row>
    <row r="2245" spans="1:4" x14ac:dyDescent="0.25">
      <c r="A2245" s="24">
        <v>2794</v>
      </c>
      <c r="B2245" s="24">
        <v>847500</v>
      </c>
      <c r="C2245" s="24" t="s">
        <v>2873</v>
      </c>
      <c r="D2245" s="24">
        <v>1874</v>
      </c>
    </row>
    <row r="2246" spans="1:4" x14ac:dyDescent="0.25">
      <c r="A2246" s="24">
        <v>1519</v>
      </c>
      <c r="B2246" s="24">
        <v>847526</v>
      </c>
      <c r="C2246" s="24" t="s">
        <v>2874</v>
      </c>
      <c r="D2246" s="24">
        <v>1875</v>
      </c>
    </row>
    <row r="2247" spans="1:4" x14ac:dyDescent="0.25">
      <c r="A2247" s="24">
        <v>3367</v>
      </c>
      <c r="B2247" s="24">
        <v>847577</v>
      </c>
      <c r="C2247" s="24" t="s">
        <v>2875</v>
      </c>
      <c r="D2247" s="24">
        <v>1876</v>
      </c>
    </row>
    <row r="2248" spans="1:4" x14ac:dyDescent="0.25">
      <c r="A2248" s="24">
        <v>928</v>
      </c>
      <c r="B2248" s="24">
        <v>847585</v>
      </c>
      <c r="C2248" s="24" t="s">
        <v>2875</v>
      </c>
      <c r="D2248" s="24">
        <v>1877</v>
      </c>
    </row>
    <row r="2249" spans="1:4" x14ac:dyDescent="0.25">
      <c r="A2249" s="24">
        <v>3399</v>
      </c>
      <c r="B2249" s="24">
        <v>847640</v>
      </c>
      <c r="C2249" s="24" t="s">
        <v>2877</v>
      </c>
      <c r="D2249" s="24">
        <v>1878</v>
      </c>
    </row>
    <row r="2250" spans="1:4" x14ac:dyDescent="0.25">
      <c r="A2250" s="24">
        <v>3295</v>
      </c>
      <c r="B2250" s="24">
        <v>847674</v>
      </c>
      <c r="C2250" s="24" t="s">
        <v>2878</v>
      </c>
      <c r="D2250" s="24">
        <v>1879</v>
      </c>
    </row>
    <row r="2251" spans="1:4" x14ac:dyDescent="0.25">
      <c r="A2251" s="24">
        <v>1963</v>
      </c>
      <c r="B2251" s="24">
        <v>847682</v>
      </c>
      <c r="C2251" s="24" t="s">
        <v>2879</v>
      </c>
      <c r="D2251" s="24">
        <v>1880</v>
      </c>
    </row>
    <row r="2252" spans="1:4" x14ac:dyDescent="0.25">
      <c r="A2252" s="24">
        <v>2506</v>
      </c>
      <c r="B2252" s="24">
        <v>847712</v>
      </c>
      <c r="C2252" s="24" t="s">
        <v>2880</v>
      </c>
      <c r="D2252" s="24">
        <v>1881</v>
      </c>
    </row>
    <row r="2253" spans="1:4" x14ac:dyDescent="0.25">
      <c r="A2253" s="24">
        <v>2953</v>
      </c>
      <c r="B2253" s="24">
        <v>847721</v>
      </c>
      <c r="C2253" s="24" t="s">
        <v>2881</v>
      </c>
      <c r="D2253" s="24">
        <v>1882</v>
      </c>
    </row>
    <row r="2254" spans="1:4" x14ac:dyDescent="0.25">
      <c r="A2254" s="24">
        <v>551</v>
      </c>
      <c r="B2254" s="24">
        <v>847771</v>
      </c>
      <c r="C2254" s="24" t="s">
        <v>2884</v>
      </c>
      <c r="D2254" s="24">
        <v>1883</v>
      </c>
    </row>
    <row r="2255" spans="1:4" x14ac:dyDescent="0.25">
      <c r="A2255" s="24">
        <v>2502</v>
      </c>
      <c r="B2255" s="24">
        <v>847780</v>
      </c>
      <c r="C2255" s="24" t="s">
        <v>2885</v>
      </c>
      <c r="D2255" s="24">
        <v>1884</v>
      </c>
    </row>
    <row r="2256" spans="1:4" x14ac:dyDescent="0.25">
      <c r="A2256" s="24">
        <v>2712</v>
      </c>
      <c r="B2256" s="24">
        <v>847798</v>
      </c>
      <c r="C2256" s="24" t="s">
        <v>2886</v>
      </c>
      <c r="D2256" s="24">
        <v>1885</v>
      </c>
    </row>
    <row r="2257" spans="1:4" x14ac:dyDescent="0.25">
      <c r="A2257" s="24">
        <v>2308</v>
      </c>
      <c r="B2257" s="24">
        <v>847810</v>
      </c>
      <c r="C2257" s="24" t="s">
        <v>2887</v>
      </c>
      <c r="D2257" s="24">
        <v>1886</v>
      </c>
    </row>
    <row r="2258" spans="1:4" x14ac:dyDescent="0.25">
      <c r="A2258" s="24">
        <v>2523</v>
      </c>
      <c r="B2258" s="24">
        <v>847828</v>
      </c>
      <c r="C2258" s="24" t="s">
        <v>2888</v>
      </c>
      <c r="D2258" s="24">
        <v>1887</v>
      </c>
    </row>
    <row r="2259" spans="1:4" x14ac:dyDescent="0.25">
      <c r="A2259" s="24">
        <v>812</v>
      </c>
      <c r="B2259" s="24">
        <v>847836</v>
      </c>
      <c r="C2259" s="24" t="s">
        <v>2889</v>
      </c>
      <c r="D2259" s="24">
        <v>1888</v>
      </c>
    </row>
    <row r="2260" spans="1:4" x14ac:dyDescent="0.25">
      <c r="A2260" s="24">
        <v>2367</v>
      </c>
      <c r="B2260" s="24">
        <v>847844</v>
      </c>
      <c r="C2260" s="24" t="s">
        <v>2890</v>
      </c>
      <c r="D2260" s="24">
        <v>1889</v>
      </c>
    </row>
    <row r="2261" spans="1:4" x14ac:dyDescent="0.25">
      <c r="A2261" s="24">
        <v>1950</v>
      </c>
      <c r="B2261" s="24">
        <v>847852</v>
      </c>
      <c r="C2261" s="24" t="s">
        <v>2891</v>
      </c>
      <c r="D2261" s="24">
        <v>1890</v>
      </c>
    </row>
    <row r="2262" spans="1:4" x14ac:dyDescent="0.25">
      <c r="A2262" s="24">
        <v>2890</v>
      </c>
      <c r="B2262" s="24">
        <v>847861</v>
      </c>
      <c r="C2262" s="24" t="s">
        <v>2892</v>
      </c>
      <c r="D2262" s="24">
        <v>1891</v>
      </c>
    </row>
    <row r="2263" spans="1:4" x14ac:dyDescent="0.25">
      <c r="A2263" s="24">
        <v>1463</v>
      </c>
      <c r="B2263" s="24">
        <v>847887</v>
      </c>
      <c r="C2263" s="24" t="s">
        <v>2894</v>
      </c>
      <c r="D2263" s="24">
        <v>1892</v>
      </c>
    </row>
    <row r="2264" spans="1:4" x14ac:dyDescent="0.25">
      <c r="A2264" s="24">
        <v>3209</v>
      </c>
      <c r="B2264" s="24">
        <v>847895</v>
      </c>
      <c r="C2264" s="24" t="s">
        <v>2895</v>
      </c>
      <c r="D2264" s="24">
        <v>1893</v>
      </c>
    </row>
    <row r="2265" spans="1:4" x14ac:dyDescent="0.25">
      <c r="A2265" s="24">
        <v>302</v>
      </c>
      <c r="B2265" s="24">
        <v>847917</v>
      </c>
      <c r="C2265" s="24" t="s">
        <v>2897</v>
      </c>
      <c r="D2265" s="24">
        <v>1894</v>
      </c>
    </row>
    <row r="2266" spans="1:4" x14ac:dyDescent="0.25">
      <c r="A2266" s="24">
        <v>438</v>
      </c>
      <c r="B2266" s="24">
        <v>847950</v>
      </c>
      <c r="C2266" s="24" t="s">
        <v>2898</v>
      </c>
      <c r="D2266" s="24">
        <v>1895</v>
      </c>
    </row>
    <row r="2267" spans="1:4" x14ac:dyDescent="0.25">
      <c r="A2267" s="24">
        <v>1510</v>
      </c>
      <c r="B2267" s="24">
        <v>847968</v>
      </c>
      <c r="C2267" s="24" t="s">
        <v>2899</v>
      </c>
      <c r="D2267" s="24">
        <v>1896</v>
      </c>
    </row>
    <row r="2268" spans="1:4" x14ac:dyDescent="0.25">
      <c r="A2268" s="24">
        <v>2205</v>
      </c>
      <c r="B2268" s="24">
        <v>847984</v>
      </c>
      <c r="C2268" s="24" t="s">
        <v>2900</v>
      </c>
      <c r="D2268" s="24">
        <v>1897</v>
      </c>
    </row>
    <row r="2269" spans="1:4" x14ac:dyDescent="0.25">
      <c r="A2269" s="24">
        <v>968</v>
      </c>
      <c r="B2269" s="24">
        <v>848018</v>
      </c>
      <c r="C2269" s="24" t="s">
        <v>2901</v>
      </c>
      <c r="D2269" s="24">
        <v>1898</v>
      </c>
    </row>
    <row r="2270" spans="1:4" x14ac:dyDescent="0.25">
      <c r="A2270" s="24">
        <v>1482</v>
      </c>
      <c r="B2270" s="24">
        <v>848034</v>
      </c>
      <c r="C2270" s="24" t="s">
        <v>2903</v>
      </c>
      <c r="D2270" s="24">
        <v>1899</v>
      </c>
    </row>
    <row r="2271" spans="1:4" x14ac:dyDescent="0.25">
      <c r="A2271" s="24">
        <v>816</v>
      </c>
      <c r="B2271" s="24">
        <v>848051</v>
      </c>
      <c r="C2271" s="24" t="s">
        <v>2904</v>
      </c>
      <c r="D2271" s="24">
        <v>1900</v>
      </c>
    </row>
    <row r="2272" spans="1:4" x14ac:dyDescent="0.25">
      <c r="A2272" s="24">
        <v>1676</v>
      </c>
      <c r="B2272" s="24">
        <v>848077</v>
      </c>
      <c r="C2272" s="24" t="s">
        <v>2905</v>
      </c>
      <c r="D2272" s="24">
        <v>1901</v>
      </c>
    </row>
    <row r="2273" spans="1:4" x14ac:dyDescent="0.25">
      <c r="A2273" s="24">
        <v>1908</v>
      </c>
      <c r="B2273" s="24">
        <v>848093</v>
      </c>
      <c r="C2273" s="24" t="s">
        <v>2906</v>
      </c>
      <c r="D2273" s="24">
        <v>1901</v>
      </c>
    </row>
    <row r="2274" spans="1:4" x14ac:dyDescent="0.25">
      <c r="A2274" s="24">
        <v>2793</v>
      </c>
      <c r="B2274" s="24">
        <v>848107</v>
      </c>
      <c r="C2274" s="24" t="s">
        <v>2907</v>
      </c>
      <c r="D2274" s="24">
        <v>1901</v>
      </c>
    </row>
    <row r="2275" spans="1:4" x14ac:dyDescent="0.25">
      <c r="A2275" s="24">
        <v>2568</v>
      </c>
      <c r="B2275" s="24">
        <v>848115</v>
      </c>
      <c r="C2275" s="24" t="s">
        <v>2908</v>
      </c>
      <c r="D2275" s="24">
        <v>1902</v>
      </c>
    </row>
    <row r="2276" spans="1:4" x14ac:dyDescent="0.25">
      <c r="A2276" s="24">
        <v>2483</v>
      </c>
      <c r="B2276" s="24">
        <v>848131</v>
      </c>
      <c r="C2276" s="24" t="s">
        <v>2910</v>
      </c>
      <c r="D2276" s="24">
        <v>1903</v>
      </c>
    </row>
    <row r="2277" spans="1:4" x14ac:dyDescent="0.25">
      <c r="A2277" s="24">
        <v>2326</v>
      </c>
      <c r="B2277" s="24">
        <v>848158</v>
      </c>
      <c r="C2277" s="24" t="s">
        <v>2911</v>
      </c>
      <c r="D2277" s="24">
        <v>1904</v>
      </c>
    </row>
    <row r="2278" spans="1:4" x14ac:dyDescent="0.25">
      <c r="A2278" s="24">
        <v>2671</v>
      </c>
      <c r="B2278" s="24">
        <v>848298</v>
      </c>
      <c r="C2278" s="24" t="s">
        <v>2914</v>
      </c>
      <c r="D2278" s="24">
        <v>1905</v>
      </c>
    </row>
    <row r="2279" spans="1:4" x14ac:dyDescent="0.25">
      <c r="A2279" s="24">
        <v>3515</v>
      </c>
      <c r="B2279" s="24">
        <v>848174</v>
      </c>
      <c r="C2279" s="24" t="s">
        <v>2912</v>
      </c>
      <c r="D2279" s="24">
        <v>1905</v>
      </c>
    </row>
    <row r="2280" spans="1:4" x14ac:dyDescent="0.25">
      <c r="A2280" s="24">
        <v>3538</v>
      </c>
      <c r="B2280" s="24">
        <v>848417</v>
      </c>
      <c r="C2280" s="24" t="s">
        <v>2915</v>
      </c>
      <c r="D2280" s="24">
        <v>1905</v>
      </c>
    </row>
    <row r="2281" spans="1:4" x14ac:dyDescent="0.25">
      <c r="A2281" s="24">
        <v>3482</v>
      </c>
      <c r="B2281" s="24">
        <v>836371</v>
      </c>
      <c r="C2281" s="24" t="s">
        <v>2405</v>
      </c>
      <c r="D2281" s="24">
        <v>1905</v>
      </c>
    </row>
    <row r="2282" spans="1:4" x14ac:dyDescent="0.25">
      <c r="A2282" s="24">
        <v>1404</v>
      </c>
      <c r="B2282" s="24">
        <v>848221</v>
      </c>
      <c r="C2282" s="24" t="s">
        <v>2913</v>
      </c>
      <c r="D2282" s="24">
        <v>1905</v>
      </c>
    </row>
    <row r="2283" spans="1:4" x14ac:dyDescent="0.25">
      <c r="A2283" s="24">
        <v>2551</v>
      </c>
      <c r="B2283" s="24">
        <v>848484</v>
      </c>
      <c r="C2283" s="24" t="s">
        <v>2916</v>
      </c>
      <c r="D2283" s="24">
        <v>1906</v>
      </c>
    </row>
    <row r="2284" spans="1:4" x14ac:dyDescent="0.25">
      <c r="A2284" s="24">
        <v>3226</v>
      </c>
      <c r="B2284" s="24">
        <v>848506</v>
      </c>
      <c r="C2284" s="24" t="s">
        <v>2916</v>
      </c>
      <c r="D2284" s="24">
        <v>1907</v>
      </c>
    </row>
    <row r="2285" spans="1:4" x14ac:dyDescent="0.25">
      <c r="A2285" s="24">
        <v>1952</v>
      </c>
      <c r="B2285" s="24">
        <v>848522</v>
      </c>
      <c r="C2285" s="24" t="s">
        <v>2476</v>
      </c>
      <c r="D2285" s="24">
        <v>1908</v>
      </c>
    </row>
    <row r="2286" spans="1:4" x14ac:dyDescent="0.25">
      <c r="A2286" s="24">
        <v>2289</v>
      </c>
      <c r="B2286" s="24">
        <v>848531</v>
      </c>
      <c r="C2286" s="24" t="s">
        <v>2917</v>
      </c>
      <c r="D2286" s="24">
        <v>1908</v>
      </c>
    </row>
    <row r="2287" spans="1:4" x14ac:dyDescent="0.25">
      <c r="A2287" s="24">
        <v>2431</v>
      </c>
      <c r="B2287" s="24">
        <v>848557</v>
      </c>
      <c r="C2287" s="24" t="s">
        <v>2918</v>
      </c>
      <c r="D2287" s="24">
        <v>1909</v>
      </c>
    </row>
    <row r="2288" spans="1:4" x14ac:dyDescent="0.25">
      <c r="A2288" s="24">
        <v>3022</v>
      </c>
      <c r="B2288" s="24">
        <v>848590</v>
      </c>
      <c r="C2288" s="24" t="s">
        <v>2919</v>
      </c>
      <c r="D2288" s="24">
        <v>1910</v>
      </c>
    </row>
    <row r="2289" spans="1:4" x14ac:dyDescent="0.25">
      <c r="A2289" s="24">
        <v>1199</v>
      </c>
      <c r="B2289" s="24">
        <v>848620</v>
      </c>
      <c r="C2289" s="24" t="s">
        <v>2920</v>
      </c>
      <c r="D2289" s="24">
        <v>1911</v>
      </c>
    </row>
    <row r="2290" spans="1:4" x14ac:dyDescent="0.25">
      <c r="A2290" s="24">
        <v>38</v>
      </c>
      <c r="B2290" s="24">
        <v>848638</v>
      </c>
      <c r="C2290" s="24" t="s">
        <v>2921</v>
      </c>
      <c r="D2290" s="24">
        <v>1912</v>
      </c>
    </row>
    <row r="2291" spans="1:4" x14ac:dyDescent="0.25">
      <c r="A2291" s="24">
        <v>2041</v>
      </c>
      <c r="B2291" s="24">
        <v>848646</v>
      </c>
      <c r="C2291" s="24" t="s">
        <v>2922</v>
      </c>
      <c r="D2291" s="24">
        <v>1913</v>
      </c>
    </row>
    <row r="2292" spans="1:4" x14ac:dyDescent="0.25">
      <c r="A2292" s="24">
        <v>500</v>
      </c>
      <c r="B2292" s="24">
        <v>848654</v>
      </c>
      <c r="C2292" s="24" t="s">
        <v>2197</v>
      </c>
      <c r="D2292" s="24">
        <v>1914</v>
      </c>
    </row>
    <row r="2293" spans="1:4" x14ac:dyDescent="0.25">
      <c r="A2293" s="24">
        <v>1879</v>
      </c>
      <c r="B2293" s="24">
        <v>848662</v>
      </c>
      <c r="C2293" s="24" t="s">
        <v>2197</v>
      </c>
      <c r="D2293" s="24">
        <v>1915</v>
      </c>
    </row>
    <row r="2294" spans="1:4" x14ac:dyDescent="0.25">
      <c r="A2294" s="24">
        <v>2728</v>
      </c>
      <c r="B2294" s="24">
        <v>848671</v>
      </c>
      <c r="C2294" s="24" t="s">
        <v>2197</v>
      </c>
      <c r="D2294" s="24">
        <v>1916</v>
      </c>
    </row>
    <row r="2295" spans="1:4" x14ac:dyDescent="0.25">
      <c r="A2295" s="24">
        <v>423</v>
      </c>
      <c r="B2295" s="24">
        <v>832146</v>
      </c>
      <c r="C2295" s="24" t="s">
        <v>2197</v>
      </c>
      <c r="D2295" s="24">
        <v>1917</v>
      </c>
    </row>
    <row r="2296" spans="1:4" x14ac:dyDescent="0.25">
      <c r="A2296" s="24">
        <v>2172</v>
      </c>
      <c r="B2296" s="24">
        <v>848697</v>
      </c>
      <c r="C2296" s="24" t="s">
        <v>2924</v>
      </c>
      <c r="D2296" s="24">
        <v>1918</v>
      </c>
    </row>
    <row r="2297" spans="1:4" x14ac:dyDescent="0.25">
      <c r="A2297" s="24">
        <v>1217</v>
      </c>
      <c r="B2297" s="24">
        <v>848719</v>
      </c>
      <c r="C2297" s="24" t="s">
        <v>2926</v>
      </c>
      <c r="D2297" s="24">
        <v>1919</v>
      </c>
    </row>
    <row r="2298" spans="1:4" x14ac:dyDescent="0.25">
      <c r="A2298" s="24">
        <v>243</v>
      </c>
      <c r="B2298" s="24">
        <v>848727</v>
      </c>
      <c r="C2298" s="24" t="s">
        <v>2926</v>
      </c>
      <c r="D2298" s="24">
        <v>1920</v>
      </c>
    </row>
    <row r="2299" spans="1:4" x14ac:dyDescent="0.25">
      <c r="A2299" s="24">
        <v>194</v>
      </c>
      <c r="B2299" s="24">
        <v>848735</v>
      </c>
      <c r="C2299" s="24" t="s">
        <v>2927</v>
      </c>
      <c r="D2299" s="24">
        <v>1921</v>
      </c>
    </row>
    <row r="2300" spans="1:4" x14ac:dyDescent="0.25">
      <c r="A2300" s="24">
        <v>3161</v>
      </c>
      <c r="B2300" s="24">
        <v>848701</v>
      </c>
      <c r="C2300" s="24" t="s">
        <v>2925</v>
      </c>
      <c r="D2300" s="24">
        <v>1922</v>
      </c>
    </row>
    <row r="2301" spans="1:4" x14ac:dyDescent="0.25">
      <c r="A2301" s="24">
        <v>1713</v>
      </c>
      <c r="B2301" s="24">
        <v>817520</v>
      </c>
      <c r="C2301" s="24" t="s">
        <v>1506</v>
      </c>
      <c r="D2301" s="24">
        <v>1923</v>
      </c>
    </row>
    <row r="2302" spans="1:4" x14ac:dyDescent="0.25">
      <c r="A2302" s="24">
        <v>1487</v>
      </c>
      <c r="B2302" s="24">
        <v>848794</v>
      </c>
      <c r="C2302" s="24" t="s">
        <v>2930</v>
      </c>
      <c r="D2302" s="24">
        <v>1924</v>
      </c>
    </row>
    <row r="2303" spans="1:4" x14ac:dyDescent="0.25">
      <c r="A2303" s="24">
        <v>1541</v>
      </c>
      <c r="B2303" s="24">
        <v>848808</v>
      </c>
      <c r="C2303" s="24" t="s">
        <v>2931</v>
      </c>
      <c r="D2303" s="24">
        <v>1925</v>
      </c>
    </row>
    <row r="2304" spans="1:4" x14ac:dyDescent="0.25">
      <c r="A2304" s="24">
        <v>14</v>
      </c>
      <c r="B2304" s="24">
        <v>812501</v>
      </c>
      <c r="C2304" s="24" t="s">
        <v>1257</v>
      </c>
      <c r="D2304" s="24">
        <v>1926</v>
      </c>
    </row>
    <row r="2305" spans="1:4" x14ac:dyDescent="0.25">
      <c r="A2305" s="24">
        <v>842</v>
      </c>
      <c r="B2305" s="24">
        <v>873101</v>
      </c>
      <c r="C2305" s="24" t="s">
        <v>3997</v>
      </c>
      <c r="D2305" s="24">
        <v>1926</v>
      </c>
    </row>
    <row r="2306" spans="1:4" x14ac:dyDescent="0.25">
      <c r="A2306" s="24">
        <v>933</v>
      </c>
      <c r="B2306" s="24">
        <v>849022</v>
      </c>
      <c r="C2306" s="24" t="s">
        <v>2934</v>
      </c>
      <c r="D2306" s="24">
        <v>1926</v>
      </c>
    </row>
    <row r="2307" spans="1:4" x14ac:dyDescent="0.25">
      <c r="A2307" s="24">
        <v>1523</v>
      </c>
      <c r="B2307" s="24">
        <v>818411</v>
      </c>
      <c r="C2307" s="24" t="s">
        <v>1548</v>
      </c>
      <c r="D2307" s="24">
        <v>1926</v>
      </c>
    </row>
    <row r="2308" spans="1:4" x14ac:dyDescent="0.25">
      <c r="A2308" s="24">
        <v>3059</v>
      </c>
      <c r="B2308" s="24">
        <v>848832</v>
      </c>
      <c r="C2308" s="24" t="s">
        <v>2932</v>
      </c>
      <c r="D2308" s="24">
        <v>1926</v>
      </c>
    </row>
    <row r="2309" spans="1:4" x14ac:dyDescent="0.25">
      <c r="A2309" s="24">
        <v>2418</v>
      </c>
      <c r="B2309" s="24">
        <v>847763</v>
      </c>
      <c r="C2309" s="24" t="s">
        <v>2883</v>
      </c>
      <c r="D2309" s="24">
        <v>1926</v>
      </c>
    </row>
    <row r="2310" spans="1:4" x14ac:dyDescent="0.25">
      <c r="A2310" s="24">
        <v>1928</v>
      </c>
      <c r="B2310" s="24">
        <v>860719</v>
      </c>
      <c r="C2310" s="24" t="s">
        <v>3439</v>
      </c>
      <c r="D2310" s="24">
        <v>1926</v>
      </c>
    </row>
    <row r="2311" spans="1:4" x14ac:dyDescent="0.25">
      <c r="A2311" s="24">
        <v>2991</v>
      </c>
      <c r="B2311" s="24">
        <v>849367</v>
      </c>
      <c r="C2311" s="24" t="s">
        <v>2947</v>
      </c>
      <c r="D2311" s="24">
        <v>1926</v>
      </c>
    </row>
    <row r="2312" spans="1:4" x14ac:dyDescent="0.25">
      <c r="A2312" s="24">
        <v>1894</v>
      </c>
      <c r="B2312" s="24">
        <v>849006</v>
      </c>
      <c r="C2312" s="24" t="s">
        <v>2933</v>
      </c>
      <c r="D2312" s="24">
        <v>1926</v>
      </c>
    </row>
    <row r="2313" spans="1:4" x14ac:dyDescent="0.25">
      <c r="A2313" s="24">
        <v>2344</v>
      </c>
      <c r="B2313" s="24">
        <v>837571</v>
      </c>
      <c r="C2313" s="24" t="s">
        <v>2456</v>
      </c>
      <c r="D2313" s="24">
        <v>1926</v>
      </c>
    </row>
    <row r="2314" spans="1:4" x14ac:dyDescent="0.25">
      <c r="A2314" s="24">
        <v>2284</v>
      </c>
      <c r="B2314" s="24">
        <v>847615</v>
      </c>
      <c r="C2314" s="24" t="s">
        <v>2876</v>
      </c>
      <c r="D2314" s="24">
        <v>1926</v>
      </c>
    </row>
    <row r="2315" spans="1:4" x14ac:dyDescent="0.25">
      <c r="A2315" s="24">
        <v>2863</v>
      </c>
      <c r="B2315" s="24">
        <v>844373</v>
      </c>
      <c r="C2315" s="24" t="s">
        <v>2746</v>
      </c>
      <c r="D2315" s="24">
        <v>1926</v>
      </c>
    </row>
    <row r="2316" spans="1:4" x14ac:dyDescent="0.25">
      <c r="A2316" s="24">
        <v>2697</v>
      </c>
      <c r="B2316" s="24">
        <v>849057</v>
      </c>
      <c r="C2316" s="24" t="s">
        <v>2936</v>
      </c>
      <c r="D2316" s="24">
        <v>1927</v>
      </c>
    </row>
    <row r="2317" spans="1:4" x14ac:dyDescent="0.25">
      <c r="A2317" s="24">
        <v>744</v>
      </c>
      <c r="B2317" s="24">
        <v>830003</v>
      </c>
      <c r="C2317" s="24" t="s">
        <v>2099</v>
      </c>
      <c r="D2317" s="24">
        <v>1928</v>
      </c>
    </row>
    <row r="2318" spans="1:4" x14ac:dyDescent="0.25">
      <c r="A2318" s="24">
        <v>2552</v>
      </c>
      <c r="B2318" s="24">
        <v>829978</v>
      </c>
      <c r="C2318" s="24" t="s">
        <v>2097</v>
      </c>
      <c r="D2318" s="24">
        <v>1928</v>
      </c>
    </row>
    <row r="2319" spans="1:4" x14ac:dyDescent="0.25">
      <c r="A2319" s="24">
        <v>2710</v>
      </c>
      <c r="B2319" s="24">
        <v>830011</v>
      </c>
      <c r="C2319" s="24" t="s">
        <v>2100</v>
      </c>
      <c r="D2319" s="24">
        <v>1928</v>
      </c>
    </row>
    <row r="2320" spans="1:4" x14ac:dyDescent="0.25">
      <c r="A2320" s="24">
        <v>2977</v>
      </c>
      <c r="B2320" s="24">
        <v>849073</v>
      </c>
      <c r="C2320" s="24" t="s">
        <v>2937</v>
      </c>
      <c r="D2320" s="24">
        <v>1929</v>
      </c>
    </row>
    <row r="2321" spans="1:4" x14ac:dyDescent="0.25">
      <c r="A2321" s="24">
        <v>1307</v>
      </c>
      <c r="B2321" s="24">
        <v>849090</v>
      </c>
      <c r="C2321" s="24" t="s">
        <v>2938</v>
      </c>
      <c r="D2321" s="24">
        <v>1930</v>
      </c>
    </row>
    <row r="2322" spans="1:4" x14ac:dyDescent="0.25">
      <c r="A2322" s="24">
        <v>1552</v>
      </c>
      <c r="B2322" s="24">
        <v>849103</v>
      </c>
      <c r="C2322" s="24" t="s">
        <v>2939</v>
      </c>
      <c r="D2322" s="24">
        <v>1931</v>
      </c>
    </row>
    <row r="2323" spans="1:4" x14ac:dyDescent="0.25">
      <c r="A2323" s="24">
        <v>2266</v>
      </c>
      <c r="B2323" s="24">
        <v>848751</v>
      </c>
      <c r="C2323" s="24" t="s">
        <v>2928</v>
      </c>
      <c r="D2323" s="24">
        <v>1932</v>
      </c>
    </row>
    <row r="2324" spans="1:4" x14ac:dyDescent="0.25">
      <c r="A2324" s="24">
        <v>2414</v>
      </c>
      <c r="B2324" s="24">
        <v>848786</v>
      </c>
      <c r="C2324" s="24" t="s">
        <v>2929</v>
      </c>
      <c r="D2324" s="24">
        <v>1932</v>
      </c>
    </row>
    <row r="2325" spans="1:4" x14ac:dyDescent="0.25">
      <c r="A2325" s="24">
        <v>1096</v>
      </c>
      <c r="B2325" s="24">
        <v>849111</v>
      </c>
      <c r="C2325" s="24" t="s">
        <v>2940</v>
      </c>
      <c r="D2325" s="24">
        <v>1933</v>
      </c>
    </row>
    <row r="2326" spans="1:4" x14ac:dyDescent="0.25">
      <c r="A2326" s="24">
        <v>771</v>
      </c>
      <c r="B2326" s="24">
        <v>849120</v>
      </c>
      <c r="C2326" s="24" t="s">
        <v>2941</v>
      </c>
      <c r="D2326" s="24">
        <v>1934</v>
      </c>
    </row>
    <row r="2327" spans="1:4" x14ac:dyDescent="0.25">
      <c r="A2327" s="24">
        <v>372</v>
      </c>
      <c r="B2327" s="24">
        <v>849171</v>
      </c>
      <c r="C2327" s="24" t="s">
        <v>2942</v>
      </c>
      <c r="D2327" s="24">
        <v>1935</v>
      </c>
    </row>
    <row r="2328" spans="1:4" x14ac:dyDescent="0.25">
      <c r="A2328" s="24">
        <v>3276</v>
      </c>
      <c r="B2328" s="24">
        <v>849251</v>
      </c>
      <c r="C2328" s="24" t="s">
        <v>2943</v>
      </c>
      <c r="D2328" s="24">
        <v>1936</v>
      </c>
    </row>
    <row r="2329" spans="1:4" x14ac:dyDescent="0.25">
      <c r="A2329" s="24">
        <v>802</v>
      </c>
      <c r="B2329" s="24">
        <v>849294</v>
      </c>
      <c r="C2329" s="24" t="s">
        <v>2944</v>
      </c>
      <c r="D2329" s="24">
        <v>1937</v>
      </c>
    </row>
    <row r="2330" spans="1:4" x14ac:dyDescent="0.25">
      <c r="A2330" s="24">
        <v>3135</v>
      </c>
      <c r="B2330" s="24">
        <v>849324</v>
      </c>
      <c r="C2330" s="24" t="s">
        <v>2945</v>
      </c>
      <c r="D2330" s="24">
        <v>1938</v>
      </c>
    </row>
    <row r="2331" spans="1:4" x14ac:dyDescent="0.25">
      <c r="A2331" s="24">
        <v>3303</v>
      </c>
      <c r="B2331" s="24">
        <v>849332</v>
      </c>
      <c r="C2331" s="24" t="s">
        <v>2946</v>
      </c>
      <c r="D2331" s="24">
        <v>1939</v>
      </c>
    </row>
    <row r="2332" spans="1:4" x14ac:dyDescent="0.25">
      <c r="A2332" s="24">
        <v>2803</v>
      </c>
      <c r="B2332" s="24">
        <v>849375</v>
      </c>
      <c r="C2332" s="24" t="s">
        <v>2948</v>
      </c>
      <c r="D2332" s="24">
        <v>1940</v>
      </c>
    </row>
    <row r="2333" spans="1:4" x14ac:dyDescent="0.25">
      <c r="A2333" s="24">
        <v>1611</v>
      </c>
      <c r="B2333" s="24">
        <v>849391</v>
      </c>
      <c r="C2333" s="24" t="s">
        <v>2949</v>
      </c>
      <c r="D2333" s="24">
        <v>1941</v>
      </c>
    </row>
    <row r="2334" spans="1:4" x14ac:dyDescent="0.25">
      <c r="A2334" s="24">
        <v>1681</v>
      </c>
      <c r="B2334" s="24">
        <v>873039</v>
      </c>
      <c r="C2334" s="24" t="s">
        <v>3992</v>
      </c>
      <c r="D2334" s="24">
        <v>1941</v>
      </c>
    </row>
    <row r="2335" spans="1:4" x14ac:dyDescent="0.25">
      <c r="A2335" s="24">
        <v>1093</v>
      </c>
      <c r="B2335" s="24">
        <v>849413</v>
      </c>
      <c r="C2335" s="24" t="s">
        <v>2950</v>
      </c>
      <c r="D2335" s="24">
        <v>1942</v>
      </c>
    </row>
    <row r="2336" spans="1:4" x14ac:dyDescent="0.25">
      <c r="A2336" s="24">
        <v>3370</v>
      </c>
      <c r="B2336" s="24">
        <v>849421</v>
      </c>
      <c r="C2336" s="24" t="s">
        <v>2951</v>
      </c>
      <c r="D2336" s="24">
        <v>1943</v>
      </c>
    </row>
    <row r="2337" spans="1:4" x14ac:dyDescent="0.25">
      <c r="A2337" s="24">
        <v>2678</v>
      </c>
      <c r="B2337" s="24">
        <v>849448</v>
      </c>
      <c r="C2337" s="24" t="s">
        <v>2953</v>
      </c>
      <c r="D2337" s="24">
        <v>1944</v>
      </c>
    </row>
    <row r="2338" spans="1:4" x14ac:dyDescent="0.25">
      <c r="A2338" s="24">
        <v>1546</v>
      </c>
      <c r="B2338" s="24">
        <v>849464</v>
      </c>
      <c r="C2338" s="24" t="s">
        <v>2954</v>
      </c>
      <c r="D2338" s="24">
        <v>1945</v>
      </c>
    </row>
    <row r="2339" spans="1:4" x14ac:dyDescent="0.25">
      <c r="A2339" s="24">
        <v>682</v>
      </c>
      <c r="B2339" s="24">
        <v>849499</v>
      </c>
      <c r="C2339" s="24" t="s">
        <v>2956</v>
      </c>
      <c r="D2339" s="24">
        <v>1946</v>
      </c>
    </row>
    <row r="2340" spans="1:4" x14ac:dyDescent="0.25">
      <c r="A2340" s="24">
        <v>1290</v>
      </c>
      <c r="B2340" s="24">
        <v>817791</v>
      </c>
      <c r="C2340" s="24" t="s">
        <v>1513</v>
      </c>
      <c r="D2340" s="24">
        <v>1946</v>
      </c>
    </row>
    <row r="2341" spans="1:4" x14ac:dyDescent="0.25">
      <c r="A2341" s="24">
        <v>497</v>
      </c>
      <c r="B2341" s="24">
        <v>857301</v>
      </c>
      <c r="C2341" s="24" t="s">
        <v>3286</v>
      </c>
      <c r="D2341" s="24">
        <v>1947</v>
      </c>
    </row>
    <row r="2342" spans="1:4" x14ac:dyDescent="0.25">
      <c r="A2342" s="24">
        <v>2185</v>
      </c>
      <c r="B2342" s="24">
        <v>849502</v>
      </c>
      <c r="C2342" s="24" t="s">
        <v>2957</v>
      </c>
      <c r="D2342" s="24">
        <v>1947</v>
      </c>
    </row>
    <row r="2343" spans="1:4" x14ac:dyDescent="0.25">
      <c r="A2343" s="24">
        <v>3456</v>
      </c>
      <c r="B2343" s="24">
        <v>840955</v>
      </c>
      <c r="C2343" s="24" t="s">
        <v>2609</v>
      </c>
      <c r="D2343" s="24">
        <v>1947</v>
      </c>
    </row>
    <row r="2344" spans="1:4" x14ac:dyDescent="0.25">
      <c r="A2344" s="24">
        <v>2262</v>
      </c>
      <c r="B2344" s="24">
        <v>860328</v>
      </c>
      <c r="C2344" s="24" t="s">
        <v>3410</v>
      </c>
      <c r="D2344" s="24">
        <v>1947</v>
      </c>
    </row>
    <row r="2345" spans="1:4" x14ac:dyDescent="0.25">
      <c r="A2345" s="24">
        <v>2034</v>
      </c>
      <c r="B2345" s="24">
        <v>849642</v>
      </c>
      <c r="C2345" s="24" t="s">
        <v>2959</v>
      </c>
      <c r="D2345" s="24">
        <v>1948</v>
      </c>
    </row>
    <row r="2346" spans="1:4" x14ac:dyDescent="0.25">
      <c r="A2346" s="24">
        <v>2830</v>
      </c>
      <c r="B2346" s="24">
        <v>849634</v>
      </c>
      <c r="C2346" s="24" t="s">
        <v>2958</v>
      </c>
      <c r="D2346" s="24">
        <v>1948</v>
      </c>
    </row>
    <row r="2347" spans="1:4" x14ac:dyDescent="0.25">
      <c r="A2347" s="24">
        <v>299</v>
      </c>
      <c r="B2347" s="24">
        <v>849677</v>
      </c>
      <c r="C2347" s="24" t="s">
        <v>2960</v>
      </c>
      <c r="D2347" s="24">
        <v>1949</v>
      </c>
    </row>
    <row r="2348" spans="1:4" x14ac:dyDescent="0.25">
      <c r="A2348" s="24">
        <v>318</v>
      </c>
      <c r="B2348" s="24">
        <v>849707</v>
      </c>
      <c r="C2348" s="24" t="s">
        <v>2961</v>
      </c>
      <c r="D2348" s="24">
        <v>1950</v>
      </c>
    </row>
    <row r="2349" spans="1:4" x14ac:dyDescent="0.25">
      <c r="A2349" s="24">
        <v>353</v>
      </c>
      <c r="B2349" s="24">
        <v>849715</v>
      </c>
      <c r="C2349" s="24" t="s">
        <v>2962</v>
      </c>
      <c r="D2349" s="24">
        <v>1951</v>
      </c>
    </row>
    <row r="2350" spans="1:4" x14ac:dyDescent="0.25">
      <c r="A2350" s="24">
        <v>852</v>
      </c>
      <c r="B2350" s="24">
        <v>849731</v>
      </c>
      <c r="C2350" s="24" t="s">
        <v>2964</v>
      </c>
      <c r="D2350" s="24">
        <v>1952</v>
      </c>
    </row>
    <row r="2351" spans="1:4" x14ac:dyDescent="0.25">
      <c r="A2351" s="24">
        <v>3429</v>
      </c>
      <c r="B2351" s="24">
        <v>849774</v>
      </c>
      <c r="C2351" s="24" t="s">
        <v>2965</v>
      </c>
      <c r="D2351" s="24">
        <v>1953</v>
      </c>
    </row>
    <row r="2352" spans="1:4" x14ac:dyDescent="0.25">
      <c r="A2352" s="24">
        <v>30</v>
      </c>
      <c r="B2352" s="24">
        <v>849782</v>
      </c>
      <c r="C2352" s="24" t="s">
        <v>2966</v>
      </c>
      <c r="D2352" s="24">
        <v>1954</v>
      </c>
    </row>
    <row r="2353" spans="1:4" x14ac:dyDescent="0.25">
      <c r="A2353" s="24">
        <v>2424</v>
      </c>
      <c r="B2353" s="24">
        <v>849847</v>
      </c>
      <c r="C2353" s="24" t="s">
        <v>2967</v>
      </c>
      <c r="D2353" s="24">
        <v>1955</v>
      </c>
    </row>
    <row r="2354" spans="1:4" x14ac:dyDescent="0.25">
      <c r="A2354" s="24">
        <v>454</v>
      </c>
      <c r="B2354" s="24">
        <v>849901</v>
      </c>
      <c r="C2354" s="24" t="s">
        <v>2968</v>
      </c>
      <c r="D2354" s="24">
        <v>1956</v>
      </c>
    </row>
    <row r="2355" spans="1:4" x14ac:dyDescent="0.25">
      <c r="A2355" s="24">
        <v>3063</v>
      </c>
      <c r="B2355" s="24">
        <v>849987</v>
      </c>
      <c r="C2355" s="24" t="s">
        <v>2969</v>
      </c>
      <c r="D2355" s="24">
        <v>1957</v>
      </c>
    </row>
    <row r="2356" spans="1:4" x14ac:dyDescent="0.25">
      <c r="A2356" s="24">
        <v>2023</v>
      </c>
      <c r="B2356" s="24">
        <v>850012</v>
      </c>
      <c r="C2356" s="24" t="s">
        <v>2970</v>
      </c>
      <c r="D2356" s="24">
        <v>1958</v>
      </c>
    </row>
    <row r="2357" spans="1:4" x14ac:dyDescent="0.25">
      <c r="A2357" s="24">
        <v>2045</v>
      </c>
      <c r="B2357" s="24">
        <v>850021</v>
      </c>
      <c r="C2357" s="24" t="s">
        <v>2971</v>
      </c>
      <c r="D2357" s="24">
        <v>1959</v>
      </c>
    </row>
    <row r="2358" spans="1:4" x14ac:dyDescent="0.25">
      <c r="A2358" s="24">
        <v>515</v>
      </c>
      <c r="B2358" s="24">
        <v>850063</v>
      </c>
      <c r="C2358" s="24" t="s">
        <v>2972</v>
      </c>
      <c r="D2358" s="24">
        <v>1960</v>
      </c>
    </row>
    <row r="2359" spans="1:4" x14ac:dyDescent="0.25">
      <c r="A2359" s="24">
        <v>839</v>
      </c>
      <c r="B2359" s="24">
        <v>850187</v>
      </c>
      <c r="C2359" s="24" t="s">
        <v>2973</v>
      </c>
      <c r="D2359" s="24">
        <v>1960</v>
      </c>
    </row>
    <row r="2360" spans="1:4" x14ac:dyDescent="0.25">
      <c r="A2360" s="24">
        <v>1647</v>
      </c>
      <c r="B2360" s="24">
        <v>850195</v>
      </c>
      <c r="C2360" s="24" t="s">
        <v>2974</v>
      </c>
      <c r="D2360" s="24">
        <v>1960</v>
      </c>
    </row>
    <row r="2361" spans="1:4" x14ac:dyDescent="0.25">
      <c r="A2361" s="24">
        <v>2390</v>
      </c>
      <c r="B2361" s="24">
        <v>867781</v>
      </c>
      <c r="C2361" s="24" t="s">
        <v>3726</v>
      </c>
      <c r="D2361" s="24">
        <v>1960</v>
      </c>
    </row>
    <row r="2362" spans="1:4" x14ac:dyDescent="0.25">
      <c r="A2362" s="24">
        <v>3254</v>
      </c>
      <c r="B2362" s="24">
        <v>850225</v>
      </c>
      <c r="C2362" s="24" t="s">
        <v>2975</v>
      </c>
      <c r="D2362" s="24">
        <v>1961</v>
      </c>
    </row>
    <row r="2363" spans="1:4" x14ac:dyDescent="0.25">
      <c r="A2363" s="24">
        <v>2237</v>
      </c>
      <c r="B2363" s="24">
        <v>850233</v>
      </c>
      <c r="C2363" s="24" t="s">
        <v>2976</v>
      </c>
      <c r="D2363" s="24">
        <v>1962</v>
      </c>
    </row>
    <row r="2364" spans="1:4" x14ac:dyDescent="0.25">
      <c r="A2364" s="24">
        <v>29</v>
      </c>
      <c r="B2364" s="24">
        <v>850241</v>
      </c>
      <c r="C2364" s="24" t="s">
        <v>2977</v>
      </c>
      <c r="D2364" s="24">
        <v>1963</v>
      </c>
    </row>
    <row r="2365" spans="1:4" x14ac:dyDescent="0.25">
      <c r="A2365" s="24">
        <v>1624</v>
      </c>
      <c r="B2365" s="24">
        <v>850250</v>
      </c>
      <c r="C2365" s="24" t="s">
        <v>2978</v>
      </c>
      <c r="D2365" s="24">
        <v>1964</v>
      </c>
    </row>
    <row r="2366" spans="1:4" x14ac:dyDescent="0.25">
      <c r="A2366" s="24">
        <v>1178</v>
      </c>
      <c r="B2366" s="24">
        <v>850268</v>
      </c>
      <c r="C2366" s="24" t="s">
        <v>2979</v>
      </c>
      <c r="D2366" s="24">
        <v>1965</v>
      </c>
    </row>
    <row r="2367" spans="1:4" x14ac:dyDescent="0.25">
      <c r="A2367" s="24">
        <v>1811</v>
      </c>
      <c r="B2367" s="24">
        <v>850276</v>
      </c>
      <c r="C2367" s="24" t="s">
        <v>2980</v>
      </c>
      <c r="D2367" s="24">
        <v>1966</v>
      </c>
    </row>
    <row r="2368" spans="1:4" x14ac:dyDescent="0.25">
      <c r="A2368" s="24">
        <v>1720</v>
      </c>
      <c r="B2368" s="24">
        <v>850284</v>
      </c>
      <c r="C2368" s="24" t="s">
        <v>2981</v>
      </c>
      <c r="D2368" s="24">
        <v>1967</v>
      </c>
    </row>
    <row r="2369" spans="1:4" x14ac:dyDescent="0.25">
      <c r="A2369" s="24">
        <v>1996</v>
      </c>
      <c r="B2369" s="24">
        <v>850292</v>
      </c>
      <c r="C2369" s="24" t="s">
        <v>2982</v>
      </c>
      <c r="D2369" s="24">
        <v>1968</v>
      </c>
    </row>
    <row r="2370" spans="1:4" x14ac:dyDescent="0.25">
      <c r="A2370" s="24">
        <v>3020</v>
      </c>
      <c r="B2370" s="24">
        <v>850322</v>
      </c>
      <c r="C2370" s="24" t="s">
        <v>2984</v>
      </c>
      <c r="D2370" s="24">
        <v>1969</v>
      </c>
    </row>
    <row r="2371" spans="1:4" x14ac:dyDescent="0.25">
      <c r="A2371" s="24">
        <v>2956</v>
      </c>
      <c r="B2371" s="24">
        <v>850331</v>
      </c>
      <c r="C2371" s="24" t="s">
        <v>2985</v>
      </c>
      <c r="D2371" s="24">
        <v>1970</v>
      </c>
    </row>
    <row r="2372" spans="1:4" x14ac:dyDescent="0.25">
      <c r="A2372" s="24">
        <v>3056</v>
      </c>
      <c r="B2372" s="24">
        <v>850357</v>
      </c>
      <c r="C2372" s="24" t="s">
        <v>2986</v>
      </c>
      <c r="D2372" s="24">
        <v>1971</v>
      </c>
    </row>
    <row r="2373" spans="1:4" x14ac:dyDescent="0.25">
      <c r="A2373" s="24">
        <v>1031</v>
      </c>
      <c r="B2373" s="24">
        <v>806927</v>
      </c>
      <c r="C2373" s="24" t="s">
        <v>979</v>
      </c>
      <c r="D2373" s="24">
        <v>1972</v>
      </c>
    </row>
    <row r="2374" spans="1:4" x14ac:dyDescent="0.25">
      <c r="A2374" s="24">
        <v>1640</v>
      </c>
      <c r="B2374" s="24">
        <v>850390</v>
      </c>
      <c r="C2374" s="24" t="s">
        <v>2987</v>
      </c>
      <c r="D2374" s="24">
        <v>1972</v>
      </c>
    </row>
    <row r="2375" spans="1:4" x14ac:dyDescent="0.25">
      <c r="A2375" s="24">
        <v>1197</v>
      </c>
      <c r="B2375" s="24">
        <v>850411</v>
      </c>
      <c r="C2375" s="24" t="s">
        <v>2989</v>
      </c>
      <c r="D2375" s="24">
        <v>1973</v>
      </c>
    </row>
    <row r="2376" spans="1:4" x14ac:dyDescent="0.25">
      <c r="A2376" s="24">
        <v>3192</v>
      </c>
      <c r="B2376" s="24">
        <v>850438</v>
      </c>
      <c r="C2376" s="24" t="s">
        <v>2991</v>
      </c>
      <c r="D2376" s="24">
        <v>1974</v>
      </c>
    </row>
    <row r="2377" spans="1:4" x14ac:dyDescent="0.25">
      <c r="A2377" s="24">
        <v>2389</v>
      </c>
      <c r="B2377" s="24">
        <v>850446</v>
      </c>
      <c r="C2377" s="24" t="s">
        <v>2992</v>
      </c>
      <c r="D2377" s="24">
        <v>1975</v>
      </c>
    </row>
    <row r="2378" spans="1:4" x14ac:dyDescent="0.25">
      <c r="A2378" s="24">
        <v>1415</v>
      </c>
      <c r="B2378" s="24">
        <v>850454</v>
      </c>
      <c r="C2378" s="24" t="s">
        <v>2993</v>
      </c>
      <c r="D2378" s="24">
        <v>1976</v>
      </c>
    </row>
    <row r="2379" spans="1:4" x14ac:dyDescent="0.25">
      <c r="A2379" s="24">
        <v>745</v>
      </c>
      <c r="B2379" s="24">
        <v>841234</v>
      </c>
      <c r="C2379" s="24" t="s">
        <v>2632</v>
      </c>
      <c r="D2379" s="24">
        <v>1977</v>
      </c>
    </row>
    <row r="2380" spans="1:4" x14ac:dyDescent="0.25">
      <c r="A2380" s="24">
        <v>808</v>
      </c>
      <c r="B2380" s="24">
        <v>850560</v>
      </c>
      <c r="C2380" s="24" t="s">
        <v>2996</v>
      </c>
      <c r="D2380" s="24">
        <v>1977</v>
      </c>
    </row>
    <row r="2381" spans="1:4" x14ac:dyDescent="0.25">
      <c r="A2381" s="24">
        <v>1249</v>
      </c>
      <c r="B2381" s="24">
        <v>818712</v>
      </c>
      <c r="C2381" s="24" t="s">
        <v>1563</v>
      </c>
      <c r="D2381" s="24">
        <v>1977</v>
      </c>
    </row>
    <row r="2382" spans="1:4" x14ac:dyDescent="0.25">
      <c r="A2382" s="24">
        <v>1392</v>
      </c>
      <c r="B2382" s="24">
        <v>821161</v>
      </c>
      <c r="C2382" s="24" t="s">
        <v>1689</v>
      </c>
      <c r="D2382" s="24">
        <v>1977</v>
      </c>
    </row>
    <row r="2383" spans="1:4" x14ac:dyDescent="0.25">
      <c r="A2383" s="24">
        <v>2627</v>
      </c>
      <c r="B2383" s="24">
        <v>850501</v>
      </c>
      <c r="C2383" s="24" t="s">
        <v>2995</v>
      </c>
      <c r="D2383" s="24">
        <v>1977</v>
      </c>
    </row>
    <row r="2384" spans="1:4" x14ac:dyDescent="0.25">
      <c r="A2384" s="24">
        <v>2770</v>
      </c>
      <c r="B2384" s="24">
        <v>850462</v>
      </c>
      <c r="C2384" s="24" t="s">
        <v>2994</v>
      </c>
      <c r="D2384" s="24">
        <v>1977</v>
      </c>
    </row>
    <row r="2385" spans="1:4" x14ac:dyDescent="0.25">
      <c r="A2385" s="24">
        <v>2680</v>
      </c>
      <c r="B2385" s="24">
        <v>850675</v>
      </c>
      <c r="C2385" s="24" t="s">
        <v>2997</v>
      </c>
      <c r="D2385" s="24">
        <v>1978</v>
      </c>
    </row>
    <row r="2386" spans="1:4" x14ac:dyDescent="0.25">
      <c r="A2386" s="24">
        <v>319</v>
      </c>
      <c r="B2386" s="24">
        <v>850683</v>
      </c>
      <c r="C2386" s="24" t="s">
        <v>2998</v>
      </c>
      <c r="D2386" s="24">
        <v>1979</v>
      </c>
    </row>
    <row r="2387" spans="1:4" x14ac:dyDescent="0.25">
      <c r="A2387" s="24">
        <v>2417</v>
      </c>
      <c r="B2387" s="24">
        <v>850691</v>
      </c>
      <c r="C2387" s="24" t="s">
        <v>2999</v>
      </c>
      <c r="D2387" s="24">
        <v>1980</v>
      </c>
    </row>
    <row r="2388" spans="1:4" x14ac:dyDescent="0.25">
      <c r="A2388" s="24">
        <v>486</v>
      </c>
      <c r="B2388" s="24">
        <v>850705</v>
      </c>
      <c r="C2388" s="24" t="s">
        <v>3000</v>
      </c>
      <c r="D2388" s="24">
        <v>1981</v>
      </c>
    </row>
    <row r="2389" spans="1:4" x14ac:dyDescent="0.25">
      <c r="A2389" s="24">
        <v>2605</v>
      </c>
      <c r="B2389" s="24">
        <v>850730</v>
      </c>
      <c r="C2389" s="24" t="s">
        <v>3001</v>
      </c>
      <c r="D2389" s="24">
        <v>1982</v>
      </c>
    </row>
    <row r="2390" spans="1:4" x14ac:dyDescent="0.25">
      <c r="A2390" s="24">
        <v>684</v>
      </c>
      <c r="B2390" s="24">
        <v>850748</v>
      </c>
      <c r="C2390" s="24" t="s">
        <v>3002</v>
      </c>
      <c r="D2390" s="24">
        <v>1983</v>
      </c>
    </row>
    <row r="2391" spans="1:4" x14ac:dyDescent="0.25">
      <c r="A2391" s="24">
        <v>2667</v>
      </c>
      <c r="B2391" s="24">
        <v>850772</v>
      </c>
      <c r="C2391" s="24" t="s">
        <v>3003</v>
      </c>
      <c r="D2391" s="24">
        <v>1984</v>
      </c>
    </row>
    <row r="2392" spans="1:4" x14ac:dyDescent="0.25">
      <c r="A2392" s="24">
        <v>2820</v>
      </c>
      <c r="B2392" s="24">
        <v>850811</v>
      </c>
      <c r="C2392" s="24" t="s">
        <v>3004</v>
      </c>
      <c r="D2392" s="24">
        <v>1985</v>
      </c>
    </row>
    <row r="2393" spans="1:4" x14ac:dyDescent="0.25">
      <c r="A2393" s="24">
        <v>2517</v>
      </c>
      <c r="B2393" s="24">
        <v>850845</v>
      </c>
      <c r="C2393" s="24" t="s">
        <v>3005</v>
      </c>
      <c r="D2393" s="24">
        <v>1986</v>
      </c>
    </row>
    <row r="2394" spans="1:4" x14ac:dyDescent="0.25">
      <c r="A2394" s="24">
        <v>3120</v>
      </c>
      <c r="B2394" s="24">
        <v>850861</v>
      </c>
      <c r="C2394" s="24" t="s">
        <v>3006</v>
      </c>
      <c r="D2394" s="24">
        <v>1987</v>
      </c>
    </row>
    <row r="2395" spans="1:4" x14ac:dyDescent="0.25">
      <c r="A2395" s="24">
        <v>1494</v>
      </c>
      <c r="B2395" s="24">
        <v>850870</v>
      </c>
      <c r="C2395" s="24" t="s">
        <v>3007</v>
      </c>
      <c r="D2395" s="24">
        <v>1988</v>
      </c>
    </row>
    <row r="2396" spans="1:4" x14ac:dyDescent="0.25">
      <c r="A2396" s="24">
        <v>235</v>
      </c>
      <c r="B2396" s="24">
        <v>950076</v>
      </c>
      <c r="C2396" s="24" t="s">
        <v>4109</v>
      </c>
      <c r="D2396" s="24">
        <v>1989</v>
      </c>
    </row>
    <row r="2397" spans="1:4" x14ac:dyDescent="0.25">
      <c r="A2397" s="24">
        <v>335</v>
      </c>
      <c r="B2397" s="24">
        <v>850896</v>
      </c>
      <c r="C2397" s="24" t="s">
        <v>3008</v>
      </c>
      <c r="D2397" s="24">
        <v>1989</v>
      </c>
    </row>
    <row r="2398" spans="1:4" x14ac:dyDescent="0.25">
      <c r="A2398" s="24">
        <v>3148</v>
      </c>
      <c r="B2398" s="24">
        <v>850900</v>
      </c>
      <c r="C2398" s="24" t="s">
        <v>3009</v>
      </c>
      <c r="D2398" s="24">
        <v>1990</v>
      </c>
    </row>
    <row r="2399" spans="1:4" x14ac:dyDescent="0.25">
      <c r="A2399" s="24">
        <v>2456</v>
      </c>
      <c r="B2399" s="24">
        <v>850942</v>
      </c>
      <c r="C2399" s="24" t="s">
        <v>3010</v>
      </c>
      <c r="D2399" s="24">
        <v>1991</v>
      </c>
    </row>
    <row r="2400" spans="1:4" x14ac:dyDescent="0.25">
      <c r="A2400" s="24">
        <v>2382</v>
      </c>
      <c r="B2400" s="24">
        <v>850977</v>
      </c>
      <c r="C2400" s="24" t="s">
        <v>3011</v>
      </c>
      <c r="D2400" s="24">
        <v>1992</v>
      </c>
    </row>
    <row r="2401" spans="1:4" x14ac:dyDescent="0.25">
      <c r="A2401" s="24">
        <v>3343</v>
      </c>
      <c r="B2401" s="24">
        <v>850993</v>
      </c>
      <c r="C2401" s="24" t="s">
        <v>3012</v>
      </c>
      <c r="D2401" s="24">
        <v>1993</v>
      </c>
    </row>
    <row r="2402" spans="1:4" x14ac:dyDescent="0.25">
      <c r="A2402" s="24">
        <v>596</v>
      </c>
      <c r="B2402" s="24">
        <v>851078</v>
      </c>
      <c r="C2402" s="24" t="s">
        <v>3014</v>
      </c>
      <c r="D2402" s="24">
        <v>1994</v>
      </c>
    </row>
    <row r="2403" spans="1:4" x14ac:dyDescent="0.25">
      <c r="A2403" s="24">
        <v>2053</v>
      </c>
      <c r="B2403" s="24">
        <v>807796</v>
      </c>
      <c r="C2403" s="24" t="s">
        <v>1030</v>
      </c>
      <c r="D2403" s="24">
        <v>1994</v>
      </c>
    </row>
    <row r="2404" spans="1:4" x14ac:dyDescent="0.25">
      <c r="A2404" s="24">
        <v>610</v>
      </c>
      <c r="B2404" s="24">
        <v>869279</v>
      </c>
      <c r="C2404" s="24" t="s">
        <v>1020</v>
      </c>
      <c r="D2404" s="24">
        <v>1995</v>
      </c>
    </row>
    <row r="2405" spans="1:4" x14ac:dyDescent="0.25">
      <c r="A2405" s="24">
        <v>2518</v>
      </c>
      <c r="B2405" s="24">
        <v>851094</v>
      </c>
      <c r="C2405" s="24" t="s">
        <v>3015</v>
      </c>
      <c r="D2405" s="24">
        <v>1995</v>
      </c>
    </row>
    <row r="2406" spans="1:4" x14ac:dyDescent="0.25">
      <c r="A2406" s="24">
        <v>290</v>
      </c>
      <c r="B2406" s="24">
        <v>851116</v>
      </c>
      <c r="C2406" s="24" t="s">
        <v>3015</v>
      </c>
      <c r="D2406" s="24">
        <v>1996</v>
      </c>
    </row>
    <row r="2407" spans="1:4" x14ac:dyDescent="0.25">
      <c r="A2407" s="24">
        <v>1020</v>
      </c>
      <c r="B2407" s="24">
        <v>851027</v>
      </c>
      <c r="C2407" s="24" t="s">
        <v>3013</v>
      </c>
      <c r="D2407" s="24">
        <v>1997</v>
      </c>
    </row>
    <row r="2408" spans="1:4" x14ac:dyDescent="0.25">
      <c r="A2408" s="24">
        <v>725</v>
      </c>
      <c r="B2408" s="24">
        <v>851132</v>
      </c>
      <c r="C2408" s="24" t="s">
        <v>3016</v>
      </c>
      <c r="D2408" s="24">
        <v>1998</v>
      </c>
    </row>
    <row r="2409" spans="1:4" x14ac:dyDescent="0.25">
      <c r="A2409" s="24">
        <v>2304</v>
      </c>
      <c r="B2409" s="24">
        <v>851167</v>
      </c>
      <c r="C2409" s="24" t="s">
        <v>3018</v>
      </c>
      <c r="D2409" s="24">
        <v>1999</v>
      </c>
    </row>
    <row r="2410" spans="1:4" x14ac:dyDescent="0.25">
      <c r="A2410" s="24">
        <v>157</v>
      </c>
      <c r="B2410" s="24">
        <v>851175</v>
      </c>
      <c r="C2410" s="24" t="s">
        <v>3019</v>
      </c>
      <c r="D2410" s="24">
        <v>2000</v>
      </c>
    </row>
    <row r="2411" spans="1:4" x14ac:dyDescent="0.25">
      <c r="A2411" s="24">
        <v>2466</v>
      </c>
      <c r="B2411" s="24">
        <v>851191</v>
      </c>
      <c r="C2411" s="24" t="s">
        <v>3020</v>
      </c>
      <c r="D2411" s="24">
        <v>2001</v>
      </c>
    </row>
    <row r="2412" spans="1:4" x14ac:dyDescent="0.25">
      <c r="A2412" s="24">
        <v>1668</v>
      </c>
      <c r="B2412" s="24">
        <v>851205</v>
      </c>
      <c r="C2412" s="24" t="s">
        <v>3021</v>
      </c>
      <c r="D2412" s="24">
        <v>2002</v>
      </c>
    </row>
    <row r="2413" spans="1:4" x14ac:dyDescent="0.25">
      <c r="A2413" s="24">
        <v>1868</v>
      </c>
      <c r="B2413" s="24">
        <v>851213</v>
      </c>
      <c r="C2413" s="24" t="s">
        <v>3022</v>
      </c>
      <c r="D2413" s="24">
        <v>2003</v>
      </c>
    </row>
    <row r="2414" spans="1:4" x14ac:dyDescent="0.25">
      <c r="A2414" s="24">
        <v>2373</v>
      </c>
      <c r="B2414" s="24">
        <v>851221</v>
      </c>
      <c r="C2414" s="24" t="s">
        <v>3023</v>
      </c>
      <c r="D2414" s="24">
        <v>2004</v>
      </c>
    </row>
    <row r="2415" spans="1:4" x14ac:dyDescent="0.25">
      <c r="A2415" s="24">
        <v>2870</v>
      </c>
      <c r="B2415" s="24">
        <v>851230</v>
      </c>
      <c r="C2415" s="24" t="s">
        <v>3024</v>
      </c>
      <c r="D2415" s="24">
        <v>2005</v>
      </c>
    </row>
    <row r="2416" spans="1:4" x14ac:dyDescent="0.25">
      <c r="A2416" s="24">
        <v>1902</v>
      </c>
      <c r="B2416" s="24">
        <v>848123</v>
      </c>
      <c r="C2416" s="24" t="s">
        <v>2909</v>
      </c>
      <c r="D2416" s="24">
        <v>2006</v>
      </c>
    </row>
    <row r="2417" spans="1:4" x14ac:dyDescent="0.25">
      <c r="A2417" s="24">
        <v>2971</v>
      </c>
      <c r="B2417" s="24">
        <v>851256</v>
      </c>
      <c r="C2417" s="24" t="s">
        <v>3025</v>
      </c>
      <c r="D2417" s="24">
        <v>2006</v>
      </c>
    </row>
    <row r="2418" spans="1:4" x14ac:dyDescent="0.25">
      <c r="A2418" s="24">
        <v>612</v>
      </c>
      <c r="B2418" s="24">
        <v>851272</v>
      </c>
      <c r="C2418" s="24" t="s">
        <v>3026</v>
      </c>
      <c r="D2418" s="24">
        <v>2007</v>
      </c>
    </row>
    <row r="2419" spans="1:4" x14ac:dyDescent="0.25">
      <c r="A2419" s="24">
        <v>3385</v>
      </c>
      <c r="B2419" s="24">
        <v>851281</v>
      </c>
      <c r="C2419" s="24" t="s">
        <v>3026</v>
      </c>
      <c r="D2419" s="24">
        <v>2008</v>
      </c>
    </row>
    <row r="2420" spans="1:4" x14ac:dyDescent="0.25">
      <c r="A2420" s="24">
        <v>959</v>
      </c>
      <c r="B2420" s="24">
        <v>851388</v>
      </c>
      <c r="C2420" s="24" t="s">
        <v>3027</v>
      </c>
      <c r="D2420" s="24">
        <v>2009</v>
      </c>
    </row>
    <row r="2421" spans="1:4" x14ac:dyDescent="0.25">
      <c r="A2421" s="24">
        <v>1373</v>
      </c>
      <c r="B2421" s="24">
        <v>851515</v>
      </c>
      <c r="C2421" s="24" t="s">
        <v>3028</v>
      </c>
      <c r="D2421" s="24">
        <v>2010</v>
      </c>
    </row>
    <row r="2422" spans="1:4" x14ac:dyDescent="0.25">
      <c r="A2422" s="24">
        <v>461</v>
      </c>
      <c r="B2422" s="24">
        <v>851523</v>
      </c>
      <c r="C2422" s="24" t="s">
        <v>3029</v>
      </c>
      <c r="D2422" s="24">
        <v>2011</v>
      </c>
    </row>
    <row r="2423" spans="1:4" x14ac:dyDescent="0.25">
      <c r="A2423" s="24">
        <v>2333</v>
      </c>
      <c r="B2423" s="24">
        <v>851531</v>
      </c>
      <c r="C2423" s="24" t="s">
        <v>3030</v>
      </c>
      <c r="D2423" s="24">
        <v>2012</v>
      </c>
    </row>
    <row r="2424" spans="1:4" x14ac:dyDescent="0.25">
      <c r="A2424" s="24">
        <v>1836</v>
      </c>
      <c r="B2424" s="24">
        <v>851558</v>
      </c>
      <c r="C2424" s="24" t="s">
        <v>3031</v>
      </c>
      <c r="D2424" s="24">
        <v>2013</v>
      </c>
    </row>
    <row r="2425" spans="1:4" x14ac:dyDescent="0.25">
      <c r="A2425" s="24">
        <v>1869</v>
      </c>
      <c r="B2425" s="24">
        <v>851574</v>
      </c>
      <c r="C2425" s="24" t="s">
        <v>3032</v>
      </c>
      <c r="D2425" s="24">
        <v>2014</v>
      </c>
    </row>
    <row r="2426" spans="1:4" x14ac:dyDescent="0.25">
      <c r="A2426" s="24">
        <v>2469</v>
      </c>
      <c r="B2426" s="24">
        <v>851582</v>
      </c>
      <c r="C2426" s="24" t="s">
        <v>3033</v>
      </c>
      <c r="D2426" s="24">
        <v>2015</v>
      </c>
    </row>
    <row r="2427" spans="1:4" x14ac:dyDescent="0.25">
      <c r="A2427" s="24">
        <v>3029</v>
      </c>
      <c r="B2427" s="24">
        <v>851612</v>
      </c>
      <c r="C2427" s="24" t="s">
        <v>3034</v>
      </c>
      <c r="D2427" s="24">
        <v>2016</v>
      </c>
    </row>
    <row r="2428" spans="1:4" x14ac:dyDescent="0.25">
      <c r="A2428" s="24">
        <v>1867</v>
      </c>
      <c r="B2428" s="24">
        <v>866628</v>
      </c>
      <c r="C2428" s="24" t="s">
        <v>3678</v>
      </c>
      <c r="D2428" s="24">
        <v>2017</v>
      </c>
    </row>
    <row r="2429" spans="1:4" x14ac:dyDescent="0.25">
      <c r="A2429" s="24">
        <v>383</v>
      </c>
      <c r="B2429" s="24">
        <v>851639</v>
      </c>
      <c r="C2429" s="24" t="s">
        <v>3035</v>
      </c>
      <c r="D2429" s="24">
        <v>2018</v>
      </c>
    </row>
    <row r="2430" spans="1:4" x14ac:dyDescent="0.25">
      <c r="A2430" s="24">
        <v>2787</v>
      </c>
      <c r="B2430" s="24">
        <v>851655</v>
      </c>
      <c r="C2430" s="24" t="s">
        <v>3036</v>
      </c>
      <c r="D2430" s="24">
        <v>2019</v>
      </c>
    </row>
    <row r="2431" spans="1:4" x14ac:dyDescent="0.25">
      <c r="A2431" s="24">
        <v>627</v>
      </c>
      <c r="B2431" s="24">
        <v>841021</v>
      </c>
      <c r="C2431" s="24" t="s">
        <v>2614</v>
      </c>
      <c r="D2431" s="24">
        <v>2020</v>
      </c>
    </row>
    <row r="2432" spans="1:4" x14ac:dyDescent="0.25">
      <c r="A2432" s="24">
        <v>1264</v>
      </c>
      <c r="B2432" s="24">
        <v>871419</v>
      </c>
      <c r="C2432" s="24" t="s">
        <v>3919</v>
      </c>
      <c r="D2432" s="24">
        <v>2020</v>
      </c>
    </row>
    <row r="2433" spans="1:4" x14ac:dyDescent="0.25">
      <c r="A2433" s="24">
        <v>463</v>
      </c>
      <c r="B2433" s="24">
        <v>851680</v>
      </c>
      <c r="C2433" s="24" t="s">
        <v>3037</v>
      </c>
      <c r="D2433" s="24">
        <v>2021</v>
      </c>
    </row>
    <row r="2434" spans="1:4" x14ac:dyDescent="0.25">
      <c r="A2434" s="24">
        <v>700</v>
      </c>
      <c r="B2434" s="24">
        <v>851698</v>
      </c>
      <c r="C2434" s="24" t="s">
        <v>3038</v>
      </c>
      <c r="D2434" s="24">
        <v>2022</v>
      </c>
    </row>
    <row r="2435" spans="1:4" x14ac:dyDescent="0.25">
      <c r="A2435" s="24">
        <v>2408</v>
      </c>
      <c r="B2435" s="24">
        <v>851728</v>
      </c>
      <c r="C2435" s="24" t="s">
        <v>3039</v>
      </c>
      <c r="D2435" s="24">
        <v>2023</v>
      </c>
    </row>
    <row r="2436" spans="1:4" x14ac:dyDescent="0.25">
      <c r="A2436" s="24">
        <v>1357</v>
      </c>
      <c r="B2436" s="24">
        <v>851761</v>
      </c>
      <c r="C2436" s="24" t="s">
        <v>3041</v>
      </c>
      <c r="D2436" s="24">
        <v>2024</v>
      </c>
    </row>
    <row r="2437" spans="1:4" x14ac:dyDescent="0.25">
      <c r="A2437" s="24">
        <v>1809</v>
      </c>
      <c r="B2437" s="24">
        <v>851752</v>
      </c>
      <c r="C2437" s="24" t="s">
        <v>3040</v>
      </c>
      <c r="D2437" s="24">
        <v>2024</v>
      </c>
    </row>
    <row r="2438" spans="1:4" x14ac:dyDescent="0.25">
      <c r="A2438" s="24">
        <v>2281</v>
      </c>
      <c r="B2438" s="24">
        <v>851779</v>
      </c>
      <c r="C2438" s="24" t="s">
        <v>3042</v>
      </c>
      <c r="D2438" s="24">
        <v>2025</v>
      </c>
    </row>
    <row r="2439" spans="1:4" x14ac:dyDescent="0.25">
      <c r="A2439" s="24">
        <v>3540</v>
      </c>
      <c r="B2439" s="24">
        <v>851787</v>
      </c>
      <c r="C2439" s="24" t="s">
        <v>3043</v>
      </c>
      <c r="D2439" s="24">
        <v>2026</v>
      </c>
    </row>
    <row r="2440" spans="1:4" x14ac:dyDescent="0.25">
      <c r="A2440" s="24">
        <v>2473</v>
      </c>
      <c r="B2440" s="24">
        <v>851795</v>
      </c>
      <c r="C2440" s="24" t="s">
        <v>3044</v>
      </c>
      <c r="D2440" s="24">
        <v>2027</v>
      </c>
    </row>
    <row r="2441" spans="1:4" x14ac:dyDescent="0.25">
      <c r="A2441" s="24">
        <v>3203</v>
      </c>
      <c r="B2441" s="24">
        <v>851817</v>
      </c>
      <c r="C2441" s="24" t="s">
        <v>3045</v>
      </c>
      <c r="D2441" s="24">
        <v>2028</v>
      </c>
    </row>
    <row r="2442" spans="1:4" x14ac:dyDescent="0.25">
      <c r="A2442" s="24">
        <v>310</v>
      </c>
      <c r="B2442" s="24">
        <v>851833</v>
      </c>
      <c r="C2442" s="24" t="s">
        <v>3047</v>
      </c>
      <c r="D2442" s="24">
        <v>2029</v>
      </c>
    </row>
    <row r="2443" spans="1:4" x14ac:dyDescent="0.25">
      <c r="A2443" s="24">
        <v>1913</v>
      </c>
      <c r="B2443" s="24">
        <v>851825</v>
      </c>
      <c r="C2443" s="24" t="s">
        <v>3046</v>
      </c>
      <c r="D2443" s="24">
        <v>2029</v>
      </c>
    </row>
    <row r="2444" spans="1:4" x14ac:dyDescent="0.25">
      <c r="A2444" s="24">
        <v>1337</v>
      </c>
      <c r="B2444" s="24">
        <v>851841</v>
      </c>
      <c r="C2444" s="24" t="s">
        <v>3048</v>
      </c>
      <c r="D2444" s="24">
        <v>2030</v>
      </c>
    </row>
    <row r="2445" spans="1:4" x14ac:dyDescent="0.25">
      <c r="A2445" s="24">
        <v>3132</v>
      </c>
      <c r="B2445" s="24">
        <v>851850</v>
      </c>
      <c r="C2445" s="24" t="s">
        <v>3049</v>
      </c>
      <c r="D2445" s="24">
        <v>2031</v>
      </c>
    </row>
    <row r="2446" spans="1:4" x14ac:dyDescent="0.25">
      <c r="A2446" s="24">
        <v>2497</v>
      </c>
      <c r="B2446" s="24">
        <v>851868</v>
      </c>
      <c r="C2446" s="24" t="s">
        <v>3050</v>
      </c>
      <c r="D2446" s="24">
        <v>2032</v>
      </c>
    </row>
    <row r="2447" spans="1:4" x14ac:dyDescent="0.25">
      <c r="A2447" s="24">
        <v>3234</v>
      </c>
      <c r="B2447" s="24">
        <v>851884</v>
      </c>
      <c r="C2447" s="24" t="s">
        <v>3051</v>
      </c>
      <c r="D2447" s="24">
        <v>2033</v>
      </c>
    </row>
    <row r="2448" spans="1:4" x14ac:dyDescent="0.25">
      <c r="A2448" s="24">
        <v>396</v>
      </c>
      <c r="B2448" s="24">
        <v>851914</v>
      </c>
      <c r="C2448" s="24" t="s">
        <v>3053</v>
      </c>
      <c r="D2448" s="24">
        <v>2034</v>
      </c>
    </row>
    <row r="2449" spans="1:4" x14ac:dyDescent="0.25">
      <c r="A2449" s="24">
        <v>837</v>
      </c>
      <c r="B2449" s="24">
        <v>851931</v>
      </c>
      <c r="C2449" s="24" t="s">
        <v>3055</v>
      </c>
      <c r="D2449" s="24">
        <v>2035</v>
      </c>
    </row>
    <row r="2450" spans="1:4" x14ac:dyDescent="0.25">
      <c r="A2450" s="24">
        <v>3330</v>
      </c>
      <c r="B2450" s="24">
        <v>851949</v>
      </c>
      <c r="C2450" s="24" t="s">
        <v>3056</v>
      </c>
      <c r="D2450" s="24">
        <v>2036</v>
      </c>
    </row>
    <row r="2451" spans="1:4" x14ac:dyDescent="0.25">
      <c r="A2451" s="24">
        <v>58</v>
      </c>
      <c r="B2451" s="24">
        <v>851965</v>
      </c>
      <c r="C2451" s="24" t="s">
        <v>3057</v>
      </c>
      <c r="D2451" s="24">
        <v>2037</v>
      </c>
    </row>
    <row r="2452" spans="1:4" x14ac:dyDescent="0.25">
      <c r="A2452" s="24">
        <v>1915</v>
      </c>
      <c r="B2452" s="24">
        <v>851973</v>
      </c>
      <c r="C2452" s="24" t="s">
        <v>3058</v>
      </c>
      <c r="D2452" s="24">
        <v>2038</v>
      </c>
    </row>
    <row r="2453" spans="1:4" x14ac:dyDescent="0.25">
      <c r="A2453" s="24">
        <v>2342</v>
      </c>
      <c r="B2453" s="24">
        <v>815373</v>
      </c>
      <c r="C2453" s="24" t="s">
        <v>1408</v>
      </c>
      <c r="D2453" s="24">
        <v>2038</v>
      </c>
    </row>
    <row r="2454" spans="1:4" x14ac:dyDescent="0.25">
      <c r="A2454" s="24">
        <v>1175</v>
      </c>
      <c r="B2454" s="24">
        <v>851981</v>
      </c>
      <c r="C2454" s="24" t="s">
        <v>3059</v>
      </c>
      <c r="D2454" s="24">
        <v>2039</v>
      </c>
    </row>
    <row r="2455" spans="1:4" x14ac:dyDescent="0.25">
      <c r="A2455" s="24">
        <v>2617</v>
      </c>
      <c r="B2455" s="24">
        <v>851990</v>
      </c>
      <c r="C2455" s="24" t="s">
        <v>3060</v>
      </c>
      <c r="D2455" s="24">
        <v>2040</v>
      </c>
    </row>
    <row r="2456" spans="1:4" x14ac:dyDescent="0.25">
      <c r="A2456" s="24">
        <v>784</v>
      </c>
      <c r="B2456" s="24">
        <v>852007</v>
      </c>
      <c r="C2456" s="24" t="s">
        <v>3061</v>
      </c>
      <c r="D2456" s="24">
        <v>2041</v>
      </c>
    </row>
    <row r="2457" spans="1:4" x14ac:dyDescent="0.25">
      <c r="A2457" s="24">
        <v>1394</v>
      </c>
      <c r="B2457" s="24">
        <v>852015</v>
      </c>
      <c r="C2457" s="24" t="s">
        <v>3062</v>
      </c>
      <c r="D2457" s="24">
        <v>2042</v>
      </c>
    </row>
    <row r="2458" spans="1:4" x14ac:dyDescent="0.25">
      <c r="A2458" s="24">
        <v>3251</v>
      </c>
      <c r="B2458" s="24">
        <v>852031</v>
      </c>
      <c r="C2458" s="24" t="s">
        <v>3063</v>
      </c>
      <c r="D2458" s="24">
        <v>2043</v>
      </c>
    </row>
    <row r="2459" spans="1:4" x14ac:dyDescent="0.25">
      <c r="A2459" s="24">
        <v>2261</v>
      </c>
      <c r="B2459" s="24">
        <v>852058</v>
      </c>
      <c r="C2459" s="24" t="s">
        <v>3064</v>
      </c>
      <c r="D2459" s="24">
        <v>2044</v>
      </c>
    </row>
    <row r="2460" spans="1:4" x14ac:dyDescent="0.25">
      <c r="A2460" s="24">
        <v>1168</v>
      </c>
      <c r="B2460" s="24">
        <v>852066</v>
      </c>
      <c r="C2460" s="24" t="s">
        <v>3065</v>
      </c>
      <c r="D2460" s="24">
        <v>2045</v>
      </c>
    </row>
    <row r="2461" spans="1:4" x14ac:dyDescent="0.25">
      <c r="A2461" s="24">
        <v>2640</v>
      </c>
      <c r="B2461" s="24">
        <v>852104</v>
      </c>
      <c r="C2461" s="24" t="s">
        <v>3067</v>
      </c>
      <c r="D2461" s="24">
        <v>2046</v>
      </c>
    </row>
    <row r="2462" spans="1:4" x14ac:dyDescent="0.25">
      <c r="A2462" s="24">
        <v>3130</v>
      </c>
      <c r="B2462" s="24">
        <v>852228</v>
      </c>
      <c r="C2462" s="24" t="s">
        <v>3069</v>
      </c>
      <c r="D2462" s="24">
        <v>2046</v>
      </c>
    </row>
    <row r="2463" spans="1:4" x14ac:dyDescent="0.25">
      <c r="A2463" s="24">
        <v>3287</v>
      </c>
      <c r="B2463" s="24">
        <v>852210</v>
      </c>
      <c r="C2463" s="24" t="s">
        <v>3068</v>
      </c>
      <c r="D2463" s="24">
        <v>2047</v>
      </c>
    </row>
    <row r="2464" spans="1:4" x14ac:dyDescent="0.25">
      <c r="A2464" s="24">
        <v>494</v>
      </c>
      <c r="B2464" s="24">
        <v>852236</v>
      </c>
      <c r="C2464" s="24" t="s">
        <v>3070</v>
      </c>
      <c r="D2464" s="24">
        <v>2048</v>
      </c>
    </row>
    <row r="2465" spans="1:4" x14ac:dyDescent="0.25">
      <c r="A2465" s="24">
        <v>3525</v>
      </c>
      <c r="B2465" s="24">
        <v>852244</v>
      </c>
      <c r="C2465" s="24" t="s">
        <v>3070</v>
      </c>
      <c r="D2465" s="24">
        <v>2049</v>
      </c>
    </row>
    <row r="2466" spans="1:4" x14ac:dyDescent="0.25">
      <c r="A2466" s="24">
        <v>3</v>
      </c>
      <c r="B2466" s="24">
        <v>852350</v>
      </c>
      <c r="C2466" s="24" t="s">
        <v>3072</v>
      </c>
      <c r="D2466" s="24">
        <v>2050</v>
      </c>
    </row>
    <row r="2467" spans="1:4" x14ac:dyDescent="0.25">
      <c r="A2467" s="24">
        <v>894</v>
      </c>
      <c r="B2467" s="24">
        <v>852376</v>
      </c>
      <c r="C2467" s="24" t="s">
        <v>3073</v>
      </c>
      <c r="D2467" s="24">
        <v>2051</v>
      </c>
    </row>
    <row r="2468" spans="1:4" x14ac:dyDescent="0.25">
      <c r="A2468" s="24">
        <v>822</v>
      </c>
      <c r="B2468" s="24">
        <v>852384</v>
      </c>
      <c r="C2468" s="24" t="s">
        <v>3074</v>
      </c>
      <c r="D2468" s="24">
        <v>2052</v>
      </c>
    </row>
    <row r="2469" spans="1:4" x14ac:dyDescent="0.25">
      <c r="A2469" s="24">
        <v>3476</v>
      </c>
      <c r="B2469" s="24">
        <v>852414</v>
      </c>
      <c r="C2469" s="24" t="s">
        <v>3076</v>
      </c>
      <c r="D2469" s="24">
        <v>2053</v>
      </c>
    </row>
    <row r="2470" spans="1:4" x14ac:dyDescent="0.25">
      <c r="A2470" s="24">
        <v>32</v>
      </c>
      <c r="B2470" s="24">
        <v>838161</v>
      </c>
      <c r="C2470" s="24" t="s">
        <v>2485</v>
      </c>
      <c r="D2470" s="24">
        <v>2054</v>
      </c>
    </row>
    <row r="2471" spans="1:4" x14ac:dyDescent="0.25">
      <c r="A2471" s="24">
        <v>2095</v>
      </c>
      <c r="B2471" s="24">
        <v>813940</v>
      </c>
      <c r="C2471" s="24" t="s">
        <v>1331</v>
      </c>
      <c r="D2471" s="24">
        <v>2054</v>
      </c>
    </row>
    <row r="2472" spans="1:4" x14ac:dyDescent="0.25">
      <c r="A2472" s="24">
        <v>2454</v>
      </c>
      <c r="B2472" s="24">
        <v>871265</v>
      </c>
      <c r="C2472" s="24" t="s">
        <v>3908</v>
      </c>
      <c r="D2472" s="24">
        <v>2054</v>
      </c>
    </row>
    <row r="2473" spans="1:4" x14ac:dyDescent="0.25">
      <c r="A2473" s="24">
        <v>2590</v>
      </c>
      <c r="B2473" s="24">
        <v>852422</v>
      </c>
      <c r="C2473" s="24" t="s">
        <v>3077</v>
      </c>
      <c r="D2473" s="24">
        <v>2054</v>
      </c>
    </row>
    <row r="2474" spans="1:4" x14ac:dyDescent="0.25">
      <c r="A2474" s="24">
        <v>2490</v>
      </c>
      <c r="B2474" s="24">
        <v>800601</v>
      </c>
      <c r="C2474" s="24" t="s">
        <v>770</v>
      </c>
      <c r="D2474" s="24">
        <v>2054</v>
      </c>
    </row>
    <row r="2475" spans="1:4" x14ac:dyDescent="0.25">
      <c r="A2475" s="24">
        <v>1927</v>
      </c>
      <c r="B2475" s="24">
        <v>840874</v>
      </c>
      <c r="C2475" s="24" t="s">
        <v>2604</v>
      </c>
      <c r="D2475" s="24">
        <v>2054</v>
      </c>
    </row>
    <row r="2476" spans="1:4" x14ac:dyDescent="0.25">
      <c r="A2476" s="24">
        <v>2911</v>
      </c>
      <c r="B2476" s="24">
        <v>852473</v>
      </c>
      <c r="C2476" s="24" t="s">
        <v>3078</v>
      </c>
      <c r="D2476" s="24">
        <v>2054</v>
      </c>
    </row>
    <row r="2477" spans="1:4" x14ac:dyDescent="0.25">
      <c r="A2477" s="24">
        <v>2332</v>
      </c>
      <c r="B2477" s="24">
        <v>852597</v>
      </c>
      <c r="C2477" s="24" t="s">
        <v>3079</v>
      </c>
      <c r="D2477" s="24">
        <v>2055</v>
      </c>
    </row>
    <row r="2478" spans="1:4" x14ac:dyDescent="0.25">
      <c r="A2478" s="24">
        <v>846</v>
      </c>
      <c r="B2478" s="24">
        <v>852635</v>
      </c>
      <c r="C2478" s="24" t="s">
        <v>3080</v>
      </c>
      <c r="D2478" s="24">
        <v>2056</v>
      </c>
    </row>
    <row r="2479" spans="1:4" x14ac:dyDescent="0.25">
      <c r="A2479" s="24">
        <v>2203</v>
      </c>
      <c r="B2479" s="24">
        <v>852651</v>
      </c>
      <c r="C2479" s="24" t="s">
        <v>3081</v>
      </c>
      <c r="D2479" s="24">
        <v>2057</v>
      </c>
    </row>
    <row r="2480" spans="1:4" x14ac:dyDescent="0.25">
      <c r="A2480" s="24">
        <v>1906</v>
      </c>
      <c r="B2480" s="24">
        <v>852643</v>
      </c>
      <c r="C2480" s="24" t="s">
        <v>2963</v>
      </c>
      <c r="D2480" s="24">
        <v>2057</v>
      </c>
    </row>
    <row r="2481" spans="1:4" x14ac:dyDescent="0.25">
      <c r="A2481" s="24">
        <v>2994</v>
      </c>
      <c r="B2481" s="24">
        <v>852660</v>
      </c>
      <c r="C2481" s="24" t="s">
        <v>3082</v>
      </c>
      <c r="D2481" s="24">
        <v>2058</v>
      </c>
    </row>
    <row r="2482" spans="1:4" x14ac:dyDescent="0.25">
      <c r="A2482" s="24">
        <v>327</v>
      </c>
      <c r="B2482" s="24">
        <v>852694</v>
      </c>
      <c r="C2482" s="24" t="s">
        <v>3084</v>
      </c>
      <c r="D2482" s="24">
        <v>2059</v>
      </c>
    </row>
    <row r="2483" spans="1:4" x14ac:dyDescent="0.25">
      <c r="A2483" s="24">
        <v>2571</v>
      </c>
      <c r="B2483" s="24">
        <v>852678</v>
      </c>
      <c r="C2483" s="24" t="s">
        <v>3083</v>
      </c>
      <c r="D2483" s="24">
        <v>2060</v>
      </c>
    </row>
    <row r="2484" spans="1:4" x14ac:dyDescent="0.25">
      <c r="A2484" s="24">
        <v>321</v>
      </c>
      <c r="B2484" s="24">
        <v>852716</v>
      </c>
      <c r="C2484" s="24" t="s">
        <v>3086</v>
      </c>
      <c r="D2484" s="24">
        <v>2061</v>
      </c>
    </row>
    <row r="2485" spans="1:4" x14ac:dyDescent="0.25">
      <c r="A2485" s="24">
        <v>2965</v>
      </c>
      <c r="B2485" s="24">
        <v>852724</v>
      </c>
      <c r="C2485" s="24" t="s">
        <v>3086</v>
      </c>
      <c r="D2485" s="24">
        <v>2062</v>
      </c>
    </row>
    <row r="2486" spans="1:4" x14ac:dyDescent="0.25">
      <c r="A2486" s="24">
        <v>1601</v>
      </c>
      <c r="B2486" s="24">
        <v>852732</v>
      </c>
      <c r="C2486" s="24" t="s">
        <v>3087</v>
      </c>
      <c r="D2486" s="24">
        <v>2063</v>
      </c>
    </row>
    <row r="2487" spans="1:4" x14ac:dyDescent="0.25">
      <c r="A2487" s="24">
        <v>734</v>
      </c>
      <c r="B2487" s="24">
        <v>852741</v>
      </c>
      <c r="C2487" s="24" t="s">
        <v>3088</v>
      </c>
      <c r="D2487" s="24">
        <v>2064</v>
      </c>
    </row>
    <row r="2488" spans="1:4" x14ac:dyDescent="0.25">
      <c r="A2488" s="24">
        <v>233</v>
      </c>
      <c r="B2488" s="24">
        <v>852759</v>
      </c>
      <c r="C2488" s="24" t="s">
        <v>3089</v>
      </c>
      <c r="D2488" s="24">
        <v>2065</v>
      </c>
    </row>
    <row r="2489" spans="1:4" x14ac:dyDescent="0.25">
      <c r="A2489" s="24">
        <v>2527</v>
      </c>
      <c r="B2489" s="24">
        <v>872962</v>
      </c>
      <c r="C2489" s="24" t="s">
        <v>3986</v>
      </c>
      <c r="D2489" s="24">
        <v>2066</v>
      </c>
    </row>
    <row r="2490" spans="1:4" x14ac:dyDescent="0.25">
      <c r="A2490" s="24">
        <v>3229</v>
      </c>
      <c r="B2490" s="24">
        <v>820369</v>
      </c>
      <c r="C2490" s="24" t="s">
        <v>1637</v>
      </c>
      <c r="D2490" s="24">
        <v>2066</v>
      </c>
    </row>
    <row r="2491" spans="1:4" x14ac:dyDescent="0.25">
      <c r="A2491" s="24">
        <v>2375</v>
      </c>
      <c r="B2491" s="24">
        <v>828785</v>
      </c>
      <c r="C2491" s="24" t="s">
        <v>2037</v>
      </c>
      <c r="D2491" s="24">
        <v>2067</v>
      </c>
    </row>
    <row r="2492" spans="1:4" x14ac:dyDescent="0.25">
      <c r="A2492" s="24">
        <v>2127</v>
      </c>
      <c r="B2492" s="24">
        <v>852767</v>
      </c>
      <c r="C2492" s="24" t="s">
        <v>3090</v>
      </c>
      <c r="D2492" s="24">
        <v>2068</v>
      </c>
    </row>
    <row r="2493" spans="1:4" x14ac:dyDescent="0.25">
      <c r="A2493" s="24">
        <v>3389</v>
      </c>
      <c r="B2493" s="24">
        <v>852775</v>
      </c>
      <c r="C2493" s="24" t="s">
        <v>3091</v>
      </c>
      <c r="D2493" s="24">
        <v>2069</v>
      </c>
    </row>
    <row r="2494" spans="1:4" x14ac:dyDescent="0.25">
      <c r="A2494" s="24">
        <v>2305</v>
      </c>
      <c r="B2494" s="24">
        <v>852791</v>
      </c>
      <c r="C2494" s="24" t="s">
        <v>3092</v>
      </c>
      <c r="D2494" s="24">
        <v>2070</v>
      </c>
    </row>
    <row r="2495" spans="1:4" x14ac:dyDescent="0.25">
      <c r="A2495" s="24">
        <v>3064</v>
      </c>
      <c r="B2495" s="24">
        <v>852805</v>
      </c>
      <c r="C2495" s="24" t="s">
        <v>3093</v>
      </c>
      <c r="D2495" s="24">
        <v>2071</v>
      </c>
    </row>
    <row r="2496" spans="1:4" x14ac:dyDescent="0.25">
      <c r="A2496" s="24">
        <v>2557</v>
      </c>
      <c r="B2496" s="24">
        <v>852813</v>
      </c>
      <c r="C2496" s="24" t="s">
        <v>3094</v>
      </c>
      <c r="D2496" s="24">
        <v>2072</v>
      </c>
    </row>
    <row r="2497" spans="1:4" x14ac:dyDescent="0.25">
      <c r="A2497" s="24">
        <v>1581</v>
      </c>
      <c r="B2497" s="24">
        <v>852821</v>
      </c>
      <c r="C2497" s="24" t="s">
        <v>3095</v>
      </c>
      <c r="D2497" s="24">
        <v>2073</v>
      </c>
    </row>
    <row r="2498" spans="1:4" x14ac:dyDescent="0.25">
      <c r="A2498" s="24">
        <v>248</v>
      </c>
      <c r="B2498" s="24">
        <v>852848</v>
      </c>
      <c r="C2498" s="24" t="s">
        <v>3097</v>
      </c>
      <c r="D2498" s="24">
        <v>2074</v>
      </c>
    </row>
    <row r="2499" spans="1:4" x14ac:dyDescent="0.25">
      <c r="A2499" s="24">
        <v>252</v>
      </c>
      <c r="B2499" s="24">
        <v>852830</v>
      </c>
      <c r="C2499" s="24" t="s">
        <v>3096</v>
      </c>
      <c r="D2499" s="24">
        <v>2074</v>
      </c>
    </row>
    <row r="2500" spans="1:4" x14ac:dyDescent="0.25">
      <c r="A2500" s="24">
        <v>1174</v>
      </c>
      <c r="B2500" s="24">
        <v>852856</v>
      </c>
      <c r="C2500" s="24" t="s">
        <v>3097</v>
      </c>
      <c r="D2500" s="24">
        <v>2075</v>
      </c>
    </row>
    <row r="2501" spans="1:4" x14ac:dyDescent="0.25">
      <c r="A2501" s="24">
        <v>810</v>
      </c>
      <c r="B2501" s="24">
        <v>852864</v>
      </c>
      <c r="C2501" s="24" t="s">
        <v>3097</v>
      </c>
      <c r="D2501" s="24">
        <v>2076</v>
      </c>
    </row>
    <row r="2502" spans="1:4" x14ac:dyDescent="0.25">
      <c r="A2502" s="24">
        <v>2247</v>
      </c>
      <c r="B2502" s="24">
        <v>852899</v>
      </c>
      <c r="C2502" s="24" t="s">
        <v>3099</v>
      </c>
      <c r="D2502" s="24">
        <v>2077</v>
      </c>
    </row>
    <row r="2503" spans="1:4" x14ac:dyDescent="0.25">
      <c r="A2503" s="24">
        <v>2400</v>
      </c>
      <c r="B2503" s="24">
        <v>852902</v>
      </c>
      <c r="C2503" s="24" t="s">
        <v>3100</v>
      </c>
      <c r="D2503" s="24">
        <v>2078</v>
      </c>
    </row>
    <row r="2504" spans="1:4" x14ac:dyDescent="0.25">
      <c r="A2504" s="24">
        <v>2366</v>
      </c>
      <c r="B2504" s="24">
        <v>852911</v>
      </c>
      <c r="C2504" s="24" t="s">
        <v>3101</v>
      </c>
      <c r="D2504" s="24">
        <v>2079</v>
      </c>
    </row>
    <row r="2505" spans="1:4" x14ac:dyDescent="0.25">
      <c r="A2505" s="24">
        <v>2</v>
      </c>
      <c r="B2505" s="24">
        <v>852937</v>
      </c>
      <c r="C2505" s="24" t="s">
        <v>3103</v>
      </c>
      <c r="D2505" s="24">
        <v>2080</v>
      </c>
    </row>
    <row r="2506" spans="1:4" x14ac:dyDescent="0.25">
      <c r="A2506" s="24">
        <v>1810</v>
      </c>
      <c r="B2506" s="24">
        <v>852945</v>
      </c>
      <c r="C2506" s="24" t="s">
        <v>3104</v>
      </c>
      <c r="D2506" s="24">
        <v>2081</v>
      </c>
    </row>
    <row r="2507" spans="1:4" x14ac:dyDescent="0.25">
      <c r="A2507" s="24">
        <v>2922</v>
      </c>
      <c r="B2507" s="24">
        <v>853151</v>
      </c>
      <c r="C2507" s="24" t="s">
        <v>3105</v>
      </c>
      <c r="D2507" s="24">
        <v>2081</v>
      </c>
    </row>
    <row r="2508" spans="1:4" x14ac:dyDescent="0.25">
      <c r="A2508" s="24">
        <v>521</v>
      </c>
      <c r="B2508" s="24">
        <v>853275</v>
      </c>
      <c r="C2508" s="24" t="s">
        <v>3107</v>
      </c>
      <c r="D2508" s="24">
        <v>2082</v>
      </c>
    </row>
    <row r="2509" spans="1:4" x14ac:dyDescent="0.25">
      <c r="A2509" s="24">
        <v>1949</v>
      </c>
      <c r="B2509" s="24">
        <v>853283</v>
      </c>
      <c r="C2509" s="24" t="s">
        <v>3108</v>
      </c>
      <c r="D2509" s="24">
        <v>2083</v>
      </c>
    </row>
    <row r="2510" spans="1:4" x14ac:dyDescent="0.25">
      <c r="A2510" s="24">
        <v>2641</v>
      </c>
      <c r="B2510" s="24">
        <v>853291</v>
      </c>
      <c r="C2510" s="24" t="s">
        <v>3109</v>
      </c>
      <c r="D2510" s="24">
        <v>2084</v>
      </c>
    </row>
    <row r="2511" spans="1:4" x14ac:dyDescent="0.25">
      <c r="A2511" s="24">
        <v>2507</v>
      </c>
      <c r="B2511" s="24">
        <v>853305</v>
      </c>
      <c r="C2511" s="24" t="s">
        <v>3110</v>
      </c>
      <c r="D2511" s="24">
        <v>2085</v>
      </c>
    </row>
    <row r="2512" spans="1:4" x14ac:dyDescent="0.25">
      <c r="A2512" s="24">
        <v>2075</v>
      </c>
      <c r="B2512" s="24">
        <v>853356</v>
      </c>
      <c r="C2512" s="24" t="s">
        <v>3111</v>
      </c>
      <c r="D2512" s="24">
        <v>2086</v>
      </c>
    </row>
    <row r="2513" spans="1:4" x14ac:dyDescent="0.25">
      <c r="A2513" s="24">
        <v>272</v>
      </c>
      <c r="B2513" s="24">
        <v>853381</v>
      </c>
      <c r="C2513" s="24" t="s">
        <v>3112</v>
      </c>
      <c r="D2513" s="24">
        <v>2087</v>
      </c>
    </row>
    <row r="2514" spans="1:4" x14ac:dyDescent="0.25">
      <c r="A2514" s="24">
        <v>434</v>
      </c>
      <c r="B2514" s="24">
        <v>853402</v>
      </c>
      <c r="C2514" s="24" t="s">
        <v>3113</v>
      </c>
      <c r="D2514" s="24">
        <v>2088</v>
      </c>
    </row>
    <row r="2515" spans="1:4" x14ac:dyDescent="0.25">
      <c r="A2515" s="24">
        <v>2923</v>
      </c>
      <c r="B2515" s="24">
        <v>853411</v>
      </c>
      <c r="C2515" s="24" t="s">
        <v>3114</v>
      </c>
      <c r="D2515" s="24">
        <v>2089</v>
      </c>
    </row>
    <row r="2516" spans="1:4" x14ac:dyDescent="0.25">
      <c r="A2516" s="24">
        <v>3269</v>
      </c>
      <c r="B2516" s="24">
        <v>853437</v>
      </c>
      <c r="C2516" s="24" t="s">
        <v>3115</v>
      </c>
      <c r="D2516" s="24">
        <v>2090</v>
      </c>
    </row>
    <row r="2517" spans="1:4" x14ac:dyDescent="0.25">
      <c r="A2517" s="24">
        <v>855</v>
      </c>
      <c r="B2517" s="24">
        <v>853461</v>
      </c>
      <c r="C2517" s="24" t="s">
        <v>3116</v>
      </c>
      <c r="D2517" s="24">
        <v>2091</v>
      </c>
    </row>
    <row r="2518" spans="1:4" x14ac:dyDescent="0.25">
      <c r="A2518" s="24">
        <v>546</v>
      </c>
      <c r="B2518" s="24">
        <v>853518</v>
      </c>
      <c r="C2518" s="24" t="s">
        <v>3116</v>
      </c>
      <c r="D2518" s="24">
        <v>2092</v>
      </c>
    </row>
    <row r="2519" spans="1:4" x14ac:dyDescent="0.25">
      <c r="A2519" s="24">
        <v>359</v>
      </c>
      <c r="B2519" s="24">
        <v>853526</v>
      </c>
      <c r="C2519" s="24" t="s">
        <v>3117</v>
      </c>
      <c r="D2519" s="24">
        <v>2093</v>
      </c>
    </row>
    <row r="2520" spans="1:4" x14ac:dyDescent="0.25">
      <c r="A2520" s="24">
        <v>3325</v>
      </c>
      <c r="B2520" s="24">
        <v>853534</v>
      </c>
      <c r="C2520" s="24" t="s">
        <v>3118</v>
      </c>
      <c r="D2520" s="24">
        <v>2094</v>
      </c>
    </row>
    <row r="2521" spans="1:4" x14ac:dyDescent="0.25">
      <c r="A2521" s="24">
        <v>2055</v>
      </c>
      <c r="B2521" s="24">
        <v>853542</v>
      </c>
      <c r="C2521" s="24" t="s">
        <v>3119</v>
      </c>
      <c r="D2521" s="24">
        <v>2095</v>
      </c>
    </row>
    <row r="2522" spans="1:4" x14ac:dyDescent="0.25">
      <c r="A2522" s="24">
        <v>288</v>
      </c>
      <c r="B2522" s="24">
        <v>853569</v>
      </c>
      <c r="C2522" s="24" t="s">
        <v>3120</v>
      </c>
      <c r="D2522" s="24">
        <v>2096</v>
      </c>
    </row>
    <row r="2523" spans="1:4" x14ac:dyDescent="0.25">
      <c r="A2523" s="24">
        <v>67</v>
      </c>
      <c r="B2523" s="24">
        <v>853577</v>
      </c>
      <c r="C2523" s="24" t="s">
        <v>3121</v>
      </c>
      <c r="D2523" s="24">
        <v>2097</v>
      </c>
    </row>
    <row r="2524" spans="1:4" x14ac:dyDescent="0.25">
      <c r="A2524" s="24">
        <v>316</v>
      </c>
      <c r="B2524" s="24">
        <v>853593</v>
      </c>
      <c r="C2524" s="24" t="s">
        <v>3123</v>
      </c>
      <c r="D2524" s="24">
        <v>2098</v>
      </c>
    </row>
    <row r="2525" spans="1:4" x14ac:dyDescent="0.25">
      <c r="A2525" s="24">
        <v>2272</v>
      </c>
      <c r="B2525" s="24">
        <v>853607</v>
      </c>
      <c r="C2525" s="24" t="s">
        <v>3124</v>
      </c>
      <c r="D2525" s="24">
        <v>2099</v>
      </c>
    </row>
    <row r="2526" spans="1:4" x14ac:dyDescent="0.25">
      <c r="A2526" s="24">
        <v>1981</v>
      </c>
      <c r="B2526" s="24">
        <v>853615</v>
      </c>
      <c r="C2526" s="24" t="s">
        <v>3125</v>
      </c>
      <c r="D2526" s="24">
        <v>2100</v>
      </c>
    </row>
    <row r="2527" spans="1:4" x14ac:dyDescent="0.25">
      <c r="A2527" s="24">
        <v>2883</v>
      </c>
      <c r="B2527" s="24">
        <v>853623</v>
      </c>
      <c r="C2527" s="24" t="s">
        <v>3126</v>
      </c>
      <c r="D2527" s="24">
        <v>2101</v>
      </c>
    </row>
    <row r="2528" spans="1:4" x14ac:dyDescent="0.25">
      <c r="A2528" s="24">
        <v>1790</v>
      </c>
      <c r="B2528" s="24">
        <v>853631</v>
      </c>
      <c r="C2528" s="24" t="s">
        <v>3127</v>
      </c>
      <c r="D2528" s="24">
        <v>2102</v>
      </c>
    </row>
    <row r="2529" spans="1:4" x14ac:dyDescent="0.25">
      <c r="A2529" s="24">
        <v>2532</v>
      </c>
      <c r="B2529" s="24">
        <v>853640</v>
      </c>
      <c r="C2529" s="24" t="s">
        <v>3128</v>
      </c>
      <c r="D2529" s="24">
        <v>2103</v>
      </c>
    </row>
    <row r="2530" spans="1:4" x14ac:dyDescent="0.25">
      <c r="A2530" s="24">
        <v>915</v>
      </c>
      <c r="B2530" s="24">
        <v>853658</v>
      </c>
      <c r="C2530" s="24" t="s">
        <v>3129</v>
      </c>
      <c r="D2530" s="24">
        <v>2104</v>
      </c>
    </row>
    <row r="2531" spans="1:4" x14ac:dyDescent="0.25">
      <c r="A2531" s="24">
        <v>1690</v>
      </c>
      <c r="B2531" s="24">
        <v>853666</v>
      </c>
      <c r="C2531" s="24" t="s">
        <v>3130</v>
      </c>
      <c r="D2531" s="24">
        <v>2105</v>
      </c>
    </row>
    <row r="2532" spans="1:4" x14ac:dyDescent="0.25">
      <c r="A2532" s="24">
        <v>2401</v>
      </c>
      <c r="B2532" s="24">
        <v>853691</v>
      </c>
      <c r="C2532" s="24" t="s">
        <v>3132</v>
      </c>
      <c r="D2532" s="24">
        <v>2106</v>
      </c>
    </row>
    <row r="2533" spans="1:4" x14ac:dyDescent="0.25">
      <c r="A2533" s="24">
        <v>1402</v>
      </c>
      <c r="B2533" s="24">
        <v>853704</v>
      </c>
      <c r="C2533" s="24" t="s">
        <v>3133</v>
      </c>
      <c r="D2533" s="24">
        <v>2107</v>
      </c>
    </row>
    <row r="2534" spans="1:4" x14ac:dyDescent="0.25">
      <c r="A2534" s="24">
        <v>979</v>
      </c>
      <c r="B2534" s="24">
        <v>853721</v>
      </c>
      <c r="C2534" s="24" t="s">
        <v>3133</v>
      </c>
      <c r="D2534" s="24">
        <v>2108</v>
      </c>
    </row>
    <row r="2535" spans="1:4" x14ac:dyDescent="0.25">
      <c r="A2535" s="24">
        <v>1221</v>
      </c>
      <c r="B2535" s="24">
        <v>853739</v>
      </c>
      <c r="C2535" s="24" t="s">
        <v>3134</v>
      </c>
      <c r="D2535" s="24">
        <v>2109</v>
      </c>
    </row>
    <row r="2536" spans="1:4" x14ac:dyDescent="0.25">
      <c r="A2536" s="24">
        <v>1395</v>
      </c>
      <c r="B2536" s="24">
        <v>853763</v>
      </c>
      <c r="C2536" s="24" t="s">
        <v>3137</v>
      </c>
      <c r="D2536" s="24">
        <v>2110</v>
      </c>
    </row>
    <row r="2537" spans="1:4" x14ac:dyDescent="0.25">
      <c r="A2537" s="24">
        <v>2858</v>
      </c>
      <c r="B2537" s="24">
        <v>853780</v>
      </c>
      <c r="C2537" s="24" t="s">
        <v>3139</v>
      </c>
      <c r="D2537" s="24">
        <v>2111</v>
      </c>
    </row>
    <row r="2538" spans="1:4" x14ac:dyDescent="0.25">
      <c r="A2538" s="24">
        <v>2815</v>
      </c>
      <c r="B2538" s="24">
        <v>853798</v>
      </c>
      <c r="C2538" s="24" t="s">
        <v>3140</v>
      </c>
      <c r="D2538" s="24">
        <v>2112</v>
      </c>
    </row>
    <row r="2539" spans="1:4" x14ac:dyDescent="0.25">
      <c r="A2539" s="24">
        <v>911</v>
      </c>
      <c r="B2539" s="24">
        <v>819221</v>
      </c>
      <c r="C2539" s="24" t="s">
        <v>1588</v>
      </c>
      <c r="D2539" s="24">
        <v>2113</v>
      </c>
    </row>
    <row r="2540" spans="1:4" x14ac:dyDescent="0.25">
      <c r="A2540" s="24">
        <v>1080</v>
      </c>
      <c r="B2540" s="24">
        <v>853801</v>
      </c>
      <c r="C2540" s="24" t="s">
        <v>3141</v>
      </c>
      <c r="D2540" s="24">
        <v>2113</v>
      </c>
    </row>
    <row r="2541" spans="1:4" x14ac:dyDescent="0.25">
      <c r="A2541" s="24">
        <v>205</v>
      </c>
      <c r="B2541" s="24">
        <v>854140</v>
      </c>
      <c r="C2541" s="24" t="s">
        <v>3142</v>
      </c>
      <c r="D2541" s="24">
        <v>2114</v>
      </c>
    </row>
    <row r="2542" spans="1:4" x14ac:dyDescent="0.25">
      <c r="A2542" s="24">
        <v>2135</v>
      </c>
      <c r="B2542" s="24">
        <v>852708</v>
      </c>
      <c r="C2542" s="24" t="s">
        <v>3085</v>
      </c>
      <c r="D2542" s="24">
        <v>2115</v>
      </c>
    </row>
    <row r="2543" spans="1:4" x14ac:dyDescent="0.25">
      <c r="A2543" s="24">
        <v>875</v>
      </c>
      <c r="B2543" s="24">
        <v>854158</v>
      </c>
      <c r="C2543" s="24" t="s">
        <v>3143</v>
      </c>
      <c r="D2543" s="24">
        <v>2116</v>
      </c>
    </row>
    <row r="2544" spans="1:4" x14ac:dyDescent="0.25">
      <c r="A2544" s="24">
        <v>107</v>
      </c>
      <c r="B2544" s="24">
        <v>854182</v>
      </c>
      <c r="C2544" s="24" t="s">
        <v>3144</v>
      </c>
      <c r="D2544" s="24">
        <v>2117</v>
      </c>
    </row>
    <row r="2545" spans="1:4" x14ac:dyDescent="0.25">
      <c r="A2545" s="24">
        <v>3134</v>
      </c>
      <c r="B2545" s="24">
        <v>854166</v>
      </c>
      <c r="C2545" s="24" t="s">
        <v>986</v>
      </c>
      <c r="D2545" s="24">
        <v>2117</v>
      </c>
    </row>
    <row r="2546" spans="1:4" x14ac:dyDescent="0.25">
      <c r="A2546" s="24">
        <v>336</v>
      </c>
      <c r="B2546" s="24">
        <v>854204</v>
      </c>
      <c r="C2546" s="24" t="s">
        <v>3146</v>
      </c>
      <c r="D2546" s="24">
        <v>2118</v>
      </c>
    </row>
    <row r="2547" spans="1:4" x14ac:dyDescent="0.25">
      <c r="A2547" s="24">
        <v>718</v>
      </c>
      <c r="B2547" s="24">
        <v>854191</v>
      </c>
      <c r="C2547" s="24" t="s">
        <v>3145</v>
      </c>
      <c r="D2547" s="24">
        <v>2118</v>
      </c>
    </row>
    <row r="2548" spans="1:4" x14ac:dyDescent="0.25">
      <c r="A2548" s="24">
        <v>798</v>
      </c>
      <c r="B2548" s="24">
        <v>854298</v>
      </c>
      <c r="C2548" s="24" t="s">
        <v>3148</v>
      </c>
      <c r="D2548" s="24">
        <v>2119</v>
      </c>
    </row>
    <row r="2549" spans="1:4" x14ac:dyDescent="0.25">
      <c r="A2549" s="24">
        <v>859</v>
      </c>
      <c r="B2549" s="24">
        <v>844349</v>
      </c>
      <c r="C2549" s="24" t="s">
        <v>2744</v>
      </c>
      <c r="D2549" s="24">
        <v>2119</v>
      </c>
    </row>
    <row r="2550" spans="1:4" x14ac:dyDescent="0.25">
      <c r="A2550" s="24">
        <v>2248</v>
      </c>
      <c r="B2550" s="24">
        <v>854212</v>
      </c>
      <c r="C2550" s="24" t="s">
        <v>3147</v>
      </c>
      <c r="D2550" s="24">
        <v>2119</v>
      </c>
    </row>
    <row r="2551" spans="1:4" x14ac:dyDescent="0.25">
      <c r="A2551" s="24">
        <v>1572</v>
      </c>
      <c r="B2551" s="24">
        <v>854301</v>
      </c>
      <c r="C2551" s="24" t="s">
        <v>3149</v>
      </c>
      <c r="D2551" s="24">
        <v>2120</v>
      </c>
    </row>
    <row r="2552" spans="1:4" x14ac:dyDescent="0.25">
      <c r="A2552" s="24">
        <v>2031</v>
      </c>
      <c r="B2552" s="24">
        <v>854310</v>
      </c>
      <c r="C2552" s="24" t="s">
        <v>3150</v>
      </c>
      <c r="D2552" s="24">
        <v>2121</v>
      </c>
    </row>
    <row r="2553" spans="1:4" x14ac:dyDescent="0.25">
      <c r="A2553" s="24">
        <v>2546</v>
      </c>
      <c r="B2553" s="24">
        <v>854328</v>
      </c>
      <c r="C2553" s="24" t="s">
        <v>3151</v>
      </c>
      <c r="D2553" s="24">
        <v>2122</v>
      </c>
    </row>
    <row r="2554" spans="1:4" x14ac:dyDescent="0.25">
      <c r="A2554" s="24">
        <v>3310</v>
      </c>
      <c r="B2554" s="24">
        <v>854344</v>
      </c>
      <c r="C2554" s="24" t="s">
        <v>3152</v>
      </c>
      <c r="D2554" s="24">
        <v>2122</v>
      </c>
    </row>
    <row r="2555" spans="1:4" x14ac:dyDescent="0.25">
      <c r="A2555" s="24">
        <v>1363</v>
      </c>
      <c r="B2555" s="24">
        <v>854352</v>
      </c>
      <c r="C2555" s="24" t="s">
        <v>3153</v>
      </c>
      <c r="D2555" s="24">
        <v>2123</v>
      </c>
    </row>
    <row r="2556" spans="1:4" x14ac:dyDescent="0.25">
      <c r="A2556" s="24">
        <v>2166</v>
      </c>
      <c r="B2556" s="24">
        <v>875163</v>
      </c>
      <c r="C2556" s="24" t="s">
        <v>4082</v>
      </c>
      <c r="D2556" s="24">
        <v>2123</v>
      </c>
    </row>
    <row r="2557" spans="1:4" x14ac:dyDescent="0.25">
      <c r="A2557" s="24">
        <v>246</v>
      </c>
      <c r="B2557" s="24">
        <v>854379</v>
      </c>
      <c r="C2557" s="24" t="s">
        <v>3155</v>
      </c>
      <c r="D2557" s="24">
        <v>2124</v>
      </c>
    </row>
    <row r="2558" spans="1:4" x14ac:dyDescent="0.25">
      <c r="A2558" s="24">
        <v>2563</v>
      </c>
      <c r="B2558" s="24">
        <v>854387</v>
      </c>
      <c r="C2558" s="24" t="s">
        <v>3156</v>
      </c>
      <c r="D2558" s="24">
        <v>2124</v>
      </c>
    </row>
    <row r="2559" spans="1:4" x14ac:dyDescent="0.25">
      <c r="A2559" s="24">
        <v>1934</v>
      </c>
      <c r="B2559" s="24">
        <v>845248</v>
      </c>
      <c r="C2559" s="24" t="s">
        <v>2777</v>
      </c>
      <c r="D2559" s="24">
        <v>2125</v>
      </c>
    </row>
    <row r="2560" spans="1:4" x14ac:dyDescent="0.25">
      <c r="A2560" s="24">
        <v>1254</v>
      </c>
      <c r="B2560" s="24">
        <v>854417</v>
      </c>
      <c r="C2560" s="24" t="s">
        <v>2149</v>
      </c>
      <c r="D2560" s="24">
        <v>2126</v>
      </c>
    </row>
    <row r="2561" spans="1:4" x14ac:dyDescent="0.25">
      <c r="A2561" s="24">
        <v>3410</v>
      </c>
      <c r="B2561" s="24">
        <v>851809</v>
      </c>
      <c r="C2561" s="24" t="s">
        <v>2149</v>
      </c>
      <c r="D2561" s="24">
        <v>2127</v>
      </c>
    </row>
    <row r="2562" spans="1:4" x14ac:dyDescent="0.25">
      <c r="A2562" s="24">
        <v>2534</v>
      </c>
      <c r="B2562" s="24">
        <v>854425</v>
      </c>
      <c r="C2562" s="24" t="s">
        <v>3157</v>
      </c>
      <c r="D2562" s="24">
        <v>2128</v>
      </c>
    </row>
    <row r="2563" spans="1:4" x14ac:dyDescent="0.25">
      <c r="A2563" s="24">
        <v>2380</v>
      </c>
      <c r="B2563" s="24">
        <v>854450</v>
      </c>
      <c r="C2563" s="24" t="s">
        <v>3158</v>
      </c>
      <c r="D2563" s="24">
        <v>2129</v>
      </c>
    </row>
    <row r="2564" spans="1:4" x14ac:dyDescent="0.25">
      <c r="A2564" s="24">
        <v>2126</v>
      </c>
      <c r="B2564" s="24">
        <v>854468</v>
      </c>
      <c r="C2564" s="24" t="s">
        <v>3159</v>
      </c>
      <c r="D2564" s="24">
        <v>2130</v>
      </c>
    </row>
    <row r="2565" spans="1:4" x14ac:dyDescent="0.25">
      <c r="A2565" s="24">
        <v>3326</v>
      </c>
      <c r="B2565" s="24">
        <v>854476</v>
      </c>
      <c r="C2565" s="24" t="s">
        <v>3160</v>
      </c>
      <c r="D2565" s="24">
        <v>2130</v>
      </c>
    </row>
    <row r="2566" spans="1:4" x14ac:dyDescent="0.25">
      <c r="A2566" s="24">
        <v>2064</v>
      </c>
      <c r="B2566" s="24">
        <v>854492</v>
      </c>
      <c r="C2566" s="24" t="s">
        <v>3161</v>
      </c>
      <c r="D2566" s="24">
        <v>2131</v>
      </c>
    </row>
    <row r="2567" spans="1:4" x14ac:dyDescent="0.25">
      <c r="A2567" s="24">
        <v>2757</v>
      </c>
      <c r="B2567" s="24">
        <v>854506</v>
      </c>
      <c r="C2567" s="24" t="s">
        <v>3162</v>
      </c>
      <c r="D2567" s="24">
        <v>2132</v>
      </c>
    </row>
    <row r="2568" spans="1:4" x14ac:dyDescent="0.25">
      <c r="A2568" s="24">
        <v>2576</v>
      </c>
      <c r="B2568" s="24">
        <v>854514</v>
      </c>
      <c r="C2568" s="24" t="s">
        <v>3163</v>
      </c>
      <c r="D2568" s="24">
        <v>2133</v>
      </c>
    </row>
    <row r="2569" spans="1:4" x14ac:dyDescent="0.25">
      <c r="A2569" s="24">
        <v>1432</v>
      </c>
      <c r="B2569" s="24">
        <v>854522</v>
      </c>
      <c r="C2569" s="24" t="s">
        <v>3164</v>
      </c>
      <c r="D2569" s="24">
        <v>2134</v>
      </c>
    </row>
    <row r="2570" spans="1:4" x14ac:dyDescent="0.25">
      <c r="A2570" s="24">
        <v>1244</v>
      </c>
      <c r="B2570" s="24">
        <v>854531</v>
      </c>
      <c r="C2570" s="24" t="s">
        <v>3165</v>
      </c>
      <c r="D2570" s="24">
        <v>2135</v>
      </c>
    </row>
    <row r="2571" spans="1:4" x14ac:dyDescent="0.25">
      <c r="A2571" s="24">
        <v>3136</v>
      </c>
      <c r="B2571" s="24">
        <v>854697</v>
      </c>
      <c r="C2571" s="24" t="s">
        <v>3166</v>
      </c>
      <c r="D2571" s="24">
        <v>2136</v>
      </c>
    </row>
    <row r="2572" spans="1:4" x14ac:dyDescent="0.25">
      <c r="A2572" s="24">
        <v>2275</v>
      </c>
      <c r="B2572" s="24">
        <v>854701</v>
      </c>
      <c r="C2572" s="24" t="s">
        <v>3167</v>
      </c>
      <c r="D2572" s="24">
        <v>2137</v>
      </c>
    </row>
    <row r="2573" spans="1:4" x14ac:dyDescent="0.25">
      <c r="A2573" s="24">
        <v>2519</v>
      </c>
      <c r="B2573" s="24">
        <v>854719</v>
      </c>
      <c r="C2573" s="24" t="s">
        <v>3168</v>
      </c>
      <c r="D2573" s="24">
        <v>2138</v>
      </c>
    </row>
    <row r="2574" spans="1:4" x14ac:dyDescent="0.25">
      <c r="A2574" s="24">
        <v>1164</v>
      </c>
      <c r="B2574" s="24">
        <v>854743</v>
      </c>
      <c r="C2574" s="24" t="s">
        <v>3171</v>
      </c>
      <c r="D2574" s="24">
        <v>2139</v>
      </c>
    </row>
    <row r="2575" spans="1:4" x14ac:dyDescent="0.25">
      <c r="A2575" s="24">
        <v>1490</v>
      </c>
      <c r="B2575" s="24">
        <v>854751</v>
      </c>
      <c r="C2575" s="24" t="s">
        <v>3172</v>
      </c>
      <c r="D2575" s="24">
        <v>2140</v>
      </c>
    </row>
    <row r="2576" spans="1:4" x14ac:dyDescent="0.25">
      <c r="A2576" s="24">
        <v>1453</v>
      </c>
      <c r="B2576" s="24">
        <v>854760</v>
      </c>
      <c r="C2576" s="24" t="s">
        <v>3173</v>
      </c>
      <c r="D2576" s="24">
        <v>2141</v>
      </c>
    </row>
    <row r="2577" spans="1:4" x14ac:dyDescent="0.25">
      <c r="A2577" s="24">
        <v>2631</v>
      </c>
      <c r="B2577" s="24">
        <v>854778</v>
      </c>
      <c r="C2577" s="24" t="s">
        <v>3174</v>
      </c>
      <c r="D2577" s="24">
        <v>2142</v>
      </c>
    </row>
    <row r="2578" spans="1:4" x14ac:dyDescent="0.25">
      <c r="A2578" s="24">
        <v>2587</v>
      </c>
      <c r="B2578" s="24">
        <v>854786</v>
      </c>
      <c r="C2578" s="24" t="s">
        <v>3175</v>
      </c>
      <c r="D2578" s="24">
        <v>2143</v>
      </c>
    </row>
    <row r="2579" spans="1:4" x14ac:dyDescent="0.25">
      <c r="A2579" s="24">
        <v>3469</v>
      </c>
      <c r="B2579" s="24">
        <v>854794</v>
      </c>
      <c r="C2579" s="24" t="s">
        <v>3176</v>
      </c>
      <c r="D2579" s="24">
        <v>2144</v>
      </c>
    </row>
    <row r="2580" spans="1:4" x14ac:dyDescent="0.25">
      <c r="A2580" s="24">
        <v>2748</v>
      </c>
      <c r="B2580" s="24">
        <v>854808</v>
      </c>
      <c r="C2580" s="24" t="s">
        <v>3176</v>
      </c>
      <c r="D2580" s="24">
        <v>2145</v>
      </c>
    </row>
    <row r="2581" spans="1:4" x14ac:dyDescent="0.25">
      <c r="A2581" s="24">
        <v>1320</v>
      </c>
      <c r="B2581" s="24">
        <v>854832</v>
      </c>
      <c r="C2581" s="24" t="s">
        <v>3176</v>
      </c>
      <c r="D2581" s="24">
        <v>2146</v>
      </c>
    </row>
    <row r="2582" spans="1:4" x14ac:dyDescent="0.25">
      <c r="A2582" s="24">
        <v>2701</v>
      </c>
      <c r="B2582" s="24">
        <v>854841</v>
      </c>
      <c r="C2582" s="24" t="s">
        <v>3177</v>
      </c>
      <c r="D2582" s="24">
        <v>2147</v>
      </c>
    </row>
    <row r="2583" spans="1:4" x14ac:dyDescent="0.25">
      <c r="A2583" s="24">
        <v>634</v>
      </c>
      <c r="B2583" s="24">
        <v>854875</v>
      </c>
      <c r="C2583" s="24" t="s">
        <v>3178</v>
      </c>
      <c r="D2583" s="24">
        <v>2148</v>
      </c>
    </row>
    <row r="2584" spans="1:4" x14ac:dyDescent="0.25">
      <c r="A2584" s="24">
        <v>2151</v>
      </c>
      <c r="B2584" s="24">
        <v>854883</v>
      </c>
      <c r="C2584" s="24" t="s">
        <v>3179</v>
      </c>
      <c r="D2584" s="24">
        <v>2148</v>
      </c>
    </row>
    <row r="2585" spans="1:4" x14ac:dyDescent="0.25">
      <c r="A2585" s="24">
        <v>2845</v>
      </c>
      <c r="B2585" s="24">
        <v>854913</v>
      </c>
      <c r="C2585" s="24" t="s">
        <v>3180</v>
      </c>
      <c r="D2585" s="24">
        <v>2149</v>
      </c>
    </row>
    <row r="2586" spans="1:4" x14ac:dyDescent="0.25">
      <c r="A2586" s="24">
        <v>1988</v>
      </c>
      <c r="B2586" s="24">
        <v>854921</v>
      </c>
      <c r="C2586" s="24" t="s">
        <v>3181</v>
      </c>
      <c r="D2586" s="24">
        <v>2150</v>
      </c>
    </row>
    <row r="2587" spans="1:4" x14ac:dyDescent="0.25">
      <c r="A2587" s="24">
        <v>2065</v>
      </c>
      <c r="B2587" s="24">
        <v>854964</v>
      </c>
      <c r="C2587" s="24" t="s">
        <v>3182</v>
      </c>
      <c r="D2587" s="24">
        <v>2151</v>
      </c>
    </row>
    <row r="2588" spans="1:4" x14ac:dyDescent="0.25">
      <c r="A2588" s="24">
        <v>189</v>
      </c>
      <c r="B2588" s="24">
        <v>854972</v>
      </c>
      <c r="C2588" s="24" t="s">
        <v>3183</v>
      </c>
      <c r="D2588" s="24">
        <v>2152</v>
      </c>
    </row>
    <row r="2589" spans="1:4" x14ac:dyDescent="0.25">
      <c r="A2589" s="24">
        <v>1731</v>
      </c>
      <c r="B2589" s="24">
        <v>855006</v>
      </c>
      <c r="C2589" s="24" t="s">
        <v>791</v>
      </c>
      <c r="D2589" s="24">
        <v>2153</v>
      </c>
    </row>
    <row r="2590" spans="1:4" x14ac:dyDescent="0.25">
      <c r="A2590" s="24">
        <v>3187</v>
      </c>
      <c r="B2590" s="24">
        <v>829862</v>
      </c>
      <c r="C2590" s="24" t="s">
        <v>2088</v>
      </c>
      <c r="D2590" s="24">
        <v>2153</v>
      </c>
    </row>
    <row r="2591" spans="1:4" x14ac:dyDescent="0.25">
      <c r="A2591" s="24">
        <v>388</v>
      </c>
      <c r="B2591" s="24">
        <v>855162</v>
      </c>
      <c r="C2591" s="24" t="s">
        <v>3184</v>
      </c>
      <c r="D2591" s="24">
        <v>2154</v>
      </c>
    </row>
    <row r="2592" spans="1:4" x14ac:dyDescent="0.25">
      <c r="A2592" s="24">
        <v>3420</v>
      </c>
      <c r="B2592" s="24">
        <v>849723</v>
      </c>
      <c r="C2592" s="24" t="s">
        <v>2963</v>
      </c>
      <c r="D2592" s="24">
        <v>2154</v>
      </c>
    </row>
    <row r="2593" spans="1:4" x14ac:dyDescent="0.25">
      <c r="A2593" s="24">
        <v>95</v>
      </c>
      <c r="B2593" s="24">
        <v>855171</v>
      </c>
      <c r="C2593" s="24" t="s">
        <v>3184</v>
      </c>
      <c r="D2593" s="24">
        <v>2155</v>
      </c>
    </row>
    <row r="2594" spans="1:4" x14ac:dyDescent="0.25">
      <c r="A2594" s="24">
        <v>2814</v>
      </c>
      <c r="B2594" s="24">
        <v>855201</v>
      </c>
      <c r="C2594" s="24" t="s">
        <v>3185</v>
      </c>
      <c r="D2594" s="24">
        <v>2156</v>
      </c>
    </row>
    <row r="2595" spans="1:4" x14ac:dyDescent="0.25">
      <c r="A2595" s="24">
        <v>698</v>
      </c>
      <c r="B2595" s="24">
        <v>855375</v>
      </c>
      <c r="C2595" s="24" t="s">
        <v>3189</v>
      </c>
      <c r="D2595" s="24">
        <v>2157</v>
      </c>
    </row>
    <row r="2596" spans="1:4" x14ac:dyDescent="0.25">
      <c r="A2596" s="24">
        <v>1305</v>
      </c>
      <c r="B2596" s="24">
        <v>855316</v>
      </c>
      <c r="C2596" s="24" t="s">
        <v>3188</v>
      </c>
      <c r="D2596" s="24">
        <v>2157</v>
      </c>
    </row>
    <row r="2597" spans="1:4" x14ac:dyDescent="0.25">
      <c r="A2597" s="24">
        <v>1408</v>
      </c>
      <c r="B2597" s="24">
        <v>855251</v>
      </c>
      <c r="C2597" s="24" t="s">
        <v>3187</v>
      </c>
      <c r="D2597" s="24">
        <v>2157</v>
      </c>
    </row>
    <row r="2598" spans="1:4" x14ac:dyDescent="0.25">
      <c r="A2598" s="24">
        <v>2752</v>
      </c>
      <c r="B2598" s="24">
        <v>855235</v>
      </c>
      <c r="C2598" s="24" t="s">
        <v>3186</v>
      </c>
      <c r="D2598" s="24">
        <v>2157</v>
      </c>
    </row>
    <row r="2599" spans="1:4" x14ac:dyDescent="0.25">
      <c r="A2599" s="24">
        <v>489</v>
      </c>
      <c r="B2599" s="24">
        <v>855391</v>
      </c>
      <c r="C2599" s="24" t="s">
        <v>3190</v>
      </c>
      <c r="D2599" s="24">
        <v>2158</v>
      </c>
    </row>
    <row r="2600" spans="1:4" x14ac:dyDescent="0.25">
      <c r="A2600" s="24">
        <v>3423</v>
      </c>
      <c r="B2600" s="24">
        <v>855405</v>
      </c>
      <c r="C2600" s="24" t="s">
        <v>3191</v>
      </c>
      <c r="D2600" s="24">
        <v>2159</v>
      </c>
    </row>
    <row r="2601" spans="1:4" x14ac:dyDescent="0.25">
      <c r="A2601" s="24">
        <v>3480</v>
      </c>
      <c r="B2601" s="24">
        <v>855413</v>
      </c>
      <c r="C2601" s="24" t="s">
        <v>3192</v>
      </c>
      <c r="D2601" s="24">
        <v>2160</v>
      </c>
    </row>
    <row r="2602" spans="1:4" x14ac:dyDescent="0.25">
      <c r="A2602" s="24">
        <v>2354</v>
      </c>
      <c r="B2602" s="24">
        <v>855456</v>
      </c>
      <c r="C2602" s="24" t="s">
        <v>3194</v>
      </c>
      <c r="D2602" s="24">
        <v>2161</v>
      </c>
    </row>
    <row r="2603" spans="1:4" x14ac:dyDescent="0.25">
      <c r="A2603" s="24">
        <v>2843</v>
      </c>
      <c r="B2603" s="24">
        <v>855448</v>
      </c>
      <c r="C2603" s="24" t="s">
        <v>3193</v>
      </c>
      <c r="D2603" s="24">
        <v>2161</v>
      </c>
    </row>
    <row r="2604" spans="1:4" x14ac:dyDescent="0.25">
      <c r="A2604" s="24">
        <v>2730</v>
      </c>
      <c r="B2604" s="24">
        <v>855464</v>
      </c>
      <c r="C2604" s="24" t="s">
        <v>3195</v>
      </c>
      <c r="D2604" s="24">
        <v>2162</v>
      </c>
    </row>
    <row r="2605" spans="1:4" x14ac:dyDescent="0.25">
      <c r="A2605" s="24">
        <v>3321</v>
      </c>
      <c r="B2605" s="24">
        <v>855472</v>
      </c>
      <c r="C2605" s="24" t="s">
        <v>3196</v>
      </c>
      <c r="D2605" s="24">
        <v>2163</v>
      </c>
    </row>
    <row r="2606" spans="1:4" x14ac:dyDescent="0.25">
      <c r="A2606" s="24">
        <v>914</v>
      </c>
      <c r="B2606" s="24">
        <v>855499</v>
      </c>
      <c r="C2606" s="24" t="s">
        <v>3197</v>
      </c>
      <c r="D2606" s="24">
        <v>2164</v>
      </c>
    </row>
    <row r="2607" spans="1:4" x14ac:dyDescent="0.25">
      <c r="A2607" s="24">
        <v>183</v>
      </c>
      <c r="B2607" s="24">
        <v>855502</v>
      </c>
      <c r="C2607" s="24" t="s">
        <v>3198</v>
      </c>
      <c r="D2607" s="24">
        <v>2165</v>
      </c>
    </row>
    <row r="2608" spans="1:4" x14ac:dyDescent="0.25">
      <c r="A2608" s="24">
        <v>1113</v>
      </c>
      <c r="B2608" s="24">
        <v>855511</v>
      </c>
      <c r="C2608" s="24" t="s">
        <v>3199</v>
      </c>
      <c r="D2608" s="24">
        <v>2166</v>
      </c>
    </row>
    <row r="2609" spans="1:4" x14ac:dyDescent="0.25">
      <c r="A2609" s="24">
        <v>1842</v>
      </c>
      <c r="B2609" s="24">
        <v>855545</v>
      </c>
      <c r="C2609" s="24" t="s">
        <v>3200</v>
      </c>
      <c r="D2609" s="24">
        <v>2167</v>
      </c>
    </row>
    <row r="2610" spans="1:4" x14ac:dyDescent="0.25">
      <c r="A2610" s="24">
        <v>223</v>
      </c>
      <c r="B2610" s="24">
        <v>855570</v>
      </c>
      <c r="C2610" s="24" t="s">
        <v>3201</v>
      </c>
      <c r="D2610" s="24">
        <v>2168</v>
      </c>
    </row>
    <row r="2611" spans="1:4" x14ac:dyDescent="0.25">
      <c r="A2611" s="24">
        <v>2092</v>
      </c>
      <c r="B2611" s="24">
        <v>855596</v>
      </c>
      <c r="C2611" s="24" t="s">
        <v>3203</v>
      </c>
      <c r="D2611" s="24">
        <v>2169</v>
      </c>
    </row>
    <row r="2612" spans="1:4" x14ac:dyDescent="0.25">
      <c r="A2612" s="24">
        <v>138</v>
      </c>
      <c r="B2612" s="24">
        <v>855618</v>
      </c>
      <c r="C2612" s="24" t="s">
        <v>3205</v>
      </c>
      <c r="D2612" s="24">
        <v>2170</v>
      </c>
    </row>
    <row r="2613" spans="1:4" x14ac:dyDescent="0.25">
      <c r="A2613" s="24">
        <v>2982</v>
      </c>
      <c r="B2613" s="24">
        <v>855774</v>
      </c>
      <c r="C2613" s="24" t="s">
        <v>3206</v>
      </c>
      <c r="D2613" s="24">
        <v>2171</v>
      </c>
    </row>
    <row r="2614" spans="1:4" x14ac:dyDescent="0.25">
      <c r="A2614" s="24">
        <v>2665</v>
      </c>
      <c r="B2614" s="24">
        <v>855782</v>
      </c>
      <c r="C2614" s="24" t="s">
        <v>3207</v>
      </c>
      <c r="D2614" s="24">
        <v>2172</v>
      </c>
    </row>
    <row r="2615" spans="1:4" x14ac:dyDescent="0.25">
      <c r="A2615" s="24">
        <v>3099</v>
      </c>
      <c r="B2615" s="24">
        <v>855600</v>
      </c>
      <c r="C2615" s="24" t="s">
        <v>3204</v>
      </c>
      <c r="D2615" s="24">
        <v>2172</v>
      </c>
    </row>
    <row r="2616" spans="1:4" x14ac:dyDescent="0.25">
      <c r="A2616" s="24">
        <v>3516</v>
      </c>
      <c r="B2616" s="24">
        <v>866415</v>
      </c>
      <c r="C2616" s="24" t="s">
        <v>3665</v>
      </c>
      <c r="D2616" s="24">
        <v>2172</v>
      </c>
    </row>
    <row r="2617" spans="1:4" x14ac:dyDescent="0.25">
      <c r="A2617" s="24">
        <v>2705</v>
      </c>
      <c r="B2617" s="24">
        <v>855791</v>
      </c>
      <c r="C2617" s="24" t="s">
        <v>3208</v>
      </c>
      <c r="D2617" s="24">
        <v>2173</v>
      </c>
    </row>
    <row r="2618" spans="1:4" x14ac:dyDescent="0.25">
      <c r="A2618" s="24">
        <v>831</v>
      </c>
      <c r="B2618" s="24">
        <v>855804</v>
      </c>
      <c r="C2618" s="24" t="s">
        <v>3209</v>
      </c>
      <c r="D2618" s="24">
        <v>2174</v>
      </c>
    </row>
    <row r="2619" spans="1:4" x14ac:dyDescent="0.25">
      <c r="A2619" s="24">
        <v>1883</v>
      </c>
      <c r="B2619" s="24">
        <v>855839</v>
      </c>
      <c r="C2619" s="24" t="s">
        <v>3211</v>
      </c>
      <c r="D2619" s="24">
        <v>2175</v>
      </c>
    </row>
    <row r="2620" spans="1:4" x14ac:dyDescent="0.25">
      <c r="A2620" s="24">
        <v>2434</v>
      </c>
      <c r="B2620" s="24">
        <v>855812</v>
      </c>
      <c r="C2620" s="24" t="s">
        <v>3210</v>
      </c>
      <c r="D2620" s="24">
        <v>2176</v>
      </c>
    </row>
    <row r="2621" spans="1:4" x14ac:dyDescent="0.25">
      <c r="A2621" s="24">
        <v>3500</v>
      </c>
      <c r="B2621" s="24">
        <v>855847</v>
      </c>
      <c r="C2621" s="24" t="s">
        <v>3212</v>
      </c>
      <c r="D2621" s="24">
        <v>2177</v>
      </c>
    </row>
    <row r="2622" spans="1:4" x14ac:dyDescent="0.25">
      <c r="A2622" s="24">
        <v>266</v>
      </c>
      <c r="B2622" s="24">
        <v>855863</v>
      </c>
      <c r="C2622" s="24" t="s">
        <v>3213</v>
      </c>
      <c r="D2622" s="24">
        <v>2178</v>
      </c>
    </row>
    <row r="2623" spans="1:4" x14ac:dyDescent="0.25">
      <c r="A2623" s="24">
        <v>1975</v>
      </c>
      <c r="B2623" s="24">
        <v>855871</v>
      </c>
      <c r="C2623" s="24" t="s">
        <v>3214</v>
      </c>
      <c r="D2623" s="24">
        <v>2179</v>
      </c>
    </row>
    <row r="2624" spans="1:4" x14ac:dyDescent="0.25">
      <c r="A2624" s="24">
        <v>1122</v>
      </c>
      <c r="B2624" s="24">
        <v>855898</v>
      </c>
      <c r="C2624" s="24" t="s">
        <v>3215</v>
      </c>
      <c r="D2624" s="24">
        <v>2180</v>
      </c>
    </row>
    <row r="2625" spans="1:4" x14ac:dyDescent="0.25">
      <c r="A2625" s="24">
        <v>2959</v>
      </c>
      <c r="B2625" s="24">
        <v>855901</v>
      </c>
      <c r="C2625" s="24" t="s">
        <v>3216</v>
      </c>
      <c r="D2625" s="24">
        <v>2181</v>
      </c>
    </row>
    <row r="2626" spans="1:4" x14ac:dyDescent="0.25">
      <c r="A2626" s="24">
        <v>377</v>
      </c>
      <c r="B2626" s="24">
        <v>855961</v>
      </c>
      <c r="C2626" s="24" t="s">
        <v>3218</v>
      </c>
      <c r="D2626" s="24">
        <v>2182</v>
      </c>
    </row>
    <row r="2627" spans="1:4" x14ac:dyDescent="0.25">
      <c r="A2627" s="24">
        <v>1271</v>
      </c>
      <c r="B2627" s="24">
        <v>855987</v>
      </c>
      <c r="C2627" s="24" t="s">
        <v>3219</v>
      </c>
      <c r="D2627" s="24">
        <v>2183</v>
      </c>
    </row>
    <row r="2628" spans="1:4" x14ac:dyDescent="0.25">
      <c r="A2628" s="24">
        <v>2480</v>
      </c>
      <c r="B2628" s="24">
        <v>856002</v>
      </c>
      <c r="C2628" s="24" t="s">
        <v>3220</v>
      </c>
      <c r="D2628" s="24">
        <v>2184</v>
      </c>
    </row>
    <row r="2629" spans="1:4" x14ac:dyDescent="0.25">
      <c r="A2629" s="24">
        <v>435</v>
      </c>
      <c r="B2629" s="24">
        <v>856011</v>
      </c>
      <c r="C2629" s="24" t="s">
        <v>3221</v>
      </c>
      <c r="D2629" s="24">
        <v>2185</v>
      </c>
    </row>
    <row r="2630" spans="1:4" x14ac:dyDescent="0.25">
      <c r="A2630" s="24">
        <v>1014</v>
      </c>
      <c r="B2630" s="24">
        <v>856037</v>
      </c>
      <c r="C2630" s="24" t="s">
        <v>3222</v>
      </c>
      <c r="D2630" s="24">
        <v>2186</v>
      </c>
    </row>
    <row r="2631" spans="1:4" x14ac:dyDescent="0.25">
      <c r="A2631" s="24">
        <v>1102</v>
      </c>
      <c r="B2631" s="24">
        <v>856045</v>
      </c>
      <c r="C2631" s="24" t="s">
        <v>3223</v>
      </c>
      <c r="D2631" s="24">
        <v>2187</v>
      </c>
    </row>
    <row r="2632" spans="1:4" x14ac:dyDescent="0.25">
      <c r="A2632" s="24">
        <v>368</v>
      </c>
      <c r="B2632" s="24">
        <v>856053</v>
      </c>
      <c r="C2632" s="24" t="s">
        <v>3224</v>
      </c>
      <c r="D2632" s="24">
        <v>2188</v>
      </c>
    </row>
    <row r="2633" spans="1:4" x14ac:dyDescent="0.25">
      <c r="A2633" s="24">
        <v>2467</v>
      </c>
      <c r="B2633" s="24">
        <v>856070</v>
      </c>
      <c r="C2633" s="24" t="s">
        <v>3225</v>
      </c>
      <c r="D2633" s="24">
        <v>2189</v>
      </c>
    </row>
    <row r="2634" spans="1:4" x14ac:dyDescent="0.25">
      <c r="A2634" s="24">
        <v>593</v>
      </c>
      <c r="B2634" s="24">
        <v>856096</v>
      </c>
      <c r="C2634" s="24" t="s">
        <v>3227</v>
      </c>
      <c r="D2634" s="24">
        <v>2190</v>
      </c>
    </row>
    <row r="2635" spans="1:4" x14ac:dyDescent="0.25">
      <c r="A2635" s="24">
        <v>1646</v>
      </c>
      <c r="B2635" s="24">
        <v>856142</v>
      </c>
      <c r="C2635" s="24" t="s">
        <v>3228</v>
      </c>
      <c r="D2635" s="24">
        <v>2191</v>
      </c>
    </row>
    <row r="2636" spans="1:4" x14ac:dyDescent="0.25">
      <c r="A2636" s="24">
        <v>229</v>
      </c>
      <c r="B2636" s="24">
        <v>856169</v>
      </c>
      <c r="C2636" s="24" t="s">
        <v>3229</v>
      </c>
      <c r="D2636" s="24">
        <v>2192</v>
      </c>
    </row>
    <row r="2637" spans="1:4" x14ac:dyDescent="0.25">
      <c r="A2637" s="24">
        <v>898</v>
      </c>
      <c r="B2637" s="24">
        <v>856185</v>
      </c>
      <c r="C2637" s="24" t="s">
        <v>3231</v>
      </c>
      <c r="D2637" s="24">
        <v>2193</v>
      </c>
    </row>
    <row r="2638" spans="1:4" x14ac:dyDescent="0.25">
      <c r="A2638" s="24">
        <v>2402</v>
      </c>
      <c r="B2638" s="24">
        <v>856177</v>
      </c>
      <c r="C2638" s="24" t="s">
        <v>3230</v>
      </c>
      <c r="D2638" s="24">
        <v>2193</v>
      </c>
    </row>
    <row r="2639" spans="1:4" x14ac:dyDescent="0.25">
      <c r="A2639" s="24">
        <v>1346</v>
      </c>
      <c r="B2639" s="24">
        <v>856193</v>
      </c>
      <c r="C2639" s="24" t="s">
        <v>3232</v>
      </c>
      <c r="D2639" s="24">
        <v>2194</v>
      </c>
    </row>
    <row r="2640" spans="1:4" x14ac:dyDescent="0.25">
      <c r="A2640" s="24">
        <v>1967</v>
      </c>
      <c r="B2640" s="24">
        <v>856215</v>
      </c>
      <c r="C2640" s="24" t="s">
        <v>3233</v>
      </c>
      <c r="D2640" s="24">
        <v>2195</v>
      </c>
    </row>
    <row r="2641" spans="1:4" x14ac:dyDescent="0.25">
      <c r="A2641" s="24">
        <v>188</v>
      </c>
      <c r="B2641" s="24">
        <v>856231</v>
      </c>
      <c r="C2641" s="24" t="s">
        <v>3234</v>
      </c>
      <c r="D2641" s="24">
        <v>2196</v>
      </c>
    </row>
    <row r="2642" spans="1:4" x14ac:dyDescent="0.25">
      <c r="A2642" s="24">
        <v>2952</v>
      </c>
      <c r="B2642" s="24">
        <v>856258</v>
      </c>
      <c r="C2642" s="24" t="s">
        <v>3235</v>
      </c>
      <c r="D2642" s="24">
        <v>2197</v>
      </c>
    </row>
    <row r="2643" spans="1:4" x14ac:dyDescent="0.25">
      <c r="A2643" s="24">
        <v>1177</v>
      </c>
      <c r="B2643" s="24">
        <v>856266</v>
      </c>
      <c r="C2643" s="24" t="s">
        <v>3236</v>
      </c>
      <c r="D2643" s="24">
        <v>2198</v>
      </c>
    </row>
    <row r="2644" spans="1:4" x14ac:dyDescent="0.25">
      <c r="A2644" s="24">
        <v>2995</v>
      </c>
      <c r="B2644" s="24">
        <v>856274</v>
      </c>
      <c r="C2644" s="24" t="s">
        <v>3237</v>
      </c>
      <c r="D2644" s="24">
        <v>2198</v>
      </c>
    </row>
    <row r="2645" spans="1:4" x14ac:dyDescent="0.25">
      <c r="A2645" s="24">
        <v>3052</v>
      </c>
      <c r="B2645" s="24">
        <v>856282</v>
      </c>
      <c r="C2645" s="24" t="s">
        <v>3238</v>
      </c>
      <c r="D2645" s="24">
        <v>2199</v>
      </c>
    </row>
    <row r="2646" spans="1:4" x14ac:dyDescent="0.25">
      <c r="A2646" s="24">
        <v>68</v>
      </c>
      <c r="B2646" s="24">
        <v>856304</v>
      </c>
      <c r="C2646" s="24" t="s">
        <v>3240</v>
      </c>
      <c r="D2646" s="24">
        <v>2200</v>
      </c>
    </row>
    <row r="2647" spans="1:4" x14ac:dyDescent="0.25">
      <c r="A2647" s="24">
        <v>101</v>
      </c>
      <c r="B2647" s="24">
        <v>856291</v>
      </c>
      <c r="C2647" s="24" t="s">
        <v>3239</v>
      </c>
      <c r="D2647" s="24">
        <v>2200</v>
      </c>
    </row>
    <row r="2648" spans="1:4" x14ac:dyDescent="0.25">
      <c r="A2648" s="24">
        <v>2362</v>
      </c>
      <c r="B2648" s="24">
        <v>854361</v>
      </c>
      <c r="C2648" s="24" t="s">
        <v>3154</v>
      </c>
      <c r="D2648" s="24">
        <v>2200</v>
      </c>
    </row>
    <row r="2649" spans="1:4" x14ac:dyDescent="0.25">
      <c r="A2649" s="24">
        <v>1154</v>
      </c>
      <c r="B2649" s="24">
        <v>856444</v>
      </c>
      <c r="C2649" s="24" t="s">
        <v>3242</v>
      </c>
      <c r="D2649" s="24">
        <v>2201</v>
      </c>
    </row>
    <row r="2650" spans="1:4" x14ac:dyDescent="0.25">
      <c r="A2650" s="24">
        <v>549</v>
      </c>
      <c r="B2650" s="24">
        <v>856452</v>
      </c>
      <c r="C2650" s="24" t="s">
        <v>3243</v>
      </c>
      <c r="D2650" s="24">
        <v>2202</v>
      </c>
    </row>
    <row r="2651" spans="1:4" x14ac:dyDescent="0.25">
      <c r="A2651" s="24">
        <v>1834</v>
      </c>
      <c r="B2651" s="24">
        <v>856461</v>
      </c>
      <c r="C2651" s="24" t="s">
        <v>3244</v>
      </c>
      <c r="D2651" s="24">
        <v>2203</v>
      </c>
    </row>
    <row r="2652" spans="1:4" x14ac:dyDescent="0.25">
      <c r="A2652" s="24">
        <v>1853</v>
      </c>
      <c r="B2652" s="24">
        <v>856479</v>
      </c>
      <c r="C2652" s="24" t="s">
        <v>3245</v>
      </c>
      <c r="D2652" s="24">
        <v>2204</v>
      </c>
    </row>
    <row r="2653" spans="1:4" x14ac:dyDescent="0.25">
      <c r="A2653" s="24">
        <v>3400</v>
      </c>
      <c r="B2653" s="24">
        <v>856487</v>
      </c>
      <c r="C2653" s="24" t="s">
        <v>3246</v>
      </c>
      <c r="D2653" s="24">
        <v>2205</v>
      </c>
    </row>
    <row r="2654" spans="1:4" x14ac:dyDescent="0.25">
      <c r="A2654" s="24">
        <v>2029</v>
      </c>
      <c r="B2654" s="24">
        <v>856495</v>
      </c>
      <c r="C2654" s="24" t="s">
        <v>3247</v>
      </c>
      <c r="D2654" s="24">
        <v>2206</v>
      </c>
    </row>
    <row r="2655" spans="1:4" x14ac:dyDescent="0.25">
      <c r="A2655" s="24">
        <v>304</v>
      </c>
      <c r="B2655" s="24">
        <v>856525</v>
      </c>
      <c r="C2655" s="24" t="s">
        <v>3248</v>
      </c>
      <c r="D2655" s="24">
        <v>2207</v>
      </c>
    </row>
    <row r="2656" spans="1:4" x14ac:dyDescent="0.25">
      <c r="A2656" s="24">
        <v>2429</v>
      </c>
      <c r="B2656" s="24">
        <v>856541</v>
      </c>
      <c r="C2656" s="24" t="s">
        <v>3249</v>
      </c>
      <c r="D2656" s="24">
        <v>2208</v>
      </c>
    </row>
    <row r="2657" spans="1:4" x14ac:dyDescent="0.25">
      <c r="A2657" s="24">
        <v>895</v>
      </c>
      <c r="B2657" s="24">
        <v>856550</v>
      </c>
      <c r="C2657" s="24" t="s">
        <v>3250</v>
      </c>
      <c r="D2657" s="24">
        <v>2209</v>
      </c>
    </row>
    <row r="2658" spans="1:4" x14ac:dyDescent="0.25">
      <c r="A2658" s="24">
        <v>1626</v>
      </c>
      <c r="B2658" s="24">
        <v>856576</v>
      </c>
      <c r="C2658" s="24" t="s">
        <v>3252</v>
      </c>
      <c r="D2658" s="24">
        <v>2210</v>
      </c>
    </row>
    <row r="2659" spans="1:4" x14ac:dyDescent="0.25">
      <c r="A2659" s="24">
        <v>753</v>
      </c>
      <c r="B2659" s="24">
        <v>856592</v>
      </c>
      <c r="C2659" s="24" t="s">
        <v>3253</v>
      </c>
      <c r="D2659" s="24">
        <v>2211</v>
      </c>
    </row>
    <row r="2660" spans="1:4" x14ac:dyDescent="0.25">
      <c r="A2660" s="24">
        <v>1204</v>
      </c>
      <c r="B2660" s="24">
        <v>856606</v>
      </c>
      <c r="C2660" s="24" t="s">
        <v>3254</v>
      </c>
      <c r="D2660" s="24">
        <v>2212</v>
      </c>
    </row>
    <row r="2661" spans="1:4" x14ac:dyDescent="0.25">
      <c r="A2661" s="24">
        <v>1743</v>
      </c>
      <c r="B2661" s="24">
        <v>856614</v>
      </c>
      <c r="C2661" s="24" t="s">
        <v>3255</v>
      </c>
      <c r="D2661" s="24">
        <v>2213</v>
      </c>
    </row>
    <row r="2662" spans="1:4" x14ac:dyDescent="0.25">
      <c r="A2662" s="24">
        <v>2363</v>
      </c>
      <c r="B2662" s="24">
        <v>856631</v>
      </c>
      <c r="C2662" s="24" t="s">
        <v>3256</v>
      </c>
      <c r="D2662" s="24">
        <v>2214</v>
      </c>
    </row>
    <row r="2663" spans="1:4" x14ac:dyDescent="0.25">
      <c r="A2663" s="24">
        <v>140</v>
      </c>
      <c r="B2663" s="24">
        <v>856649</v>
      </c>
      <c r="C2663" s="24" t="s">
        <v>3257</v>
      </c>
      <c r="D2663" s="24">
        <v>2215</v>
      </c>
    </row>
    <row r="2664" spans="1:4" x14ac:dyDescent="0.25">
      <c r="A2664" s="24">
        <v>15</v>
      </c>
      <c r="B2664" s="24">
        <v>856657</v>
      </c>
      <c r="C2664" s="24" t="s">
        <v>3258</v>
      </c>
      <c r="D2664" s="24">
        <v>2216</v>
      </c>
    </row>
    <row r="2665" spans="1:4" x14ac:dyDescent="0.25">
      <c r="A2665" s="24">
        <v>742</v>
      </c>
      <c r="B2665" s="24">
        <v>856681</v>
      </c>
      <c r="C2665" s="24" t="s">
        <v>3260</v>
      </c>
      <c r="D2665" s="24">
        <v>2217</v>
      </c>
    </row>
    <row r="2666" spans="1:4" x14ac:dyDescent="0.25">
      <c r="A2666" s="24">
        <v>3137</v>
      </c>
      <c r="B2666" s="24">
        <v>856665</v>
      </c>
      <c r="C2666" s="24" t="s">
        <v>3259</v>
      </c>
      <c r="D2666" s="24">
        <v>2217</v>
      </c>
    </row>
    <row r="2667" spans="1:4" x14ac:dyDescent="0.25">
      <c r="A2667" s="24">
        <v>1930</v>
      </c>
      <c r="B2667" s="24">
        <v>856703</v>
      </c>
      <c r="C2667" s="24" t="s">
        <v>3261</v>
      </c>
      <c r="D2667" s="24">
        <v>2218</v>
      </c>
    </row>
    <row r="2668" spans="1:4" x14ac:dyDescent="0.25">
      <c r="A2668" s="24">
        <v>631</v>
      </c>
      <c r="B2668" s="24">
        <v>856754</v>
      </c>
      <c r="C2668" s="24" t="s">
        <v>3262</v>
      </c>
      <c r="D2668" s="24">
        <v>2219</v>
      </c>
    </row>
    <row r="2669" spans="1:4" x14ac:dyDescent="0.25">
      <c r="A2669" s="24">
        <v>495</v>
      </c>
      <c r="B2669" s="24">
        <v>856789</v>
      </c>
      <c r="C2669" s="24" t="s">
        <v>3264</v>
      </c>
      <c r="D2669" s="24">
        <v>2220</v>
      </c>
    </row>
    <row r="2670" spans="1:4" x14ac:dyDescent="0.25">
      <c r="A2670" s="24">
        <v>2817</v>
      </c>
      <c r="B2670" s="24">
        <v>856771</v>
      </c>
      <c r="C2670" s="24" t="s">
        <v>3263</v>
      </c>
      <c r="D2670" s="24">
        <v>2220</v>
      </c>
    </row>
    <row r="2671" spans="1:4" x14ac:dyDescent="0.25">
      <c r="A2671" s="24">
        <v>49</v>
      </c>
      <c r="B2671" s="24">
        <v>856801</v>
      </c>
      <c r="C2671" s="24" t="s">
        <v>3265</v>
      </c>
      <c r="D2671" s="24">
        <v>2221</v>
      </c>
    </row>
    <row r="2672" spans="1:4" x14ac:dyDescent="0.25">
      <c r="A2672" s="24">
        <v>1723</v>
      </c>
      <c r="B2672" s="24">
        <v>856819</v>
      </c>
      <c r="C2672" s="24" t="s">
        <v>3266</v>
      </c>
      <c r="D2672" s="24">
        <v>2222</v>
      </c>
    </row>
    <row r="2673" spans="1:4" x14ac:dyDescent="0.25">
      <c r="A2673" s="24">
        <v>3501</v>
      </c>
      <c r="B2673" s="24">
        <v>856851</v>
      </c>
      <c r="C2673" s="24" t="s">
        <v>3268</v>
      </c>
      <c r="D2673" s="24">
        <v>2223</v>
      </c>
    </row>
    <row r="2674" spans="1:4" x14ac:dyDescent="0.25">
      <c r="A2674" s="24">
        <v>990</v>
      </c>
      <c r="B2674" s="24">
        <v>856878</v>
      </c>
      <c r="C2674" s="24" t="s">
        <v>3269</v>
      </c>
      <c r="D2674" s="24">
        <v>2224</v>
      </c>
    </row>
    <row r="2675" spans="1:4" x14ac:dyDescent="0.25">
      <c r="A2675" s="24">
        <v>2985</v>
      </c>
      <c r="B2675" s="24">
        <v>856886</v>
      </c>
      <c r="C2675" s="24" t="s">
        <v>3270</v>
      </c>
      <c r="D2675" s="24">
        <v>2225</v>
      </c>
    </row>
    <row r="2676" spans="1:4" x14ac:dyDescent="0.25">
      <c r="A2676" s="24">
        <v>2513</v>
      </c>
      <c r="B2676" s="24">
        <v>856894</v>
      </c>
      <c r="C2676" s="24" t="s">
        <v>3271</v>
      </c>
      <c r="D2676" s="24">
        <v>2226</v>
      </c>
    </row>
    <row r="2677" spans="1:4" x14ac:dyDescent="0.25">
      <c r="A2677" s="24">
        <v>1224</v>
      </c>
      <c r="B2677" s="24">
        <v>856908</v>
      </c>
      <c r="C2677" s="24" t="s">
        <v>3272</v>
      </c>
      <c r="D2677" s="24">
        <v>2227</v>
      </c>
    </row>
    <row r="2678" spans="1:4" x14ac:dyDescent="0.25">
      <c r="A2678" s="24">
        <v>3051</v>
      </c>
      <c r="B2678" s="24">
        <v>856941</v>
      </c>
      <c r="C2678" s="24" t="s">
        <v>3273</v>
      </c>
      <c r="D2678" s="24">
        <v>2228</v>
      </c>
    </row>
    <row r="2679" spans="1:4" x14ac:dyDescent="0.25">
      <c r="A2679" s="24">
        <v>1516</v>
      </c>
      <c r="B2679" s="24">
        <v>857106</v>
      </c>
      <c r="C2679" s="24" t="s">
        <v>3274</v>
      </c>
      <c r="D2679" s="24">
        <v>2229</v>
      </c>
    </row>
    <row r="2680" spans="1:4" x14ac:dyDescent="0.25">
      <c r="A2680" s="24">
        <v>2013</v>
      </c>
      <c r="B2680" s="24">
        <v>857114</v>
      </c>
      <c r="C2680" s="24" t="s">
        <v>3275</v>
      </c>
      <c r="D2680" s="24">
        <v>2230</v>
      </c>
    </row>
    <row r="2681" spans="1:4" x14ac:dyDescent="0.25">
      <c r="A2681" s="24">
        <v>565</v>
      </c>
      <c r="B2681" s="24">
        <v>857165</v>
      </c>
      <c r="C2681" s="24" t="s">
        <v>3276</v>
      </c>
      <c r="D2681" s="24">
        <v>2231</v>
      </c>
    </row>
    <row r="2682" spans="1:4" x14ac:dyDescent="0.25">
      <c r="A2682" s="24">
        <v>2176</v>
      </c>
      <c r="B2682" s="24">
        <v>826057</v>
      </c>
      <c r="C2682" s="24" t="s">
        <v>1917</v>
      </c>
      <c r="D2682" s="24">
        <v>2232</v>
      </c>
    </row>
    <row r="2683" spans="1:4" x14ac:dyDescent="0.25">
      <c r="A2683" s="24">
        <v>1932</v>
      </c>
      <c r="B2683" s="24">
        <v>857190</v>
      </c>
      <c r="C2683" s="24" t="s">
        <v>3277</v>
      </c>
      <c r="D2683" s="24">
        <v>2232</v>
      </c>
    </row>
    <row r="2684" spans="1:4" x14ac:dyDescent="0.25">
      <c r="A2684" s="24">
        <v>2496</v>
      </c>
      <c r="B2684" s="24">
        <v>857203</v>
      </c>
      <c r="C2684" s="24" t="s">
        <v>3278</v>
      </c>
      <c r="D2684" s="24">
        <v>2233</v>
      </c>
    </row>
    <row r="2685" spans="1:4" x14ac:dyDescent="0.25">
      <c r="A2685" s="24">
        <v>3176</v>
      </c>
      <c r="B2685" s="24">
        <v>857220</v>
      </c>
      <c r="C2685" s="24" t="s">
        <v>3279</v>
      </c>
      <c r="D2685" s="24">
        <v>2234</v>
      </c>
    </row>
    <row r="2686" spans="1:4" x14ac:dyDescent="0.25">
      <c r="A2686" s="24">
        <v>1753</v>
      </c>
      <c r="B2686" s="24">
        <v>820555</v>
      </c>
      <c r="C2686" s="24" t="s">
        <v>1646</v>
      </c>
      <c r="D2686" s="24">
        <v>2235</v>
      </c>
    </row>
    <row r="2687" spans="1:4" x14ac:dyDescent="0.25">
      <c r="A2687" s="24">
        <v>61</v>
      </c>
      <c r="B2687" s="24">
        <v>857238</v>
      </c>
      <c r="C2687" s="24" t="s">
        <v>203</v>
      </c>
      <c r="D2687" s="24">
        <v>2236</v>
      </c>
    </row>
    <row r="2688" spans="1:4" x14ac:dyDescent="0.25">
      <c r="A2688" s="24">
        <v>2955</v>
      </c>
      <c r="B2688" s="24">
        <v>857246</v>
      </c>
      <c r="C2688" s="24" t="s">
        <v>3280</v>
      </c>
      <c r="D2688" s="24">
        <v>2236</v>
      </c>
    </row>
    <row r="2689" spans="1:4" x14ac:dyDescent="0.25">
      <c r="A2689" s="24">
        <v>806</v>
      </c>
      <c r="B2689" s="24">
        <v>857262</v>
      </c>
      <c r="C2689" s="24" t="s">
        <v>3282</v>
      </c>
      <c r="D2689" s="24">
        <v>2237</v>
      </c>
    </row>
    <row r="2690" spans="1:4" x14ac:dyDescent="0.25">
      <c r="A2690" s="24">
        <v>1768</v>
      </c>
      <c r="B2690" s="24">
        <v>857271</v>
      </c>
      <c r="C2690" s="24" t="s">
        <v>3283</v>
      </c>
      <c r="D2690" s="24">
        <v>2238</v>
      </c>
    </row>
    <row r="2691" spans="1:4" x14ac:dyDescent="0.25">
      <c r="A2691" s="24">
        <v>3039</v>
      </c>
      <c r="B2691" s="24">
        <v>857289</v>
      </c>
      <c r="C2691" s="24" t="s">
        <v>3284</v>
      </c>
      <c r="D2691" s="24">
        <v>2239</v>
      </c>
    </row>
    <row r="2692" spans="1:4" x14ac:dyDescent="0.25">
      <c r="A2692" s="24">
        <v>3521</v>
      </c>
      <c r="B2692" s="24">
        <v>857297</v>
      </c>
      <c r="C2692" s="24" t="s">
        <v>3285</v>
      </c>
      <c r="D2692" s="24">
        <v>2240</v>
      </c>
    </row>
    <row r="2693" spans="1:4" x14ac:dyDescent="0.25">
      <c r="A2693" s="24">
        <v>2096</v>
      </c>
      <c r="B2693" s="24">
        <v>857319</v>
      </c>
      <c r="C2693" s="24" t="s">
        <v>3287</v>
      </c>
      <c r="D2693" s="24">
        <v>2241</v>
      </c>
    </row>
    <row r="2694" spans="1:4" x14ac:dyDescent="0.25">
      <c r="A2694" s="24">
        <v>3557</v>
      </c>
      <c r="B2694" s="24">
        <v>857327</v>
      </c>
      <c r="C2694" s="24" t="s">
        <v>3288</v>
      </c>
      <c r="D2694" s="24">
        <v>2242</v>
      </c>
    </row>
    <row r="2695" spans="1:4" x14ac:dyDescent="0.25">
      <c r="A2695" s="24">
        <v>625</v>
      </c>
      <c r="B2695" s="24">
        <v>857335</v>
      </c>
      <c r="C2695" s="24" t="s">
        <v>3289</v>
      </c>
      <c r="D2695" s="24">
        <v>2243</v>
      </c>
    </row>
    <row r="2696" spans="1:4" x14ac:dyDescent="0.25">
      <c r="A2696" s="24">
        <v>1131</v>
      </c>
      <c r="B2696" s="24">
        <v>857360</v>
      </c>
      <c r="C2696" s="24" t="s">
        <v>3292</v>
      </c>
      <c r="D2696" s="24">
        <v>2244</v>
      </c>
    </row>
    <row r="2697" spans="1:4" x14ac:dyDescent="0.25">
      <c r="A2697" s="24">
        <v>3005</v>
      </c>
      <c r="B2697" s="24">
        <v>857351</v>
      </c>
      <c r="C2697" s="24" t="s">
        <v>3291</v>
      </c>
      <c r="D2697" s="24">
        <v>2244</v>
      </c>
    </row>
    <row r="2698" spans="1:4" x14ac:dyDescent="0.25">
      <c r="A2698" s="24">
        <v>2472</v>
      </c>
      <c r="B2698" s="24">
        <v>857343</v>
      </c>
      <c r="C2698" s="24" t="s">
        <v>3290</v>
      </c>
      <c r="D2698" s="24">
        <v>2244</v>
      </c>
    </row>
    <row r="2699" spans="1:4" x14ac:dyDescent="0.25">
      <c r="A2699" s="24">
        <v>1469</v>
      </c>
      <c r="B2699" s="24">
        <v>843202</v>
      </c>
      <c r="C2699" s="24" t="s">
        <v>2688</v>
      </c>
      <c r="D2699" s="24">
        <v>2245</v>
      </c>
    </row>
    <row r="2700" spans="1:4" x14ac:dyDescent="0.25">
      <c r="A2700" s="24">
        <v>649</v>
      </c>
      <c r="B2700" s="24">
        <v>858871</v>
      </c>
      <c r="C2700" s="24" t="s">
        <v>3342</v>
      </c>
      <c r="D2700" s="24">
        <v>2246</v>
      </c>
    </row>
    <row r="2701" spans="1:4" x14ac:dyDescent="0.25">
      <c r="A2701" s="24">
        <v>2859</v>
      </c>
      <c r="B2701" s="24">
        <v>857378</v>
      </c>
      <c r="C2701" s="24" t="s">
        <v>3293</v>
      </c>
      <c r="D2701" s="24">
        <v>2246</v>
      </c>
    </row>
    <row r="2702" spans="1:4" x14ac:dyDescent="0.25">
      <c r="A2702" s="24">
        <v>3424</v>
      </c>
      <c r="B2702" s="24">
        <v>857386</v>
      </c>
      <c r="C2702" s="24" t="s">
        <v>3294</v>
      </c>
      <c r="D2702" s="24">
        <v>2247</v>
      </c>
    </row>
    <row r="2703" spans="1:4" x14ac:dyDescent="0.25">
      <c r="A2703" s="24">
        <v>3047</v>
      </c>
      <c r="B2703" s="24">
        <v>857581</v>
      </c>
      <c r="C2703" s="24" t="s">
        <v>3295</v>
      </c>
      <c r="D2703" s="24">
        <v>2248</v>
      </c>
    </row>
    <row r="2704" spans="1:4" x14ac:dyDescent="0.25">
      <c r="A2704" s="24">
        <v>2679</v>
      </c>
      <c r="B2704" s="24">
        <v>834416</v>
      </c>
      <c r="C2704" s="24" t="s">
        <v>2313</v>
      </c>
      <c r="D2704" s="24">
        <v>2248</v>
      </c>
    </row>
    <row r="2705" spans="1:4" x14ac:dyDescent="0.25">
      <c r="A2705" s="24">
        <v>975</v>
      </c>
      <c r="B2705" s="24">
        <v>857599</v>
      </c>
      <c r="C2705" s="24" t="s">
        <v>3296</v>
      </c>
      <c r="D2705" s="24">
        <v>2249</v>
      </c>
    </row>
    <row r="2706" spans="1:4" x14ac:dyDescent="0.25">
      <c r="A2706" s="24">
        <v>1142</v>
      </c>
      <c r="B2706" s="24">
        <v>857611</v>
      </c>
      <c r="C2706" s="24" t="s">
        <v>3297</v>
      </c>
      <c r="D2706" s="24">
        <v>2250</v>
      </c>
    </row>
    <row r="2707" spans="1:4" x14ac:dyDescent="0.25">
      <c r="A2707" s="24">
        <v>2391</v>
      </c>
      <c r="B2707" s="24">
        <v>857629</v>
      </c>
      <c r="C2707" s="24" t="s">
        <v>3298</v>
      </c>
      <c r="D2707" s="24">
        <v>2251</v>
      </c>
    </row>
    <row r="2708" spans="1:4" x14ac:dyDescent="0.25">
      <c r="A2708" s="24">
        <v>553</v>
      </c>
      <c r="B2708" s="24">
        <v>857645</v>
      </c>
      <c r="C2708" s="24" t="s">
        <v>3299</v>
      </c>
      <c r="D2708" s="24">
        <v>2252</v>
      </c>
    </row>
    <row r="2709" spans="1:4" x14ac:dyDescent="0.25">
      <c r="A2709" s="24">
        <v>3124</v>
      </c>
      <c r="B2709" s="24">
        <v>823660</v>
      </c>
      <c r="C2709" s="24" t="s">
        <v>1840</v>
      </c>
      <c r="D2709" s="24">
        <v>2252</v>
      </c>
    </row>
    <row r="2710" spans="1:4" x14ac:dyDescent="0.25">
      <c r="A2710" s="24">
        <v>3443</v>
      </c>
      <c r="B2710" s="24">
        <v>857670</v>
      </c>
      <c r="C2710" s="24" t="s">
        <v>3300</v>
      </c>
      <c r="D2710" s="24">
        <v>2253</v>
      </c>
    </row>
    <row r="2711" spans="1:4" x14ac:dyDescent="0.25">
      <c r="A2711" s="24">
        <v>2174</v>
      </c>
      <c r="B2711" s="24">
        <v>857696</v>
      </c>
      <c r="C2711" s="24" t="s">
        <v>3301</v>
      </c>
      <c r="D2711" s="24">
        <v>2254</v>
      </c>
    </row>
    <row r="2712" spans="1:4" x14ac:dyDescent="0.25">
      <c r="A2712" s="24">
        <v>3028</v>
      </c>
      <c r="B2712" s="24">
        <v>857726</v>
      </c>
      <c r="C2712" s="24" t="s">
        <v>3302</v>
      </c>
      <c r="D2712" s="24">
        <v>2255</v>
      </c>
    </row>
    <row r="2713" spans="1:4" x14ac:dyDescent="0.25">
      <c r="A2713" s="24">
        <v>857</v>
      </c>
      <c r="B2713" s="24">
        <v>857734</v>
      </c>
      <c r="C2713" s="24" t="s">
        <v>3303</v>
      </c>
      <c r="D2713" s="24">
        <v>2256</v>
      </c>
    </row>
    <row r="2714" spans="1:4" x14ac:dyDescent="0.25">
      <c r="A2714" s="24">
        <v>1538</v>
      </c>
      <c r="B2714" s="24">
        <v>857751</v>
      </c>
      <c r="C2714" s="24" t="s">
        <v>3304</v>
      </c>
      <c r="D2714" s="24">
        <v>2257</v>
      </c>
    </row>
    <row r="2715" spans="1:4" x14ac:dyDescent="0.25">
      <c r="A2715" s="24">
        <v>3512</v>
      </c>
      <c r="B2715" s="24">
        <v>857777</v>
      </c>
      <c r="C2715" s="24" t="s">
        <v>3305</v>
      </c>
      <c r="D2715" s="24">
        <v>2258</v>
      </c>
    </row>
    <row r="2716" spans="1:4" x14ac:dyDescent="0.25">
      <c r="A2716" s="24">
        <v>126</v>
      </c>
      <c r="B2716" s="24">
        <v>858471</v>
      </c>
      <c r="C2716" s="24" t="s">
        <v>3325</v>
      </c>
      <c r="D2716" s="24">
        <v>2259</v>
      </c>
    </row>
    <row r="2717" spans="1:4" x14ac:dyDescent="0.25">
      <c r="A2717" s="24">
        <v>576</v>
      </c>
      <c r="B2717" s="24">
        <v>873691</v>
      </c>
      <c r="C2717" s="24" t="s">
        <v>4031</v>
      </c>
      <c r="D2717" s="24">
        <v>2259</v>
      </c>
    </row>
    <row r="2718" spans="1:4" x14ac:dyDescent="0.25">
      <c r="A2718" s="24">
        <v>480</v>
      </c>
      <c r="B2718" s="24">
        <v>810088</v>
      </c>
      <c r="C2718" s="24" t="s">
        <v>1149</v>
      </c>
      <c r="D2718" s="24">
        <v>2259</v>
      </c>
    </row>
    <row r="2719" spans="1:4" x14ac:dyDescent="0.25">
      <c r="A2719" s="24">
        <v>851</v>
      </c>
      <c r="B2719" s="24">
        <v>853674</v>
      </c>
      <c r="C2719" s="24" t="s">
        <v>3131</v>
      </c>
      <c r="D2719" s="24">
        <v>2259</v>
      </c>
    </row>
    <row r="2720" spans="1:4" x14ac:dyDescent="0.25">
      <c r="A2720" s="24">
        <v>1156</v>
      </c>
      <c r="B2720" s="24">
        <v>856835</v>
      </c>
      <c r="C2720" s="24" t="s">
        <v>3267</v>
      </c>
      <c r="D2720" s="24">
        <v>2259</v>
      </c>
    </row>
    <row r="2721" spans="1:4" x14ac:dyDescent="0.25">
      <c r="A2721" s="24">
        <v>1414</v>
      </c>
      <c r="B2721" s="24">
        <v>867896</v>
      </c>
      <c r="C2721" s="24" t="s">
        <v>3735</v>
      </c>
      <c r="D2721" s="24">
        <v>2259</v>
      </c>
    </row>
    <row r="2722" spans="1:4" x14ac:dyDescent="0.25">
      <c r="A2722" s="24">
        <v>2478</v>
      </c>
      <c r="B2722" s="24">
        <v>844616</v>
      </c>
      <c r="C2722" s="24" t="s">
        <v>2758</v>
      </c>
      <c r="D2722" s="24">
        <v>2259</v>
      </c>
    </row>
    <row r="2723" spans="1:4" x14ac:dyDescent="0.25">
      <c r="A2723" s="24">
        <v>2258</v>
      </c>
      <c r="B2723" s="24">
        <v>857807</v>
      </c>
      <c r="C2723" s="24" t="s">
        <v>3308</v>
      </c>
      <c r="D2723" s="24">
        <v>2259</v>
      </c>
    </row>
    <row r="2724" spans="1:4" x14ac:dyDescent="0.25">
      <c r="A2724" s="24">
        <v>1242</v>
      </c>
      <c r="B2724" s="24">
        <v>857793</v>
      </c>
      <c r="C2724" s="24" t="s">
        <v>3307</v>
      </c>
      <c r="D2724" s="24">
        <v>2260</v>
      </c>
    </row>
    <row r="2725" spans="1:4" x14ac:dyDescent="0.25">
      <c r="A2725" s="24">
        <v>1</v>
      </c>
      <c r="B2725" s="24">
        <v>873179</v>
      </c>
      <c r="C2725" s="24" t="s">
        <v>4001</v>
      </c>
      <c r="D2725" s="24">
        <v>2261</v>
      </c>
    </row>
    <row r="2726" spans="1:4" x14ac:dyDescent="0.25">
      <c r="A2726" s="24">
        <v>1695</v>
      </c>
      <c r="B2726" s="24">
        <v>857823</v>
      </c>
      <c r="C2726" s="24" t="s">
        <v>3309</v>
      </c>
      <c r="D2726" s="24">
        <v>2262</v>
      </c>
    </row>
    <row r="2727" spans="1:4" x14ac:dyDescent="0.25">
      <c r="A2727" s="24">
        <v>2336</v>
      </c>
      <c r="B2727" s="24">
        <v>857840</v>
      </c>
      <c r="C2727" s="24" t="s">
        <v>3310</v>
      </c>
      <c r="D2727" s="24">
        <v>2263</v>
      </c>
    </row>
    <row r="2728" spans="1:4" x14ac:dyDescent="0.25">
      <c r="A2728" s="24">
        <v>583</v>
      </c>
      <c r="B2728" s="24">
        <v>857858</v>
      </c>
      <c r="C2728" s="24" t="s">
        <v>3311</v>
      </c>
      <c r="D2728" s="24">
        <v>2264</v>
      </c>
    </row>
    <row r="2729" spans="1:4" x14ac:dyDescent="0.25">
      <c r="A2729" s="24">
        <v>1694</v>
      </c>
      <c r="B2729" s="24">
        <v>857921</v>
      </c>
      <c r="C2729" s="24" t="s">
        <v>3312</v>
      </c>
      <c r="D2729" s="24">
        <v>2265</v>
      </c>
    </row>
    <row r="2730" spans="1:4" x14ac:dyDescent="0.25">
      <c r="A2730" s="24">
        <v>2949</v>
      </c>
      <c r="B2730" s="24">
        <v>857939</v>
      </c>
      <c r="C2730" s="24" t="s">
        <v>3313</v>
      </c>
      <c r="D2730" s="24">
        <v>2266</v>
      </c>
    </row>
    <row r="2731" spans="1:4" x14ac:dyDescent="0.25">
      <c r="A2731" s="24">
        <v>2910</v>
      </c>
      <c r="B2731" s="24">
        <v>857971</v>
      </c>
      <c r="C2731" s="24" t="s">
        <v>3314</v>
      </c>
      <c r="D2731" s="24">
        <v>2267</v>
      </c>
    </row>
    <row r="2732" spans="1:4" x14ac:dyDescent="0.25">
      <c r="A2732" s="24">
        <v>264</v>
      </c>
      <c r="B2732" s="24">
        <v>858048</v>
      </c>
      <c r="C2732" s="24" t="s">
        <v>3315</v>
      </c>
      <c r="D2732" s="24">
        <v>2268</v>
      </c>
    </row>
    <row r="2733" spans="1:4" x14ac:dyDescent="0.25">
      <c r="A2733" s="24">
        <v>1308</v>
      </c>
      <c r="B2733" s="24">
        <v>858064</v>
      </c>
      <c r="C2733" s="24" t="s">
        <v>3316</v>
      </c>
      <c r="D2733" s="24">
        <v>2269</v>
      </c>
    </row>
    <row r="2734" spans="1:4" x14ac:dyDescent="0.25">
      <c r="A2734" s="24">
        <v>1612</v>
      </c>
      <c r="B2734" s="24">
        <v>858081</v>
      </c>
      <c r="C2734" s="24" t="s">
        <v>3317</v>
      </c>
      <c r="D2734" s="24">
        <v>2270</v>
      </c>
    </row>
    <row r="2735" spans="1:4" x14ac:dyDescent="0.25">
      <c r="A2735" s="24">
        <v>1782</v>
      </c>
      <c r="B2735" s="24">
        <v>858099</v>
      </c>
      <c r="C2735" s="24" t="s">
        <v>3318</v>
      </c>
      <c r="D2735" s="24">
        <v>2271</v>
      </c>
    </row>
    <row r="2736" spans="1:4" x14ac:dyDescent="0.25">
      <c r="A2736" s="24">
        <v>1088</v>
      </c>
      <c r="B2736" s="24">
        <v>858196</v>
      </c>
      <c r="C2736" s="24" t="s">
        <v>3319</v>
      </c>
      <c r="D2736" s="24">
        <v>2272</v>
      </c>
    </row>
    <row r="2737" spans="1:4" x14ac:dyDescent="0.25">
      <c r="A2737" s="24">
        <v>547</v>
      </c>
      <c r="B2737" s="24">
        <v>858251</v>
      </c>
      <c r="C2737" s="24" t="s">
        <v>3320</v>
      </c>
      <c r="D2737" s="24">
        <v>2273</v>
      </c>
    </row>
    <row r="2738" spans="1:4" x14ac:dyDescent="0.25">
      <c r="A2738" s="24">
        <v>3518</v>
      </c>
      <c r="B2738" s="24">
        <v>858366</v>
      </c>
      <c r="C2738" s="24" t="s">
        <v>3321</v>
      </c>
      <c r="D2738" s="24">
        <v>2274</v>
      </c>
    </row>
    <row r="2739" spans="1:4" x14ac:dyDescent="0.25">
      <c r="A2739" s="24">
        <v>879</v>
      </c>
      <c r="B2739" s="24">
        <v>858374</v>
      </c>
      <c r="C2739" s="24" t="s">
        <v>3322</v>
      </c>
      <c r="D2739" s="24">
        <v>2275</v>
      </c>
    </row>
    <row r="2740" spans="1:4" x14ac:dyDescent="0.25">
      <c r="A2740" s="24">
        <v>3517</v>
      </c>
      <c r="B2740" s="24">
        <v>858447</v>
      </c>
      <c r="C2740" s="24" t="s">
        <v>3323</v>
      </c>
      <c r="D2740" s="24">
        <v>2276</v>
      </c>
    </row>
    <row r="2741" spans="1:4" x14ac:dyDescent="0.25">
      <c r="A2741" s="24">
        <v>3259</v>
      </c>
      <c r="B2741" s="24">
        <v>858480</v>
      </c>
      <c r="C2741" s="24" t="s">
        <v>3326</v>
      </c>
      <c r="D2741" s="24">
        <v>2277</v>
      </c>
    </row>
    <row r="2742" spans="1:4" x14ac:dyDescent="0.25">
      <c r="A2742" s="24">
        <v>1205</v>
      </c>
      <c r="B2742" s="24">
        <v>858501</v>
      </c>
      <c r="C2742" s="24" t="s">
        <v>3328</v>
      </c>
      <c r="D2742" s="24">
        <v>2278</v>
      </c>
    </row>
    <row r="2743" spans="1:4" x14ac:dyDescent="0.25">
      <c r="A2743" s="24">
        <v>2470</v>
      </c>
      <c r="B2743" s="24">
        <v>858579</v>
      </c>
      <c r="C2743" s="24" t="s">
        <v>3330</v>
      </c>
      <c r="D2743" s="24">
        <v>2279</v>
      </c>
    </row>
    <row r="2744" spans="1:4" x14ac:dyDescent="0.25">
      <c r="A2744" s="24">
        <v>1887</v>
      </c>
      <c r="B2744" s="24">
        <v>858633</v>
      </c>
      <c r="C2744" s="24" t="s">
        <v>3331</v>
      </c>
      <c r="D2744" s="24">
        <v>2280</v>
      </c>
    </row>
    <row r="2745" spans="1:4" x14ac:dyDescent="0.25">
      <c r="A2745" s="24">
        <v>2039</v>
      </c>
      <c r="B2745" s="24">
        <v>858676</v>
      </c>
      <c r="C2745" s="24" t="s">
        <v>3332</v>
      </c>
      <c r="D2745" s="24">
        <v>2281</v>
      </c>
    </row>
    <row r="2746" spans="1:4" x14ac:dyDescent="0.25">
      <c r="A2746" s="24">
        <v>1693</v>
      </c>
      <c r="B2746" s="24">
        <v>858684</v>
      </c>
      <c r="C2746" s="24" t="s">
        <v>3333</v>
      </c>
      <c r="D2746" s="24">
        <v>2282</v>
      </c>
    </row>
    <row r="2747" spans="1:4" x14ac:dyDescent="0.25">
      <c r="A2747" s="24">
        <v>774</v>
      </c>
      <c r="B2747" s="24">
        <v>858692</v>
      </c>
      <c r="C2747" s="24" t="s">
        <v>3334</v>
      </c>
      <c r="D2747" s="24">
        <v>2283</v>
      </c>
    </row>
    <row r="2748" spans="1:4" x14ac:dyDescent="0.25">
      <c r="A2748" s="24">
        <v>3478</v>
      </c>
      <c r="B2748" s="24">
        <v>858757</v>
      </c>
      <c r="C2748" s="24" t="s">
        <v>3335</v>
      </c>
      <c r="D2748" s="24">
        <v>2284</v>
      </c>
    </row>
    <row r="2749" spans="1:4" x14ac:dyDescent="0.25">
      <c r="A2749" s="24">
        <v>1041</v>
      </c>
      <c r="B2749" s="24">
        <v>858765</v>
      </c>
      <c r="C2749" s="24" t="s">
        <v>2446</v>
      </c>
      <c r="D2749" s="24">
        <v>2285</v>
      </c>
    </row>
    <row r="2750" spans="1:4" x14ac:dyDescent="0.25">
      <c r="A2750" s="24">
        <v>2695</v>
      </c>
      <c r="B2750" s="24">
        <v>858781</v>
      </c>
      <c r="C2750" s="24" t="s">
        <v>3336</v>
      </c>
      <c r="D2750" s="24">
        <v>2286</v>
      </c>
    </row>
    <row r="2751" spans="1:4" x14ac:dyDescent="0.25">
      <c r="A2751" s="24">
        <v>65</v>
      </c>
      <c r="B2751" s="24">
        <v>858803</v>
      </c>
      <c r="C2751" s="24" t="s">
        <v>3337</v>
      </c>
      <c r="D2751" s="24">
        <v>2287</v>
      </c>
    </row>
    <row r="2752" spans="1:4" x14ac:dyDescent="0.25">
      <c r="A2752" s="24">
        <v>1658</v>
      </c>
      <c r="B2752" s="24">
        <v>858811</v>
      </c>
      <c r="C2752" s="24" t="s">
        <v>3338</v>
      </c>
      <c r="D2752" s="24">
        <v>2288</v>
      </c>
    </row>
    <row r="2753" spans="1:4" x14ac:dyDescent="0.25">
      <c r="A2753" s="24">
        <v>2050</v>
      </c>
      <c r="B2753" s="24">
        <v>858838</v>
      </c>
      <c r="C2753" s="24" t="s">
        <v>3339</v>
      </c>
      <c r="D2753" s="24">
        <v>2289</v>
      </c>
    </row>
    <row r="2754" spans="1:4" x14ac:dyDescent="0.25">
      <c r="A2754" s="24">
        <v>1847</v>
      </c>
      <c r="B2754" s="24">
        <v>858854</v>
      </c>
      <c r="C2754" s="24" t="s">
        <v>3340</v>
      </c>
      <c r="D2754" s="24">
        <v>2290</v>
      </c>
    </row>
    <row r="2755" spans="1:4" x14ac:dyDescent="0.25">
      <c r="A2755" s="24">
        <v>1165</v>
      </c>
      <c r="B2755" s="24">
        <v>858862</v>
      </c>
      <c r="C2755" s="24" t="s">
        <v>3341</v>
      </c>
      <c r="D2755" s="24">
        <v>2291</v>
      </c>
    </row>
    <row r="2756" spans="1:4" x14ac:dyDescent="0.25">
      <c r="A2756" s="24">
        <v>572</v>
      </c>
      <c r="B2756" s="24">
        <v>858889</v>
      </c>
      <c r="C2756" s="24" t="s">
        <v>3343</v>
      </c>
      <c r="D2756" s="24">
        <v>2292</v>
      </c>
    </row>
    <row r="2757" spans="1:4" x14ac:dyDescent="0.25">
      <c r="A2757" s="24">
        <v>2915</v>
      </c>
      <c r="B2757" s="24">
        <v>858935</v>
      </c>
      <c r="C2757" s="24" t="s">
        <v>3345</v>
      </c>
      <c r="D2757" s="24">
        <v>2293</v>
      </c>
    </row>
    <row r="2758" spans="1:4" x14ac:dyDescent="0.25">
      <c r="A2758" s="24">
        <v>1850</v>
      </c>
      <c r="B2758" s="24">
        <v>858943</v>
      </c>
      <c r="C2758" s="24" t="s">
        <v>3346</v>
      </c>
      <c r="D2758" s="24">
        <v>2294</v>
      </c>
    </row>
    <row r="2759" spans="1:4" x14ac:dyDescent="0.25">
      <c r="A2759" s="24">
        <v>1054</v>
      </c>
      <c r="B2759" s="24">
        <v>858978</v>
      </c>
      <c r="C2759" s="24" t="s">
        <v>3348</v>
      </c>
      <c r="D2759" s="24">
        <v>2295</v>
      </c>
    </row>
    <row r="2760" spans="1:4" x14ac:dyDescent="0.25">
      <c r="A2760" s="24">
        <v>2132</v>
      </c>
      <c r="B2760" s="24">
        <v>859001</v>
      </c>
      <c r="C2760" s="24" t="s">
        <v>3349</v>
      </c>
      <c r="D2760" s="24">
        <v>2296</v>
      </c>
    </row>
    <row r="2761" spans="1:4" x14ac:dyDescent="0.25">
      <c r="A2761" s="24">
        <v>1330</v>
      </c>
      <c r="B2761" s="24">
        <v>859028</v>
      </c>
      <c r="C2761" s="24" t="s">
        <v>3350</v>
      </c>
      <c r="D2761" s="24">
        <v>2297</v>
      </c>
    </row>
    <row r="2762" spans="1:4" x14ac:dyDescent="0.25">
      <c r="A2762" s="24">
        <v>2005</v>
      </c>
      <c r="B2762" s="24">
        <v>859052</v>
      </c>
      <c r="C2762" s="24" t="s">
        <v>3352</v>
      </c>
      <c r="D2762" s="24">
        <v>2298</v>
      </c>
    </row>
    <row r="2763" spans="1:4" x14ac:dyDescent="0.25">
      <c r="A2763" s="24">
        <v>354</v>
      </c>
      <c r="B2763" s="24">
        <v>859061</v>
      </c>
      <c r="C2763" s="24" t="s">
        <v>3353</v>
      </c>
      <c r="D2763" s="24">
        <v>2299</v>
      </c>
    </row>
    <row r="2764" spans="1:4" x14ac:dyDescent="0.25">
      <c r="A2764" s="24">
        <v>685</v>
      </c>
      <c r="B2764" s="24">
        <v>859079</v>
      </c>
      <c r="C2764" s="24" t="s">
        <v>3354</v>
      </c>
      <c r="D2764" s="24">
        <v>2300</v>
      </c>
    </row>
    <row r="2765" spans="1:4" x14ac:dyDescent="0.25">
      <c r="A2765" s="24">
        <v>3316</v>
      </c>
      <c r="B2765" s="24">
        <v>859095</v>
      </c>
      <c r="C2765" s="24" t="s">
        <v>3355</v>
      </c>
      <c r="D2765" s="24">
        <v>2301</v>
      </c>
    </row>
    <row r="2766" spans="1:4" x14ac:dyDescent="0.25">
      <c r="A2766" s="24">
        <v>401</v>
      </c>
      <c r="B2766" s="24">
        <v>859117</v>
      </c>
      <c r="C2766" s="24" t="s">
        <v>3356</v>
      </c>
      <c r="D2766" s="24">
        <v>2302</v>
      </c>
    </row>
    <row r="2767" spans="1:4" x14ac:dyDescent="0.25">
      <c r="A2767" s="24">
        <v>3412</v>
      </c>
      <c r="B2767" s="24">
        <v>859125</v>
      </c>
      <c r="C2767" s="24" t="s">
        <v>3357</v>
      </c>
      <c r="D2767" s="24">
        <v>2303</v>
      </c>
    </row>
    <row r="2768" spans="1:4" x14ac:dyDescent="0.25">
      <c r="A2768" s="24">
        <v>1951</v>
      </c>
      <c r="B2768" s="24">
        <v>859133</v>
      </c>
      <c r="C2768" s="24" t="s">
        <v>3358</v>
      </c>
      <c r="D2768" s="24">
        <v>2304</v>
      </c>
    </row>
    <row r="2769" spans="1:4" x14ac:dyDescent="0.25">
      <c r="A2769" s="24">
        <v>1969</v>
      </c>
      <c r="B2769" s="24">
        <v>859249</v>
      </c>
      <c r="C2769" s="24" t="s">
        <v>3359</v>
      </c>
      <c r="D2769" s="24">
        <v>2304</v>
      </c>
    </row>
    <row r="2770" spans="1:4" x14ac:dyDescent="0.25">
      <c r="A2770" s="24">
        <v>862</v>
      </c>
      <c r="B2770" s="24">
        <v>859281</v>
      </c>
      <c r="C2770" s="24" t="s">
        <v>3360</v>
      </c>
      <c r="D2770" s="24">
        <v>2305</v>
      </c>
    </row>
    <row r="2771" spans="1:4" x14ac:dyDescent="0.25">
      <c r="A2771" s="24">
        <v>110</v>
      </c>
      <c r="B2771" s="24">
        <v>859290</v>
      </c>
      <c r="C2771" s="24" t="s">
        <v>3361</v>
      </c>
      <c r="D2771" s="24">
        <v>2306</v>
      </c>
    </row>
    <row r="2772" spans="1:4" x14ac:dyDescent="0.25">
      <c r="A2772" s="24">
        <v>2687</v>
      </c>
      <c r="B2772" s="24">
        <v>859303</v>
      </c>
      <c r="C2772" s="24" t="s">
        <v>3362</v>
      </c>
      <c r="D2772" s="24">
        <v>2307</v>
      </c>
    </row>
    <row r="2773" spans="1:4" x14ac:dyDescent="0.25">
      <c r="A2773" s="24">
        <v>747</v>
      </c>
      <c r="B2773" s="24">
        <v>859311</v>
      </c>
      <c r="C2773" s="24" t="s">
        <v>3363</v>
      </c>
      <c r="D2773" s="24">
        <v>2308</v>
      </c>
    </row>
    <row r="2774" spans="1:4" x14ac:dyDescent="0.25">
      <c r="A2774" s="24">
        <v>82</v>
      </c>
      <c r="B2774" s="24">
        <v>859346</v>
      </c>
      <c r="C2774" s="24" t="s">
        <v>3366</v>
      </c>
      <c r="D2774" s="24">
        <v>2309</v>
      </c>
    </row>
    <row r="2775" spans="1:4" x14ac:dyDescent="0.25">
      <c r="A2775" s="24">
        <v>346</v>
      </c>
      <c r="B2775" s="24">
        <v>859320</v>
      </c>
      <c r="C2775" s="24" t="s">
        <v>3364</v>
      </c>
      <c r="D2775" s="24">
        <v>2309</v>
      </c>
    </row>
    <row r="2776" spans="1:4" x14ac:dyDescent="0.25">
      <c r="A2776" s="24">
        <v>735</v>
      </c>
      <c r="B2776" s="24">
        <v>871818</v>
      </c>
      <c r="C2776" s="24" t="s">
        <v>3951</v>
      </c>
      <c r="D2776" s="24">
        <v>2309</v>
      </c>
    </row>
    <row r="2777" spans="1:4" x14ac:dyDescent="0.25">
      <c r="A2777" s="24">
        <v>759</v>
      </c>
      <c r="B2777" s="24">
        <v>859354</v>
      </c>
      <c r="C2777" s="24" t="s">
        <v>3367</v>
      </c>
      <c r="D2777" s="24">
        <v>2309</v>
      </c>
    </row>
    <row r="2778" spans="1:4" x14ac:dyDescent="0.25">
      <c r="A2778" s="24">
        <v>2178</v>
      </c>
      <c r="B2778" s="24">
        <v>859338</v>
      </c>
      <c r="C2778" s="24" t="s">
        <v>3365</v>
      </c>
      <c r="D2778" s="24">
        <v>2309</v>
      </c>
    </row>
    <row r="2779" spans="1:4" x14ac:dyDescent="0.25">
      <c r="A2779" s="24">
        <v>3322</v>
      </c>
      <c r="B2779" s="24">
        <v>871800</v>
      </c>
      <c r="C2779" s="24" t="s">
        <v>3950</v>
      </c>
      <c r="D2779" s="24">
        <v>2309</v>
      </c>
    </row>
    <row r="2780" spans="1:4" x14ac:dyDescent="0.25">
      <c r="A2780" s="24">
        <v>2886</v>
      </c>
      <c r="B2780" s="24">
        <v>859362</v>
      </c>
      <c r="C2780" s="24" t="s">
        <v>3368</v>
      </c>
      <c r="D2780" s="24">
        <v>2310</v>
      </c>
    </row>
    <row r="2781" spans="1:4" x14ac:dyDescent="0.25">
      <c r="A2781" s="24">
        <v>1699</v>
      </c>
      <c r="B2781" s="24">
        <v>859371</v>
      </c>
      <c r="C2781" s="24" t="s">
        <v>3369</v>
      </c>
      <c r="D2781" s="24">
        <v>2311</v>
      </c>
    </row>
    <row r="2782" spans="1:4" x14ac:dyDescent="0.25">
      <c r="A2782" s="24">
        <v>741</v>
      </c>
      <c r="B2782" s="24">
        <v>859389</v>
      </c>
      <c r="C2782" s="24" t="s">
        <v>3370</v>
      </c>
      <c r="D2782" s="24">
        <v>2312</v>
      </c>
    </row>
    <row r="2783" spans="1:4" x14ac:dyDescent="0.25">
      <c r="A2783" s="24">
        <v>2278</v>
      </c>
      <c r="B2783" s="24">
        <v>859397</v>
      </c>
      <c r="C2783" s="24" t="s">
        <v>3371</v>
      </c>
      <c r="D2783" s="24">
        <v>2313</v>
      </c>
    </row>
    <row r="2784" spans="1:4" x14ac:dyDescent="0.25">
      <c r="A2784" s="24">
        <v>1063</v>
      </c>
      <c r="B2784" s="24">
        <v>854727</v>
      </c>
      <c r="C2784" s="24" t="s">
        <v>3169</v>
      </c>
      <c r="D2784" s="24">
        <v>2314</v>
      </c>
    </row>
    <row r="2785" spans="1:4" x14ac:dyDescent="0.25">
      <c r="A2785" s="24">
        <v>1424</v>
      </c>
      <c r="B2785" s="24">
        <v>859401</v>
      </c>
      <c r="C2785" s="24" t="s">
        <v>3372</v>
      </c>
      <c r="D2785" s="24">
        <v>2315</v>
      </c>
    </row>
    <row r="2786" spans="1:4" x14ac:dyDescent="0.25">
      <c r="A2786" s="24">
        <v>3262</v>
      </c>
      <c r="B2786" s="24">
        <v>859435</v>
      </c>
      <c r="C2786" s="24" t="s">
        <v>3373</v>
      </c>
      <c r="D2786" s="24">
        <v>2316</v>
      </c>
    </row>
    <row r="2787" spans="1:4" x14ac:dyDescent="0.25">
      <c r="A2787" s="24">
        <v>1030</v>
      </c>
      <c r="B2787" s="24">
        <v>859478</v>
      </c>
      <c r="C2787" s="24" t="s">
        <v>3374</v>
      </c>
      <c r="D2787" s="24">
        <v>2317</v>
      </c>
    </row>
    <row r="2788" spans="1:4" x14ac:dyDescent="0.25">
      <c r="A2788" s="24">
        <v>917</v>
      </c>
      <c r="B2788" s="24">
        <v>859494</v>
      </c>
      <c r="C2788" s="24" t="s">
        <v>3375</v>
      </c>
      <c r="D2788" s="24">
        <v>2318</v>
      </c>
    </row>
    <row r="2789" spans="1:4" x14ac:dyDescent="0.25">
      <c r="A2789" s="24">
        <v>2217</v>
      </c>
      <c r="B2789" s="24">
        <v>859508</v>
      </c>
      <c r="C2789" s="24" t="s">
        <v>3376</v>
      </c>
      <c r="D2789" s="24">
        <v>2319</v>
      </c>
    </row>
    <row r="2790" spans="1:4" x14ac:dyDescent="0.25">
      <c r="A2790" s="24">
        <v>3138</v>
      </c>
      <c r="B2790" s="24">
        <v>859524</v>
      </c>
      <c r="C2790" s="24" t="s">
        <v>3377</v>
      </c>
      <c r="D2790" s="24">
        <v>2320</v>
      </c>
    </row>
    <row r="2791" spans="1:4" x14ac:dyDescent="0.25">
      <c r="A2791" s="24">
        <v>79</v>
      </c>
      <c r="B2791" s="24">
        <v>859532</v>
      </c>
      <c r="C2791" s="24" t="s">
        <v>3378</v>
      </c>
      <c r="D2791" s="24">
        <v>2321</v>
      </c>
    </row>
    <row r="2792" spans="1:4" x14ac:dyDescent="0.25">
      <c r="A2792" s="24">
        <v>2252</v>
      </c>
      <c r="B2792" s="24">
        <v>859541</v>
      </c>
      <c r="C2792" s="24" t="s">
        <v>3379</v>
      </c>
      <c r="D2792" s="24">
        <v>2322</v>
      </c>
    </row>
    <row r="2793" spans="1:4" x14ac:dyDescent="0.25">
      <c r="A2793" s="24">
        <v>3474</v>
      </c>
      <c r="B2793" s="24">
        <v>859559</v>
      </c>
      <c r="C2793" s="24" t="s">
        <v>3380</v>
      </c>
      <c r="D2793" s="24">
        <v>2322</v>
      </c>
    </row>
    <row r="2794" spans="1:4" x14ac:dyDescent="0.25">
      <c r="A2794" s="24">
        <v>737</v>
      </c>
      <c r="B2794" s="24">
        <v>859583</v>
      </c>
      <c r="C2794" s="24" t="s">
        <v>3381</v>
      </c>
      <c r="D2794" s="24">
        <v>2323</v>
      </c>
    </row>
    <row r="2795" spans="1:4" x14ac:dyDescent="0.25">
      <c r="A2795" s="24">
        <v>1571</v>
      </c>
      <c r="B2795" s="24">
        <v>859591</v>
      </c>
      <c r="C2795" s="24" t="s">
        <v>3382</v>
      </c>
      <c r="D2795" s="24">
        <v>2324</v>
      </c>
    </row>
    <row r="2796" spans="1:4" x14ac:dyDescent="0.25">
      <c r="A2796" s="24">
        <v>193</v>
      </c>
      <c r="B2796" s="24">
        <v>859613</v>
      </c>
      <c r="C2796" s="24" t="s">
        <v>3383</v>
      </c>
      <c r="D2796" s="24">
        <v>2325</v>
      </c>
    </row>
    <row r="2797" spans="1:4" x14ac:dyDescent="0.25">
      <c r="A2797" s="24">
        <v>1160</v>
      </c>
      <c r="B2797" s="24">
        <v>859621</v>
      </c>
      <c r="C2797" s="24" t="s">
        <v>3384</v>
      </c>
      <c r="D2797" s="24">
        <v>2326</v>
      </c>
    </row>
    <row r="2798" spans="1:4" x14ac:dyDescent="0.25">
      <c r="A2798" s="24">
        <v>184</v>
      </c>
      <c r="B2798" s="24">
        <v>803332</v>
      </c>
      <c r="C2798" s="24" t="s">
        <v>886</v>
      </c>
      <c r="D2798" s="24">
        <v>2327</v>
      </c>
    </row>
    <row r="2799" spans="1:4" x14ac:dyDescent="0.25">
      <c r="A2799" s="24">
        <v>2163</v>
      </c>
      <c r="B2799" s="24">
        <v>875376</v>
      </c>
      <c r="C2799" s="24" t="s">
        <v>4088</v>
      </c>
      <c r="D2799" s="24">
        <v>2327</v>
      </c>
    </row>
    <row r="2800" spans="1:4" x14ac:dyDescent="0.25">
      <c r="A2800" s="24">
        <v>559</v>
      </c>
      <c r="B2800" s="24">
        <v>859630</v>
      </c>
      <c r="C2800" s="24" t="s">
        <v>3385</v>
      </c>
      <c r="D2800" s="24">
        <v>2328</v>
      </c>
    </row>
    <row r="2801" spans="1:4" x14ac:dyDescent="0.25">
      <c r="A2801" s="24">
        <v>1075</v>
      </c>
      <c r="B2801" s="24">
        <v>859648</v>
      </c>
      <c r="C2801" s="24" t="s">
        <v>3386</v>
      </c>
      <c r="D2801" s="24">
        <v>2329</v>
      </c>
    </row>
    <row r="2802" spans="1:4" x14ac:dyDescent="0.25">
      <c r="A2802" s="24">
        <v>714</v>
      </c>
      <c r="B2802" s="24">
        <v>846902</v>
      </c>
      <c r="C2802" s="24" t="s">
        <v>2847</v>
      </c>
      <c r="D2802" s="24">
        <v>2330</v>
      </c>
    </row>
    <row r="2803" spans="1:4" x14ac:dyDescent="0.25">
      <c r="A2803" s="24">
        <v>2083</v>
      </c>
      <c r="B2803" s="24">
        <v>800210</v>
      </c>
      <c r="C2803" s="24" t="s">
        <v>740</v>
      </c>
      <c r="D2803" s="24">
        <v>2331</v>
      </c>
    </row>
    <row r="2804" spans="1:4" x14ac:dyDescent="0.25">
      <c r="A2804" s="24">
        <v>3427</v>
      </c>
      <c r="B2804" s="24">
        <v>822884</v>
      </c>
      <c r="C2804" s="24" t="s">
        <v>1790</v>
      </c>
      <c r="D2804" s="24">
        <v>2332</v>
      </c>
    </row>
    <row r="2805" spans="1:4" x14ac:dyDescent="0.25">
      <c r="A2805" s="24">
        <v>2791</v>
      </c>
      <c r="B2805" s="24">
        <v>822892</v>
      </c>
      <c r="C2805" s="24" t="s">
        <v>1791</v>
      </c>
      <c r="D2805" s="24">
        <v>2332</v>
      </c>
    </row>
    <row r="2806" spans="1:4" x14ac:dyDescent="0.25">
      <c r="A2806" s="24">
        <v>1098</v>
      </c>
      <c r="B2806" s="24">
        <v>859656</v>
      </c>
      <c r="C2806" s="24" t="s">
        <v>3387</v>
      </c>
      <c r="D2806" s="24">
        <v>2333</v>
      </c>
    </row>
    <row r="2807" spans="1:4" x14ac:dyDescent="0.25">
      <c r="A2807" s="24">
        <v>1409</v>
      </c>
      <c r="B2807" s="24">
        <v>812536</v>
      </c>
      <c r="C2807" s="24" t="s">
        <v>1259</v>
      </c>
      <c r="D2807" s="24">
        <v>2334</v>
      </c>
    </row>
    <row r="2808" spans="1:4" x14ac:dyDescent="0.25">
      <c r="A2808" s="24">
        <v>442</v>
      </c>
      <c r="B2808" s="24">
        <v>859681</v>
      </c>
      <c r="C2808" s="24" t="s">
        <v>3388</v>
      </c>
      <c r="D2808" s="24">
        <v>2335</v>
      </c>
    </row>
    <row r="2809" spans="1:4" x14ac:dyDescent="0.25">
      <c r="A2809" s="24">
        <v>2140</v>
      </c>
      <c r="B2809" s="24">
        <v>859702</v>
      </c>
      <c r="C2809" s="24" t="s">
        <v>3389</v>
      </c>
      <c r="D2809" s="24">
        <v>2336</v>
      </c>
    </row>
    <row r="2810" spans="1:4" x14ac:dyDescent="0.25">
      <c r="A2810" s="24">
        <v>2111</v>
      </c>
      <c r="B2810" s="24">
        <v>859711</v>
      </c>
      <c r="C2810" s="24" t="s">
        <v>3390</v>
      </c>
      <c r="D2810" s="24">
        <v>2337</v>
      </c>
    </row>
    <row r="2811" spans="1:4" x14ac:dyDescent="0.25">
      <c r="A2811" s="24">
        <v>1953</v>
      </c>
      <c r="B2811" s="24">
        <v>859729</v>
      </c>
      <c r="C2811" s="24" t="s">
        <v>3391</v>
      </c>
      <c r="D2811" s="24">
        <v>2338</v>
      </c>
    </row>
    <row r="2812" spans="1:4" x14ac:dyDescent="0.25">
      <c r="A2812" s="24">
        <v>2562</v>
      </c>
      <c r="B2812" s="24">
        <v>859737</v>
      </c>
      <c r="C2812" s="24" t="s">
        <v>3392</v>
      </c>
      <c r="D2812" s="24">
        <v>2339</v>
      </c>
    </row>
    <row r="2813" spans="1:4" x14ac:dyDescent="0.25">
      <c r="A2813" s="24">
        <v>1053</v>
      </c>
      <c r="B2813" s="24">
        <v>859745</v>
      </c>
      <c r="C2813" s="24" t="s">
        <v>3393</v>
      </c>
      <c r="D2813" s="24">
        <v>2340</v>
      </c>
    </row>
    <row r="2814" spans="1:4" x14ac:dyDescent="0.25">
      <c r="A2814" s="24">
        <v>3014</v>
      </c>
      <c r="B2814" s="24">
        <v>859851</v>
      </c>
      <c r="C2814" s="24" t="s">
        <v>3394</v>
      </c>
      <c r="D2814" s="24">
        <v>2341</v>
      </c>
    </row>
    <row r="2815" spans="1:4" x14ac:dyDescent="0.25">
      <c r="A2815" s="24">
        <v>3278</v>
      </c>
      <c r="B2815" s="24">
        <v>859877</v>
      </c>
      <c r="C2815" s="24" t="s">
        <v>3395</v>
      </c>
      <c r="D2815" s="24">
        <v>2342</v>
      </c>
    </row>
    <row r="2816" spans="1:4" x14ac:dyDescent="0.25">
      <c r="A2816" s="24">
        <v>1549</v>
      </c>
      <c r="B2816" s="24">
        <v>859885</v>
      </c>
      <c r="C2816" s="24" t="s">
        <v>3396</v>
      </c>
      <c r="D2816" s="24">
        <v>2343</v>
      </c>
    </row>
    <row r="2817" spans="1:4" x14ac:dyDescent="0.25">
      <c r="A2817" s="24">
        <v>1486</v>
      </c>
      <c r="B2817" s="24">
        <v>859907</v>
      </c>
      <c r="C2817" s="24" t="s">
        <v>3397</v>
      </c>
      <c r="D2817" s="24">
        <v>2344</v>
      </c>
    </row>
    <row r="2818" spans="1:4" x14ac:dyDescent="0.25">
      <c r="A2818" s="24">
        <v>2048</v>
      </c>
      <c r="B2818" s="24">
        <v>859923</v>
      </c>
      <c r="C2818" s="24" t="s">
        <v>3398</v>
      </c>
      <c r="D2818" s="24">
        <v>2345</v>
      </c>
    </row>
    <row r="2819" spans="1:4" x14ac:dyDescent="0.25">
      <c r="A2819" s="24">
        <v>1604</v>
      </c>
      <c r="B2819" s="24">
        <v>859940</v>
      </c>
      <c r="C2819" s="24" t="s">
        <v>3399</v>
      </c>
      <c r="D2819" s="24">
        <v>2346</v>
      </c>
    </row>
    <row r="2820" spans="1:4" x14ac:dyDescent="0.25">
      <c r="A2820" s="24">
        <v>1815</v>
      </c>
      <c r="B2820" s="24">
        <v>879720</v>
      </c>
      <c r="C2820" s="24" t="s">
        <v>4096</v>
      </c>
      <c r="D2820" s="24">
        <v>2346</v>
      </c>
    </row>
    <row r="2821" spans="1:4" x14ac:dyDescent="0.25">
      <c r="A2821" s="24">
        <v>1893</v>
      </c>
      <c r="B2821" s="24">
        <v>859974</v>
      </c>
      <c r="C2821" s="24" t="s">
        <v>3401</v>
      </c>
      <c r="D2821" s="24">
        <v>2347</v>
      </c>
    </row>
    <row r="2822" spans="1:4" x14ac:dyDescent="0.25">
      <c r="A2822" s="24">
        <v>884</v>
      </c>
      <c r="B2822" s="24">
        <v>860018</v>
      </c>
      <c r="C2822" s="24" t="s">
        <v>3402</v>
      </c>
      <c r="D2822" s="24">
        <v>2348</v>
      </c>
    </row>
    <row r="2823" spans="1:4" x14ac:dyDescent="0.25">
      <c r="A2823" s="24">
        <v>2462</v>
      </c>
      <c r="B2823" s="24">
        <v>863165</v>
      </c>
      <c r="C2823" s="24" t="s">
        <v>3538</v>
      </c>
      <c r="D2823" s="24">
        <v>2349</v>
      </c>
    </row>
    <row r="2824" spans="1:4" x14ac:dyDescent="0.25">
      <c r="A2824" s="24">
        <v>2133</v>
      </c>
      <c r="B2824" s="24">
        <v>849472</v>
      </c>
      <c r="C2824" s="24" t="s">
        <v>2955</v>
      </c>
      <c r="D2824" s="24">
        <v>2349</v>
      </c>
    </row>
    <row r="2825" spans="1:4" x14ac:dyDescent="0.25">
      <c r="A2825" s="24">
        <v>3498</v>
      </c>
      <c r="B2825" s="24">
        <v>860158</v>
      </c>
      <c r="C2825" s="24" t="s">
        <v>3405</v>
      </c>
      <c r="D2825" s="24">
        <v>2349</v>
      </c>
    </row>
    <row r="2826" spans="1:4" x14ac:dyDescent="0.25">
      <c r="A2826" s="24">
        <v>554</v>
      </c>
      <c r="B2826" s="24">
        <v>860174</v>
      </c>
      <c r="C2826" s="24" t="s">
        <v>3406</v>
      </c>
      <c r="D2826" s="24">
        <v>2350</v>
      </c>
    </row>
    <row r="2827" spans="1:4" x14ac:dyDescent="0.25">
      <c r="A2827" s="24">
        <v>1734</v>
      </c>
      <c r="B2827" s="24">
        <v>860182</v>
      </c>
      <c r="C2827" s="24" t="s">
        <v>3407</v>
      </c>
      <c r="D2827" s="24">
        <v>2351</v>
      </c>
    </row>
    <row r="2828" spans="1:4" x14ac:dyDescent="0.25">
      <c r="A2828" s="24">
        <v>2447</v>
      </c>
      <c r="B2828" s="24">
        <v>860301</v>
      </c>
      <c r="C2828" s="24" t="s">
        <v>3408</v>
      </c>
      <c r="D2828" s="24">
        <v>2352</v>
      </c>
    </row>
    <row r="2829" spans="1:4" x14ac:dyDescent="0.25">
      <c r="A2829" s="24">
        <v>1545</v>
      </c>
      <c r="B2829" s="24">
        <v>860310</v>
      </c>
      <c r="C2829" s="24" t="s">
        <v>3409</v>
      </c>
      <c r="D2829" s="24">
        <v>2353</v>
      </c>
    </row>
    <row r="2830" spans="1:4" x14ac:dyDescent="0.25">
      <c r="A2830" s="24">
        <v>1484</v>
      </c>
      <c r="B2830" s="24">
        <v>860344</v>
      </c>
      <c r="C2830" s="24" t="s">
        <v>3411</v>
      </c>
      <c r="D2830" s="24">
        <v>2354</v>
      </c>
    </row>
    <row r="2831" spans="1:4" x14ac:dyDescent="0.25">
      <c r="A2831" s="24">
        <v>1279</v>
      </c>
      <c r="B2831" s="24">
        <v>860361</v>
      </c>
      <c r="C2831" s="24" t="s">
        <v>3412</v>
      </c>
      <c r="D2831" s="24">
        <v>2355</v>
      </c>
    </row>
    <row r="2832" spans="1:4" x14ac:dyDescent="0.25">
      <c r="A2832" s="24">
        <v>240</v>
      </c>
      <c r="B2832" s="24">
        <v>837717</v>
      </c>
      <c r="C2832" s="24" t="s">
        <v>2464</v>
      </c>
      <c r="D2832" s="24">
        <v>2356</v>
      </c>
    </row>
    <row r="2833" spans="1:4" x14ac:dyDescent="0.25">
      <c r="A2833" s="24">
        <v>1070</v>
      </c>
      <c r="B2833" s="24">
        <v>860379</v>
      </c>
      <c r="C2833" s="24" t="s">
        <v>3413</v>
      </c>
      <c r="D2833" s="24">
        <v>2356</v>
      </c>
    </row>
    <row r="2834" spans="1:4" x14ac:dyDescent="0.25">
      <c r="A2834" s="24">
        <v>1661</v>
      </c>
      <c r="B2834" s="24">
        <v>860387</v>
      </c>
      <c r="C2834" s="24" t="s">
        <v>3414</v>
      </c>
      <c r="D2834" s="24">
        <v>2356</v>
      </c>
    </row>
    <row r="2835" spans="1:4" x14ac:dyDescent="0.25">
      <c r="A2835" s="24">
        <v>2099</v>
      </c>
      <c r="B2835" s="24">
        <v>837709</v>
      </c>
      <c r="C2835" s="24" t="s">
        <v>2463</v>
      </c>
      <c r="D2835" s="24">
        <v>2356</v>
      </c>
    </row>
    <row r="2836" spans="1:4" x14ac:dyDescent="0.25">
      <c r="A2836" s="24">
        <v>3055</v>
      </c>
      <c r="B2836" s="24">
        <v>837725</v>
      </c>
      <c r="C2836" s="24" t="s">
        <v>2465</v>
      </c>
      <c r="D2836" s="24">
        <v>2356</v>
      </c>
    </row>
    <row r="2837" spans="1:4" x14ac:dyDescent="0.25">
      <c r="A2837" s="24">
        <v>755</v>
      </c>
      <c r="B2837" s="24">
        <v>860417</v>
      </c>
      <c r="C2837" s="24" t="s">
        <v>3415</v>
      </c>
      <c r="D2837" s="24">
        <v>2357</v>
      </c>
    </row>
    <row r="2838" spans="1:4" x14ac:dyDescent="0.25">
      <c r="A2838" s="24">
        <v>2881</v>
      </c>
      <c r="B2838" s="24">
        <v>860433</v>
      </c>
      <c r="C2838" s="24" t="s">
        <v>3416</v>
      </c>
      <c r="D2838" s="24">
        <v>2358</v>
      </c>
    </row>
    <row r="2839" spans="1:4" x14ac:dyDescent="0.25">
      <c r="A2839" s="24">
        <v>77</v>
      </c>
      <c r="B2839" s="24">
        <v>860441</v>
      </c>
      <c r="C2839" s="24" t="s">
        <v>3417</v>
      </c>
      <c r="D2839" s="24">
        <v>2359</v>
      </c>
    </row>
    <row r="2840" spans="1:4" x14ac:dyDescent="0.25">
      <c r="A2840" s="24">
        <v>970</v>
      </c>
      <c r="B2840" s="24">
        <v>860476</v>
      </c>
      <c r="C2840" s="24" t="s">
        <v>3419</v>
      </c>
      <c r="D2840" s="24">
        <v>2360</v>
      </c>
    </row>
    <row r="2841" spans="1:4" x14ac:dyDescent="0.25">
      <c r="A2841" s="24">
        <v>510</v>
      </c>
      <c r="B2841" s="24">
        <v>860484</v>
      </c>
      <c r="C2841" s="24" t="s">
        <v>3420</v>
      </c>
      <c r="D2841" s="24">
        <v>2361</v>
      </c>
    </row>
    <row r="2842" spans="1:4" x14ac:dyDescent="0.25">
      <c r="A2842" s="24">
        <v>3470</v>
      </c>
      <c r="B2842" s="24">
        <v>860492</v>
      </c>
      <c r="C2842" s="24" t="s">
        <v>3421</v>
      </c>
      <c r="D2842" s="24">
        <v>2362</v>
      </c>
    </row>
    <row r="2843" spans="1:4" x14ac:dyDescent="0.25">
      <c r="A2843" s="24">
        <v>2919</v>
      </c>
      <c r="B2843" s="24">
        <v>860506</v>
      </c>
      <c r="C2843" s="24" t="s">
        <v>3422</v>
      </c>
      <c r="D2843" s="24">
        <v>2363</v>
      </c>
    </row>
    <row r="2844" spans="1:4" x14ac:dyDescent="0.25">
      <c r="A2844" s="24">
        <v>3334</v>
      </c>
      <c r="B2844" s="24">
        <v>860514</v>
      </c>
      <c r="C2844" s="24" t="s">
        <v>3423</v>
      </c>
      <c r="D2844" s="24">
        <v>2364</v>
      </c>
    </row>
    <row r="2845" spans="1:4" x14ac:dyDescent="0.25">
      <c r="A2845" s="24">
        <v>3352</v>
      </c>
      <c r="B2845" s="24">
        <v>860522</v>
      </c>
      <c r="C2845" s="24" t="s">
        <v>3424</v>
      </c>
      <c r="D2845" s="24">
        <v>2365</v>
      </c>
    </row>
    <row r="2846" spans="1:4" x14ac:dyDescent="0.25">
      <c r="A2846" s="24">
        <v>2360</v>
      </c>
      <c r="B2846" s="24">
        <v>860557</v>
      </c>
      <c r="C2846" s="24" t="s">
        <v>3426</v>
      </c>
      <c r="D2846" s="24">
        <v>2366</v>
      </c>
    </row>
    <row r="2847" spans="1:4" x14ac:dyDescent="0.25">
      <c r="A2847" s="24">
        <v>1390</v>
      </c>
      <c r="B2847" s="24">
        <v>860565</v>
      </c>
      <c r="C2847" s="24" t="s">
        <v>3427</v>
      </c>
      <c r="D2847" s="24">
        <v>2367</v>
      </c>
    </row>
    <row r="2848" spans="1:4" x14ac:dyDescent="0.25">
      <c r="A2848" s="24">
        <v>2549</v>
      </c>
      <c r="B2848" s="24">
        <v>860573</v>
      </c>
      <c r="C2848" s="24" t="s">
        <v>3428</v>
      </c>
      <c r="D2848" s="24">
        <v>2368</v>
      </c>
    </row>
    <row r="2849" spans="1:4" x14ac:dyDescent="0.25">
      <c r="A2849" s="24">
        <v>2162</v>
      </c>
      <c r="B2849" s="24">
        <v>810711</v>
      </c>
      <c r="C2849" s="24" t="s">
        <v>1174</v>
      </c>
      <c r="D2849" s="24">
        <v>2369</v>
      </c>
    </row>
    <row r="2850" spans="1:4" x14ac:dyDescent="0.25">
      <c r="A2850" s="24">
        <v>1826</v>
      </c>
      <c r="B2850" s="24">
        <v>860581</v>
      </c>
      <c r="C2850" s="24" t="s">
        <v>3429</v>
      </c>
      <c r="D2850" s="24">
        <v>2369</v>
      </c>
    </row>
    <row r="2851" spans="1:4" x14ac:dyDescent="0.25">
      <c r="A2851" s="24">
        <v>1104</v>
      </c>
      <c r="B2851" s="24">
        <v>860620</v>
      </c>
      <c r="C2851" s="24" t="s">
        <v>3432</v>
      </c>
      <c r="D2851" s="24">
        <v>2370</v>
      </c>
    </row>
    <row r="2852" spans="1:4" x14ac:dyDescent="0.25">
      <c r="A2852" s="24">
        <v>1336</v>
      </c>
      <c r="B2852" s="24">
        <v>860611</v>
      </c>
      <c r="C2852" s="24" t="s">
        <v>3431</v>
      </c>
      <c r="D2852" s="24">
        <v>2370</v>
      </c>
    </row>
    <row r="2853" spans="1:4" x14ac:dyDescent="0.25">
      <c r="A2853" s="24">
        <v>3355</v>
      </c>
      <c r="B2853" s="24">
        <v>860603</v>
      </c>
      <c r="C2853" s="24" t="s">
        <v>3430</v>
      </c>
      <c r="D2853" s="24">
        <v>2370</v>
      </c>
    </row>
    <row r="2854" spans="1:4" x14ac:dyDescent="0.25">
      <c r="A2854" s="24">
        <v>952</v>
      </c>
      <c r="B2854" s="24">
        <v>860638</v>
      </c>
      <c r="C2854" s="24" t="s">
        <v>3433</v>
      </c>
      <c r="D2854" s="24">
        <v>2371</v>
      </c>
    </row>
    <row r="2855" spans="1:4" x14ac:dyDescent="0.25">
      <c r="A2855" s="24">
        <v>1946</v>
      </c>
      <c r="B2855" s="24">
        <v>860689</v>
      </c>
      <c r="C2855" s="24" t="s">
        <v>3436</v>
      </c>
      <c r="D2855" s="24">
        <v>2372</v>
      </c>
    </row>
    <row r="2856" spans="1:4" x14ac:dyDescent="0.25">
      <c r="A2856" s="24">
        <v>3490</v>
      </c>
      <c r="B2856" s="24">
        <v>860671</v>
      </c>
      <c r="C2856" s="24" t="s">
        <v>3435</v>
      </c>
      <c r="D2856" s="24">
        <v>2372</v>
      </c>
    </row>
    <row r="2857" spans="1:4" x14ac:dyDescent="0.25">
      <c r="A2857" s="24">
        <v>3357</v>
      </c>
      <c r="B2857" s="24">
        <v>860697</v>
      </c>
      <c r="C2857" s="24" t="s">
        <v>3437</v>
      </c>
      <c r="D2857" s="24">
        <v>2373</v>
      </c>
    </row>
    <row r="2858" spans="1:4" x14ac:dyDescent="0.25">
      <c r="A2858" s="24">
        <v>1203</v>
      </c>
      <c r="B2858" s="24">
        <v>860735</v>
      </c>
      <c r="C2858" s="24" t="s">
        <v>3440</v>
      </c>
      <c r="D2858" s="24">
        <v>2374</v>
      </c>
    </row>
    <row r="2859" spans="1:4" x14ac:dyDescent="0.25">
      <c r="A2859" s="24">
        <v>2595</v>
      </c>
      <c r="B2859" s="24">
        <v>860743</v>
      </c>
      <c r="C2859" s="24" t="s">
        <v>3441</v>
      </c>
      <c r="D2859" s="24">
        <v>2375</v>
      </c>
    </row>
    <row r="2860" spans="1:4" x14ac:dyDescent="0.25">
      <c r="A2860" s="24">
        <v>180</v>
      </c>
      <c r="B2860" s="24">
        <v>860751</v>
      </c>
      <c r="C2860" s="24" t="s">
        <v>3442</v>
      </c>
      <c r="D2860" s="24">
        <v>2376</v>
      </c>
    </row>
    <row r="2861" spans="1:4" x14ac:dyDescent="0.25">
      <c r="A2861" s="24">
        <v>1371</v>
      </c>
      <c r="B2861" s="24">
        <v>860760</v>
      </c>
      <c r="C2861" s="24" t="s">
        <v>3443</v>
      </c>
      <c r="D2861" s="24">
        <v>2377</v>
      </c>
    </row>
    <row r="2862" spans="1:4" x14ac:dyDescent="0.25">
      <c r="A2862" s="24">
        <v>3097</v>
      </c>
      <c r="B2862" s="24">
        <v>860778</v>
      </c>
      <c r="C2862" s="24" t="s">
        <v>3444</v>
      </c>
      <c r="D2862" s="24">
        <v>2377</v>
      </c>
    </row>
    <row r="2863" spans="1:4" x14ac:dyDescent="0.25">
      <c r="A2863" s="24">
        <v>961</v>
      </c>
      <c r="B2863" s="24">
        <v>860786</v>
      </c>
      <c r="C2863" s="24" t="s">
        <v>3445</v>
      </c>
      <c r="D2863" s="24">
        <v>2378</v>
      </c>
    </row>
    <row r="2864" spans="1:4" x14ac:dyDescent="0.25">
      <c r="A2864" s="24">
        <v>1025</v>
      </c>
      <c r="B2864" s="24">
        <v>860816</v>
      </c>
      <c r="C2864" s="24" t="s">
        <v>3446</v>
      </c>
      <c r="D2864" s="24">
        <v>2379</v>
      </c>
    </row>
    <row r="2865" spans="1:4" x14ac:dyDescent="0.25">
      <c r="A2865" s="24">
        <v>433</v>
      </c>
      <c r="B2865" s="24">
        <v>860824</v>
      </c>
      <c r="C2865" s="24" t="s">
        <v>3447</v>
      </c>
      <c r="D2865" s="24">
        <v>2380</v>
      </c>
    </row>
    <row r="2866" spans="1:4" x14ac:dyDescent="0.25">
      <c r="A2866" s="24">
        <v>3274</v>
      </c>
      <c r="B2866" s="24">
        <v>860832</v>
      </c>
      <c r="C2866" s="24" t="s">
        <v>3448</v>
      </c>
      <c r="D2866" s="24">
        <v>2381</v>
      </c>
    </row>
    <row r="2867" spans="1:4" x14ac:dyDescent="0.25">
      <c r="A2867" s="24">
        <v>655</v>
      </c>
      <c r="B2867" s="24">
        <v>860841</v>
      </c>
      <c r="C2867" s="24" t="s">
        <v>3449</v>
      </c>
      <c r="D2867" s="24">
        <v>2382</v>
      </c>
    </row>
    <row r="2868" spans="1:4" x14ac:dyDescent="0.25">
      <c r="A2868" s="24">
        <v>2902</v>
      </c>
      <c r="B2868" s="24">
        <v>860859</v>
      </c>
      <c r="C2868" s="24" t="s">
        <v>3450</v>
      </c>
      <c r="D2868" s="24">
        <v>2383</v>
      </c>
    </row>
    <row r="2869" spans="1:4" x14ac:dyDescent="0.25">
      <c r="A2869" s="24">
        <v>2040</v>
      </c>
      <c r="B2869" s="24">
        <v>860883</v>
      </c>
      <c r="C2869" s="24" t="s">
        <v>3453</v>
      </c>
      <c r="D2869" s="24">
        <v>2384</v>
      </c>
    </row>
    <row r="2870" spans="1:4" x14ac:dyDescent="0.25">
      <c r="A2870" s="24">
        <v>1159</v>
      </c>
      <c r="B2870" s="24">
        <v>860905</v>
      </c>
      <c r="C2870" s="24" t="s">
        <v>3454</v>
      </c>
      <c r="D2870" s="24">
        <v>2385</v>
      </c>
    </row>
    <row r="2871" spans="1:4" x14ac:dyDescent="0.25">
      <c r="A2871" s="24">
        <v>374</v>
      </c>
      <c r="B2871" s="24">
        <v>860913</v>
      </c>
      <c r="C2871" s="24" t="s">
        <v>3455</v>
      </c>
      <c r="D2871" s="24">
        <v>2386</v>
      </c>
    </row>
    <row r="2872" spans="1:4" x14ac:dyDescent="0.25">
      <c r="A2872" s="24">
        <v>1125</v>
      </c>
      <c r="B2872" s="24">
        <v>860921</v>
      </c>
      <c r="C2872" s="24" t="s">
        <v>3456</v>
      </c>
      <c r="D2872" s="24">
        <v>2387</v>
      </c>
    </row>
    <row r="2873" spans="1:4" x14ac:dyDescent="0.25">
      <c r="A2873" s="24">
        <v>470</v>
      </c>
      <c r="B2873" s="24">
        <v>860948</v>
      </c>
      <c r="C2873" s="24" t="s">
        <v>3457</v>
      </c>
      <c r="D2873" s="24">
        <v>2388</v>
      </c>
    </row>
    <row r="2874" spans="1:4" x14ac:dyDescent="0.25">
      <c r="A2874" s="24">
        <v>1143</v>
      </c>
      <c r="B2874" s="24">
        <v>860972</v>
      </c>
      <c r="C2874" s="24" t="s">
        <v>3458</v>
      </c>
      <c r="D2874" s="24">
        <v>2389</v>
      </c>
    </row>
    <row r="2875" spans="1:4" x14ac:dyDescent="0.25">
      <c r="A2875" s="24">
        <v>451</v>
      </c>
      <c r="B2875" s="24">
        <v>860981</v>
      </c>
      <c r="C2875" s="24" t="s">
        <v>3459</v>
      </c>
      <c r="D2875" s="24">
        <v>2390</v>
      </c>
    </row>
    <row r="2876" spans="1:4" x14ac:dyDescent="0.25">
      <c r="A2876" s="24">
        <v>3465</v>
      </c>
      <c r="B2876" s="24">
        <v>860999</v>
      </c>
      <c r="C2876" s="24" t="s">
        <v>3460</v>
      </c>
      <c r="D2876" s="24">
        <v>2391</v>
      </c>
    </row>
    <row r="2877" spans="1:4" x14ac:dyDescent="0.25">
      <c r="A2877" s="24">
        <v>2148</v>
      </c>
      <c r="B2877" s="24">
        <v>861006</v>
      </c>
      <c r="C2877" s="24" t="s">
        <v>3461</v>
      </c>
      <c r="D2877" s="24">
        <v>2392</v>
      </c>
    </row>
    <row r="2878" spans="1:4" x14ac:dyDescent="0.25">
      <c r="A2878" s="24">
        <v>579</v>
      </c>
      <c r="B2878" s="24">
        <v>861014</v>
      </c>
      <c r="C2878" s="24" t="s">
        <v>3462</v>
      </c>
      <c r="D2878" s="24">
        <v>2393</v>
      </c>
    </row>
    <row r="2879" spans="1:4" x14ac:dyDescent="0.25">
      <c r="A2879" s="24">
        <v>2188</v>
      </c>
      <c r="B2879" s="24">
        <v>861049</v>
      </c>
      <c r="C2879" s="24" t="s">
        <v>3463</v>
      </c>
      <c r="D2879" s="24">
        <v>2394</v>
      </c>
    </row>
    <row r="2880" spans="1:4" x14ac:dyDescent="0.25">
      <c r="A2880" s="24">
        <v>882</v>
      </c>
      <c r="B2880" s="24">
        <v>861057</v>
      </c>
      <c r="C2880" s="24" t="s">
        <v>3464</v>
      </c>
      <c r="D2880" s="24">
        <v>2395</v>
      </c>
    </row>
    <row r="2881" spans="1:4" x14ac:dyDescent="0.25">
      <c r="A2881" s="24">
        <v>2218</v>
      </c>
      <c r="B2881" s="24">
        <v>861065</v>
      </c>
      <c r="C2881" s="24" t="s">
        <v>3465</v>
      </c>
      <c r="D2881" s="24">
        <v>2396</v>
      </c>
    </row>
    <row r="2882" spans="1:4" x14ac:dyDescent="0.25">
      <c r="A2882" s="24">
        <v>3275</v>
      </c>
      <c r="B2882" s="24">
        <v>861073</v>
      </c>
      <c r="C2882" s="24" t="s">
        <v>3466</v>
      </c>
      <c r="D2882" s="24">
        <v>2397</v>
      </c>
    </row>
    <row r="2883" spans="1:4" x14ac:dyDescent="0.25">
      <c r="A2883" s="24">
        <v>2058</v>
      </c>
      <c r="B2883" s="24">
        <v>861081</v>
      </c>
      <c r="C2883" s="24" t="s">
        <v>3467</v>
      </c>
      <c r="D2883" s="24">
        <v>2398</v>
      </c>
    </row>
    <row r="2884" spans="1:4" x14ac:dyDescent="0.25">
      <c r="A2884" s="24">
        <v>2310</v>
      </c>
      <c r="B2884" s="24">
        <v>861090</v>
      </c>
      <c r="C2884" s="24" t="s">
        <v>3468</v>
      </c>
      <c r="D2884" s="24">
        <v>2399</v>
      </c>
    </row>
    <row r="2885" spans="1:4" x14ac:dyDescent="0.25">
      <c r="A2885" s="24">
        <v>2685</v>
      </c>
      <c r="B2885" s="24">
        <v>861103</v>
      </c>
      <c r="C2885" s="24" t="s">
        <v>3469</v>
      </c>
      <c r="D2885" s="24">
        <v>2399</v>
      </c>
    </row>
    <row r="2886" spans="1:4" x14ac:dyDescent="0.25">
      <c r="A2886" s="24">
        <v>2758</v>
      </c>
      <c r="B2886" s="24">
        <v>861111</v>
      </c>
      <c r="C2886" s="24" t="s">
        <v>3470</v>
      </c>
      <c r="D2886" s="24">
        <v>2400</v>
      </c>
    </row>
    <row r="2887" spans="1:4" x14ac:dyDescent="0.25">
      <c r="A2887" s="24">
        <v>722</v>
      </c>
      <c r="B2887" s="24">
        <v>950017</v>
      </c>
      <c r="C2887" s="24" t="s">
        <v>4103</v>
      </c>
      <c r="D2887" s="24">
        <v>2401</v>
      </c>
    </row>
    <row r="2888" spans="1:4" x14ac:dyDescent="0.25">
      <c r="A2888" s="24">
        <v>2260</v>
      </c>
      <c r="B2888" s="24">
        <v>861120</v>
      </c>
      <c r="C2888" s="24" t="s">
        <v>3471</v>
      </c>
      <c r="D2888" s="24">
        <v>2401</v>
      </c>
    </row>
    <row r="2889" spans="1:4" x14ac:dyDescent="0.25">
      <c r="A2889" s="24">
        <v>3206</v>
      </c>
      <c r="B2889" s="24">
        <v>861138</v>
      </c>
      <c r="C2889" s="24" t="s">
        <v>3471</v>
      </c>
      <c r="D2889" s="24">
        <v>2402</v>
      </c>
    </row>
    <row r="2890" spans="1:4" x14ac:dyDescent="0.25">
      <c r="A2890" s="24">
        <v>3408</v>
      </c>
      <c r="B2890" s="24">
        <v>861162</v>
      </c>
      <c r="C2890" s="24" t="s">
        <v>3472</v>
      </c>
      <c r="D2890" s="24">
        <v>2403</v>
      </c>
    </row>
    <row r="2891" spans="1:4" x14ac:dyDescent="0.25">
      <c r="A2891" s="24">
        <v>1596</v>
      </c>
      <c r="B2891" s="24">
        <v>861171</v>
      </c>
      <c r="C2891" s="24" t="s">
        <v>3473</v>
      </c>
      <c r="D2891" s="24">
        <v>2404</v>
      </c>
    </row>
    <row r="2892" spans="1:4" x14ac:dyDescent="0.25">
      <c r="A2892" s="24">
        <v>3335</v>
      </c>
      <c r="B2892" s="24">
        <v>861189</v>
      </c>
      <c r="C2892" s="24" t="s">
        <v>3474</v>
      </c>
      <c r="D2892" s="24">
        <v>2405</v>
      </c>
    </row>
    <row r="2893" spans="1:4" x14ac:dyDescent="0.25">
      <c r="A2893" s="24">
        <v>1989</v>
      </c>
      <c r="B2893" s="24">
        <v>861197</v>
      </c>
      <c r="C2893" s="24" t="s">
        <v>3475</v>
      </c>
      <c r="D2893" s="24">
        <v>2406</v>
      </c>
    </row>
    <row r="2894" spans="1:4" x14ac:dyDescent="0.25">
      <c r="A2894" s="24">
        <v>2559</v>
      </c>
      <c r="B2894" s="24">
        <v>861201</v>
      </c>
      <c r="C2894" s="24" t="s">
        <v>3476</v>
      </c>
      <c r="D2894" s="24">
        <v>2407</v>
      </c>
    </row>
    <row r="2895" spans="1:4" x14ac:dyDescent="0.25">
      <c r="A2895" s="24">
        <v>3505</v>
      </c>
      <c r="B2895" s="24">
        <v>861324</v>
      </c>
      <c r="C2895" s="24" t="s">
        <v>3477</v>
      </c>
      <c r="D2895" s="24">
        <v>2408</v>
      </c>
    </row>
    <row r="2896" spans="1:4" x14ac:dyDescent="0.25">
      <c r="A2896" s="24">
        <v>1547</v>
      </c>
      <c r="B2896" s="24">
        <v>812161</v>
      </c>
      <c r="C2896" s="24" t="s">
        <v>1237</v>
      </c>
      <c r="D2896" s="24">
        <v>2409</v>
      </c>
    </row>
    <row r="2897" spans="1:4" x14ac:dyDescent="0.25">
      <c r="A2897" s="24">
        <v>371</v>
      </c>
      <c r="B2897" s="24">
        <v>861341</v>
      </c>
      <c r="C2897" s="24" t="s">
        <v>3478</v>
      </c>
      <c r="D2897" s="24">
        <v>2410</v>
      </c>
    </row>
    <row r="2898" spans="1:4" x14ac:dyDescent="0.25">
      <c r="A2898" s="24">
        <v>1378</v>
      </c>
      <c r="B2898" s="24">
        <v>861359</v>
      </c>
      <c r="C2898" s="24" t="s">
        <v>3479</v>
      </c>
      <c r="D2898" s="24">
        <v>2411</v>
      </c>
    </row>
    <row r="2899" spans="1:4" x14ac:dyDescent="0.25">
      <c r="A2899" s="24">
        <v>3154</v>
      </c>
      <c r="B2899" s="24">
        <v>836711</v>
      </c>
      <c r="C2899" s="24" t="s">
        <v>2430</v>
      </c>
      <c r="D2899" s="24">
        <v>2412</v>
      </c>
    </row>
    <row r="2900" spans="1:4" x14ac:dyDescent="0.25">
      <c r="A2900" s="24">
        <v>1192</v>
      </c>
      <c r="B2900" s="24">
        <v>861375</v>
      </c>
      <c r="C2900" s="24" t="s">
        <v>3480</v>
      </c>
      <c r="D2900" s="24">
        <v>2413</v>
      </c>
    </row>
    <row r="2901" spans="1:4" x14ac:dyDescent="0.25">
      <c r="A2901" s="24">
        <v>2516</v>
      </c>
      <c r="B2901" s="24">
        <v>861421</v>
      </c>
      <c r="C2901" s="24" t="s">
        <v>3482</v>
      </c>
      <c r="D2901" s="24">
        <v>2414</v>
      </c>
    </row>
    <row r="2902" spans="1:4" x14ac:dyDescent="0.25">
      <c r="A2902" s="24">
        <v>2717</v>
      </c>
      <c r="B2902" s="24">
        <v>861553</v>
      </c>
      <c r="C2902" s="24" t="s">
        <v>3484</v>
      </c>
      <c r="D2902" s="24">
        <v>2415</v>
      </c>
    </row>
    <row r="2903" spans="1:4" x14ac:dyDescent="0.25">
      <c r="A2903" s="24">
        <v>3296</v>
      </c>
      <c r="B2903" s="24">
        <v>861782</v>
      </c>
      <c r="C2903" s="24" t="s">
        <v>3485</v>
      </c>
      <c r="D2903" s="24">
        <v>2416</v>
      </c>
    </row>
    <row r="2904" spans="1:4" x14ac:dyDescent="0.25">
      <c r="A2904" s="24">
        <v>3457</v>
      </c>
      <c r="B2904" s="24">
        <v>861791</v>
      </c>
      <c r="C2904" s="24" t="s">
        <v>3486</v>
      </c>
      <c r="D2904" s="24">
        <v>2417</v>
      </c>
    </row>
    <row r="2905" spans="1:4" x14ac:dyDescent="0.25">
      <c r="A2905" s="24">
        <v>119</v>
      </c>
      <c r="B2905" s="24">
        <v>861804</v>
      </c>
      <c r="C2905" s="24" t="s">
        <v>3487</v>
      </c>
      <c r="D2905" s="24">
        <v>2418</v>
      </c>
    </row>
    <row r="2906" spans="1:4" x14ac:dyDescent="0.25">
      <c r="A2906" s="24">
        <v>2464</v>
      </c>
      <c r="B2906" s="24">
        <v>861812</v>
      </c>
      <c r="C2906" s="24" t="s">
        <v>3488</v>
      </c>
      <c r="D2906" s="24">
        <v>2419</v>
      </c>
    </row>
    <row r="2907" spans="1:4" x14ac:dyDescent="0.25">
      <c r="A2907" s="24">
        <v>2707</v>
      </c>
      <c r="B2907" s="24">
        <v>861871</v>
      </c>
      <c r="C2907" s="24" t="s">
        <v>3490</v>
      </c>
      <c r="D2907" s="24">
        <v>2420</v>
      </c>
    </row>
    <row r="2908" spans="1:4" x14ac:dyDescent="0.25">
      <c r="A2908" s="24">
        <v>131</v>
      </c>
      <c r="B2908" s="24">
        <v>871354</v>
      </c>
      <c r="C2908" s="24" t="s">
        <v>3914</v>
      </c>
      <c r="D2908" s="24">
        <v>2421</v>
      </c>
    </row>
    <row r="2909" spans="1:4" x14ac:dyDescent="0.25">
      <c r="A2909" s="24">
        <v>305</v>
      </c>
      <c r="B2909" s="24">
        <v>840963</v>
      </c>
      <c r="C2909" s="24" t="s">
        <v>2610</v>
      </c>
      <c r="D2909" s="24">
        <v>2421</v>
      </c>
    </row>
    <row r="2910" spans="1:4" x14ac:dyDescent="0.25">
      <c r="A2910" s="24">
        <v>1669</v>
      </c>
      <c r="B2910" s="24">
        <v>826804</v>
      </c>
      <c r="C2910" s="24" t="s">
        <v>1954</v>
      </c>
      <c r="D2910" s="24">
        <v>2422</v>
      </c>
    </row>
    <row r="2911" spans="1:4" x14ac:dyDescent="0.25">
      <c r="A2911" s="24">
        <v>1580</v>
      </c>
      <c r="B2911" s="24">
        <v>840734</v>
      </c>
      <c r="C2911" s="24" t="s">
        <v>2592</v>
      </c>
      <c r="D2911" s="24">
        <v>2422</v>
      </c>
    </row>
    <row r="2912" spans="1:4" x14ac:dyDescent="0.25">
      <c r="A2912" s="24">
        <v>2596</v>
      </c>
      <c r="B2912" s="24">
        <v>861898</v>
      </c>
      <c r="C2912" s="24" t="s">
        <v>3491</v>
      </c>
      <c r="D2912" s="24">
        <v>2422</v>
      </c>
    </row>
    <row r="2913" spans="1:4" x14ac:dyDescent="0.25">
      <c r="A2913" s="24">
        <v>2926</v>
      </c>
      <c r="B2913" s="24">
        <v>862231</v>
      </c>
      <c r="C2913" s="24" t="s">
        <v>3492</v>
      </c>
      <c r="D2913" s="24">
        <v>2423</v>
      </c>
    </row>
    <row r="2914" spans="1:4" x14ac:dyDescent="0.25">
      <c r="A2914" s="24">
        <v>2030</v>
      </c>
      <c r="B2914" s="24">
        <v>862258</v>
      </c>
      <c r="C2914" s="24" t="s">
        <v>3493</v>
      </c>
      <c r="D2914" s="24">
        <v>2424</v>
      </c>
    </row>
    <row r="2915" spans="1:4" x14ac:dyDescent="0.25">
      <c r="A2915" s="24">
        <v>662</v>
      </c>
      <c r="B2915" s="24">
        <v>862291</v>
      </c>
      <c r="C2915" s="24" t="s">
        <v>3497</v>
      </c>
      <c r="D2915" s="24">
        <v>2425</v>
      </c>
    </row>
    <row r="2916" spans="1:4" x14ac:dyDescent="0.25">
      <c r="A2916" s="24">
        <v>1775</v>
      </c>
      <c r="B2916" s="24">
        <v>862266</v>
      </c>
      <c r="C2916" s="24" t="s">
        <v>3494</v>
      </c>
      <c r="D2916" s="24">
        <v>2425</v>
      </c>
    </row>
    <row r="2917" spans="1:4" x14ac:dyDescent="0.25">
      <c r="A2917" s="24">
        <v>2652</v>
      </c>
      <c r="B2917" s="24">
        <v>862274</v>
      </c>
      <c r="C2917" s="24" t="s">
        <v>3495</v>
      </c>
      <c r="D2917" s="24">
        <v>2425</v>
      </c>
    </row>
    <row r="2918" spans="1:4" x14ac:dyDescent="0.25">
      <c r="A2918" s="24">
        <v>2530</v>
      </c>
      <c r="B2918" s="24">
        <v>867462</v>
      </c>
      <c r="C2918" s="24" t="s">
        <v>3704</v>
      </c>
      <c r="D2918" s="24">
        <v>2425</v>
      </c>
    </row>
    <row r="2919" spans="1:4" x14ac:dyDescent="0.25">
      <c r="A2919" s="24">
        <v>2236</v>
      </c>
      <c r="B2919" s="24">
        <v>862282</v>
      </c>
      <c r="C2919" s="24" t="s">
        <v>3496</v>
      </c>
      <c r="D2919" s="24">
        <v>2425</v>
      </c>
    </row>
    <row r="2920" spans="1:4" x14ac:dyDescent="0.25">
      <c r="A2920" s="24">
        <v>1764</v>
      </c>
      <c r="B2920" s="24">
        <v>862312</v>
      </c>
      <c r="C2920" s="24" t="s">
        <v>3499</v>
      </c>
      <c r="D2920" s="24">
        <v>2426</v>
      </c>
    </row>
    <row r="2921" spans="1:4" x14ac:dyDescent="0.25">
      <c r="A2921" s="24">
        <v>3009</v>
      </c>
      <c r="B2921" s="24">
        <v>862304</v>
      </c>
      <c r="C2921" s="24" t="s">
        <v>3498</v>
      </c>
      <c r="D2921" s="24">
        <v>2426</v>
      </c>
    </row>
    <row r="2922" spans="1:4" x14ac:dyDescent="0.25">
      <c r="A2922" s="24">
        <v>1806</v>
      </c>
      <c r="B2922" s="24">
        <v>862347</v>
      </c>
      <c r="C2922" s="24" t="s">
        <v>3500</v>
      </c>
      <c r="D2922" s="24">
        <v>2427</v>
      </c>
    </row>
    <row r="2923" spans="1:4" x14ac:dyDescent="0.25">
      <c r="A2923" s="24">
        <v>1055</v>
      </c>
      <c r="B2923" s="24">
        <v>862371</v>
      </c>
      <c r="C2923" s="24" t="s">
        <v>3501</v>
      </c>
      <c r="D2923" s="24">
        <v>2428</v>
      </c>
    </row>
    <row r="2924" spans="1:4" x14ac:dyDescent="0.25">
      <c r="A2924" s="24">
        <v>453</v>
      </c>
      <c r="B2924" s="24">
        <v>862401</v>
      </c>
      <c r="C2924" s="24" t="s">
        <v>3502</v>
      </c>
      <c r="D2924" s="24">
        <v>2429</v>
      </c>
    </row>
    <row r="2925" spans="1:4" x14ac:dyDescent="0.25">
      <c r="A2925" s="24">
        <v>1501</v>
      </c>
      <c r="B2925" s="24">
        <v>862444</v>
      </c>
      <c r="C2925" s="24" t="s">
        <v>3504</v>
      </c>
      <c r="D2925" s="24">
        <v>2430</v>
      </c>
    </row>
    <row r="2926" spans="1:4" x14ac:dyDescent="0.25">
      <c r="A2926" s="24">
        <v>161</v>
      </c>
      <c r="B2926" s="24">
        <v>862452</v>
      </c>
      <c r="C2926" s="24" t="s">
        <v>3505</v>
      </c>
      <c r="D2926" s="24">
        <v>2431</v>
      </c>
    </row>
    <row r="2927" spans="1:4" x14ac:dyDescent="0.25">
      <c r="A2927" s="24">
        <v>3331</v>
      </c>
      <c r="B2927" s="24">
        <v>862461</v>
      </c>
      <c r="C2927" s="24" t="s">
        <v>3506</v>
      </c>
      <c r="D2927" s="24">
        <v>2432</v>
      </c>
    </row>
    <row r="2928" spans="1:4" x14ac:dyDescent="0.25">
      <c r="A2928" s="24">
        <v>1918</v>
      </c>
      <c r="B2928" s="24">
        <v>862487</v>
      </c>
      <c r="C2928" s="24" t="s">
        <v>3507</v>
      </c>
      <c r="D2928" s="24">
        <v>2433</v>
      </c>
    </row>
    <row r="2929" spans="1:4" x14ac:dyDescent="0.25">
      <c r="A2929" s="24">
        <v>1960</v>
      </c>
      <c r="B2929" s="24">
        <v>862509</v>
      </c>
      <c r="C2929" s="24" t="s">
        <v>3508</v>
      </c>
      <c r="D2929" s="24">
        <v>2434</v>
      </c>
    </row>
    <row r="2930" spans="1:4" x14ac:dyDescent="0.25">
      <c r="A2930" s="24">
        <v>2394</v>
      </c>
      <c r="B2930" s="24">
        <v>862517</v>
      </c>
      <c r="C2930" s="24" t="s">
        <v>3509</v>
      </c>
      <c r="D2930" s="24">
        <v>2435</v>
      </c>
    </row>
    <row r="2931" spans="1:4" x14ac:dyDescent="0.25">
      <c r="A2931" s="24">
        <v>1250</v>
      </c>
      <c r="B2931" s="24">
        <v>862525</v>
      </c>
      <c r="C2931" s="24" t="s">
        <v>3510</v>
      </c>
      <c r="D2931" s="24">
        <v>2436</v>
      </c>
    </row>
    <row r="2932" spans="1:4" x14ac:dyDescent="0.25">
      <c r="A2932" s="24">
        <v>3404</v>
      </c>
      <c r="B2932" s="24">
        <v>874108</v>
      </c>
      <c r="C2932" s="24" t="s">
        <v>4048</v>
      </c>
      <c r="D2932" s="24">
        <v>2437</v>
      </c>
    </row>
    <row r="2933" spans="1:4" x14ac:dyDescent="0.25">
      <c r="A2933" s="24">
        <v>2168</v>
      </c>
      <c r="B2933" s="24">
        <v>862584</v>
      </c>
      <c r="C2933" s="24" t="s">
        <v>3512</v>
      </c>
      <c r="D2933" s="24">
        <v>2438</v>
      </c>
    </row>
    <row r="2934" spans="1:4" x14ac:dyDescent="0.25">
      <c r="A2934" s="24">
        <v>1134</v>
      </c>
      <c r="B2934" s="24">
        <v>862592</v>
      </c>
      <c r="C2934" s="24" t="s">
        <v>3513</v>
      </c>
      <c r="D2934" s="24">
        <v>2439</v>
      </c>
    </row>
    <row r="2935" spans="1:4" x14ac:dyDescent="0.25">
      <c r="A2935" s="24">
        <v>2374</v>
      </c>
      <c r="B2935" s="24">
        <v>862606</v>
      </c>
      <c r="C2935" s="24" t="s">
        <v>3514</v>
      </c>
      <c r="D2935" s="24">
        <v>2440</v>
      </c>
    </row>
    <row r="2936" spans="1:4" x14ac:dyDescent="0.25">
      <c r="A2936" s="24">
        <v>1004</v>
      </c>
      <c r="B2936" s="24">
        <v>862622</v>
      </c>
      <c r="C2936" s="24" t="s">
        <v>3516</v>
      </c>
      <c r="D2936" s="24">
        <v>2441</v>
      </c>
    </row>
    <row r="2937" spans="1:4" x14ac:dyDescent="0.25">
      <c r="A2937" s="24">
        <v>1568</v>
      </c>
      <c r="B2937" s="24">
        <v>862631</v>
      </c>
      <c r="C2937" s="24" t="s">
        <v>3517</v>
      </c>
      <c r="D2937" s="24">
        <v>2441</v>
      </c>
    </row>
    <row r="2938" spans="1:4" x14ac:dyDescent="0.25">
      <c r="A2938" s="24">
        <v>2118</v>
      </c>
      <c r="B2938" s="24">
        <v>862614</v>
      </c>
      <c r="C2938" s="24" t="s">
        <v>3515</v>
      </c>
      <c r="D2938" s="24">
        <v>2441</v>
      </c>
    </row>
    <row r="2939" spans="1:4" x14ac:dyDescent="0.25">
      <c r="A2939" s="24">
        <v>1018</v>
      </c>
      <c r="B2939" s="24">
        <v>862665</v>
      </c>
      <c r="C2939" s="24" t="s">
        <v>3518</v>
      </c>
      <c r="D2939" s="24">
        <v>2442</v>
      </c>
    </row>
    <row r="2940" spans="1:4" x14ac:dyDescent="0.25">
      <c r="A2940" s="24">
        <v>1436</v>
      </c>
      <c r="B2940" s="24">
        <v>862690</v>
      </c>
      <c r="C2940" s="24" t="s">
        <v>3521</v>
      </c>
      <c r="D2940" s="24">
        <v>2443</v>
      </c>
    </row>
    <row r="2941" spans="1:4" x14ac:dyDescent="0.25">
      <c r="A2941" s="24">
        <v>3299</v>
      </c>
      <c r="B2941" s="24">
        <v>862681</v>
      </c>
      <c r="C2941" s="24" t="s">
        <v>3520</v>
      </c>
      <c r="D2941" s="24">
        <v>2443</v>
      </c>
    </row>
    <row r="2942" spans="1:4" x14ac:dyDescent="0.25">
      <c r="A2942" s="24">
        <v>2269</v>
      </c>
      <c r="B2942" s="24">
        <v>862436</v>
      </c>
      <c r="C2942" s="24" t="s">
        <v>3503</v>
      </c>
      <c r="D2942" s="24">
        <v>2444</v>
      </c>
    </row>
    <row r="2943" spans="1:4" x14ac:dyDescent="0.25">
      <c r="A2943" s="24">
        <v>2999</v>
      </c>
      <c r="B2943" s="24">
        <v>862703</v>
      </c>
      <c r="C2943" s="24" t="s">
        <v>3522</v>
      </c>
      <c r="D2943" s="24">
        <v>2445</v>
      </c>
    </row>
    <row r="2944" spans="1:4" x14ac:dyDescent="0.25">
      <c r="A2944" s="24">
        <v>1751</v>
      </c>
      <c r="B2944" s="24">
        <v>862711</v>
      </c>
      <c r="C2944" s="24" t="s">
        <v>3523</v>
      </c>
      <c r="D2944" s="24">
        <v>2446</v>
      </c>
    </row>
    <row r="2945" spans="1:4" x14ac:dyDescent="0.25">
      <c r="A2945" s="24">
        <v>2321</v>
      </c>
      <c r="B2945" s="24">
        <v>862720</v>
      </c>
      <c r="C2945" s="24" t="s">
        <v>3524</v>
      </c>
      <c r="D2945" s="24">
        <v>2447</v>
      </c>
    </row>
    <row r="2946" spans="1:4" x14ac:dyDescent="0.25">
      <c r="A2946" s="24">
        <v>3167</v>
      </c>
      <c r="B2946" s="24">
        <v>862738</v>
      </c>
      <c r="C2946" s="24" t="s">
        <v>3525</v>
      </c>
      <c r="D2946" s="24">
        <v>2447</v>
      </c>
    </row>
    <row r="2947" spans="1:4" x14ac:dyDescent="0.25">
      <c r="A2947" s="24">
        <v>1876</v>
      </c>
      <c r="B2947" s="24">
        <v>862754</v>
      </c>
      <c r="C2947" s="24" t="s">
        <v>3526</v>
      </c>
      <c r="D2947" s="24">
        <v>2448</v>
      </c>
    </row>
    <row r="2948" spans="1:4" x14ac:dyDescent="0.25">
      <c r="A2948" s="24">
        <v>2989</v>
      </c>
      <c r="B2948" s="24">
        <v>862762</v>
      </c>
      <c r="C2948" s="24" t="s">
        <v>3527</v>
      </c>
      <c r="D2948" s="24">
        <v>2449</v>
      </c>
    </row>
    <row r="2949" spans="1:4" x14ac:dyDescent="0.25">
      <c r="A2949" s="24">
        <v>1718</v>
      </c>
      <c r="B2949" s="24">
        <v>862771</v>
      </c>
      <c r="C2949" s="24" t="s">
        <v>3528</v>
      </c>
      <c r="D2949" s="24">
        <v>2450</v>
      </c>
    </row>
    <row r="2950" spans="1:4" x14ac:dyDescent="0.25">
      <c r="A2950" s="24">
        <v>849</v>
      </c>
      <c r="B2950" s="24">
        <v>862789</v>
      </c>
      <c r="C2950" s="24" t="s">
        <v>3529</v>
      </c>
      <c r="D2950" s="24">
        <v>2451</v>
      </c>
    </row>
    <row r="2951" spans="1:4" x14ac:dyDescent="0.25">
      <c r="A2951" s="24">
        <v>2415</v>
      </c>
      <c r="B2951" s="24">
        <v>862797</v>
      </c>
      <c r="C2951" s="24" t="s">
        <v>3530</v>
      </c>
      <c r="D2951" s="24">
        <v>2451</v>
      </c>
    </row>
    <row r="2952" spans="1:4" x14ac:dyDescent="0.25">
      <c r="A2952" s="24">
        <v>86</v>
      </c>
      <c r="B2952" s="24">
        <v>817783</v>
      </c>
      <c r="C2952" s="24" t="s">
        <v>1512</v>
      </c>
      <c r="D2952" s="24">
        <v>2452</v>
      </c>
    </row>
    <row r="2953" spans="1:4" x14ac:dyDescent="0.25">
      <c r="A2953" s="24">
        <v>1592</v>
      </c>
      <c r="B2953" s="24">
        <v>863041</v>
      </c>
      <c r="C2953" s="24" t="s">
        <v>3531</v>
      </c>
      <c r="D2953" s="24">
        <v>2452</v>
      </c>
    </row>
    <row r="2954" spans="1:4" x14ac:dyDescent="0.25">
      <c r="A2954" s="24">
        <v>3361</v>
      </c>
      <c r="B2954" s="24">
        <v>863084</v>
      </c>
      <c r="C2954" s="24" t="s">
        <v>3532</v>
      </c>
      <c r="D2954" s="24">
        <v>2453</v>
      </c>
    </row>
    <row r="2955" spans="1:4" x14ac:dyDescent="0.25">
      <c r="A2955" s="24">
        <v>363</v>
      </c>
      <c r="B2955" s="24">
        <v>818950</v>
      </c>
      <c r="C2955" s="24" t="s">
        <v>1575</v>
      </c>
      <c r="D2955" s="24">
        <v>2454</v>
      </c>
    </row>
    <row r="2956" spans="1:4" x14ac:dyDescent="0.25">
      <c r="A2956" s="24">
        <v>1841</v>
      </c>
      <c r="B2956" s="24">
        <v>863092</v>
      </c>
      <c r="C2956" s="24" t="s">
        <v>3533</v>
      </c>
      <c r="D2956" s="24">
        <v>2454</v>
      </c>
    </row>
    <row r="2957" spans="1:4" x14ac:dyDescent="0.25">
      <c r="A2957" s="24">
        <v>2746</v>
      </c>
      <c r="B2957" s="24">
        <v>800325</v>
      </c>
      <c r="C2957" s="24" t="s">
        <v>748</v>
      </c>
      <c r="D2957" s="24">
        <v>2454</v>
      </c>
    </row>
    <row r="2958" spans="1:4" x14ac:dyDescent="0.25">
      <c r="A2958" s="24">
        <v>1360</v>
      </c>
      <c r="B2958" s="24">
        <v>863114</v>
      </c>
      <c r="C2958" s="24" t="s">
        <v>3534</v>
      </c>
      <c r="D2958" s="24">
        <v>2455</v>
      </c>
    </row>
    <row r="2959" spans="1:4" x14ac:dyDescent="0.25">
      <c r="A2959" s="24">
        <v>1079</v>
      </c>
      <c r="B2959" s="24">
        <v>863122</v>
      </c>
      <c r="C2959" s="24" t="s">
        <v>3535</v>
      </c>
      <c r="D2959" s="24">
        <v>2456</v>
      </c>
    </row>
    <row r="2960" spans="1:4" x14ac:dyDescent="0.25">
      <c r="A2960" s="24">
        <v>1443</v>
      </c>
      <c r="B2960" s="24">
        <v>863149</v>
      </c>
      <c r="C2960" s="24" t="s">
        <v>3536</v>
      </c>
      <c r="D2960" s="24">
        <v>2456</v>
      </c>
    </row>
    <row r="2961" spans="1:4" x14ac:dyDescent="0.25">
      <c r="A2961" s="24">
        <v>2047</v>
      </c>
      <c r="B2961" s="24">
        <v>863157</v>
      </c>
      <c r="C2961" s="24" t="s">
        <v>3537</v>
      </c>
      <c r="D2961" s="24">
        <v>2457</v>
      </c>
    </row>
    <row r="2962" spans="1:4" x14ac:dyDescent="0.25">
      <c r="A2962" s="24">
        <v>2804</v>
      </c>
      <c r="B2962" s="24">
        <v>863173</v>
      </c>
      <c r="C2962" s="24" t="s">
        <v>3539</v>
      </c>
      <c r="D2962" s="24">
        <v>2458</v>
      </c>
    </row>
    <row r="2963" spans="1:4" x14ac:dyDescent="0.25">
      <c r="A2963" s="24">
        <v>1622</v>
      </c>
      <c r="B2963" s="24">
        <v>863190</v>
      </c>
      <c r="C2963" s="24" t="s">
        <v>3540</v>
      </c>
      <c r="D2963" s="24">
        <v>2459</v>
      </c>
    </row>
    <row r="2964" spans="1:4" x14ac:dyDescent="0.25">
      <c r="A2964" s="24">
        <v>2189</v>
      </c>
      <c r="B2964" s="24">
        <v>950157</v>
      </c>
      <c r="C2964" s="24" t="s">
        <v>2096</v>
      </c>
      <c r="D2964" s="24">
        <v>2459</v>
      </c>
    </row>
    <row r="2965" spans="1:4" x14ac:dyDescent="0.25">
      <c r="A2965" s="24">
        <v>1828</v>
      </c>
      <c r="B2965" s="24">
        <v>863203</v>
      </c>
      <c r="C2965" s="24" t="s">
        <v>3541</v>
      </c>
      <c r="D2965" s="24">
        <v>2460</v>
      </c>
    </row>
    <row r="2966" spans="1:4" x14ac:dyDescent="0.25">
      <c r="A2966" s="24">
        <v>1767</v>
      </c>
      <c r="B2966" s="24">
        <v>863211</v>
      </c>
      <c r="C2966" s="24" t="s">
        <v>3542</v>
      </c>
      <c r="D2966" s="24">
        <v>2461</v>
      </c>
    </row>
    <row r="2967" spans="1:4" x14ac:dyDescent="0.25">
      <c r="A2967" s="24">
        <v>2745</v>
      </c>
      <c r="B2967" s="24">
        <v>863220</v>
      </c>
      <c r="C2967" s="24" t="s">
        <v>3543</v>
      </c>
      <c r="D2967" s="24">
        <v>2462</v>
      </c>
    </row>
    <row r="2968" spans="1:4" x14ac:dyDescent="0.25">
      <c r="A2968" s="24">
        <v>3166</v>
      </c>
      <c r="B2968" s="24">
        <v>852406</v>
      </c>
      <c r="C2968" s="24" t="s">
        <v>3075</v>
      </c>
      <c r="D2968" s="24">
        <v>2462</v>
      </c>
    </row>
    <row r="2969" spans="1:4" x14ac:dyDescent="0.25">
      <c r="A2969" s="24">
        <v>270</v>
      </c>
      <c r="B2969" s="24">
        <v>863416</v>
      </c>
      <c r="C2969" s="24" t="s">
        <v>3544</v>
      </c>
      <c r="D2969" s="24">
        <v>2463</v>
      </c>
    </row>
    <row r="2970" spans="1:4" x14ac:dyDescent="0.25">
      <c r="A2970" s="24">
        <v>2743</v>
      </c>
      <c r="B2970" s="24">
        <v>863424</v>
      </c>
      <c r="C2970" s="24" t="s">
        <v>3545</v>
      </c>
      <c r="D2970" s="24">
        <v>2464</v>
      </c>
    </row>
    <row r="2971" spans="1:4" x14ac:dyDescent="0.25">
      <c r="A2971" s="24">
        <v>1781</v>
      </c>
      <c r="B2971" s="24">
        <v>863432</v>
      </c>
      <c r="C2971" s="24" t="s">
        <v>3546</v>
      </c>
      <c r="D2971" s="24">
        <v>2465</v>
      </c>
    </row>
    <row r="2972" spans="1:4" x14ac:dyDescent="0.25">
      <c r="A2972" s="24">
        <v>1528</v>
      </c>
      <c r="B2972" s="24">
        <v>863459</v>
      </c>
      <c r="C2972" s="24" t="s">
        <v>3547</v>
      </c>
      <c r="D2972" s="24">
        <v>2466</v>
      </c>
    </row>
    <row r="2973" spans="1:4" x14ac:dyDescent="0.25">
      <c r="A2973" s="24">
        <v>437</v>
      </c>
      <c r="B2973" s="24">
        <v>863491</v>
      </c>
      <c r="C2973" s="24" t="s">
        <v>3549</v>
      </c>
      <c r="D2973" s="24">
        <v>2467</v>
      </c>
    </row>
    <row r="2974" spans="1:4" x14ac:dyDescent="0.25">
      <c r="A2974" s="24">
        <v>1021</v>
      </c>
      <c r="B2974" s="24">
        <v>863475</v>
      </c>
      <c r="C2974" s="24" t="s">
        <v>3548</v>
      </c>
      <c r="D2974" s="24">
        <v>2467</v>
      </c>
    </row>
    <row r="2975" spans="1:4" x14ac:dyDescent="0.25">
      <c r="A2975" s="24">
        <v>2646</v>
      </c>
      <c r="B2975" s="24">
        <v>863505</v>
      </c>
      <c r="C2975" s="24" t="s">
        <v>3550</v>
      </c>
      <c r="D2975" s="24">
        <v>2468</v>
      </c>
    </row>
    <row r="2976" spans="1:4" x14ac:dyDescent="0.25">
      <c r="A2976" s="24">
        <v>3255</v>
      </c>
      <c r="B2976" s="24">
        <v>863513</v>
      </c>
      <c r="C2976" s="24" t="s">
        <v>3550</v>
      </c>
      <c r="D2976" s="24">
        <v>2469</v>
      </c>
    </row>
    <row r="2977" spans="1:4" x14ac:dyDescent="0.25">
      <c r="A2977" s="24">
        <v>2943</v>
      </c>
      <c r="B2977" s="24">
        <v>863530</v>
      </c>
      <c r="C2977" s="24" t="s">
        <v>3552</v>
      </c>
      <c r="D2977" s="24">
        <v>2470</v>
      </c>
    </row>
    <row r="2978" spans="1:4" x14ac:dyDescent="0.25">
      <c r="A2978" s="24">
        <v>63</v>
      </c>
      <c r="B2978" s="24">
        <v>863548</v>
      </c>
      <c r="C2978" s="24" t="s">
        <v>3553</v>
      </c>
      <c r="D2978" s="24">
        <v>2471</v>
      </c>
    </row>
    <row r="2979" spans="1:4" x14ac:dyDescent="0.25">
      <c r="A2979" s="24">
        <v>1645</v>
      </c>
      <c r="B2979" s="24">
        <v>867926</v>
      </c>
      <c r="C2979" s="24" t="s">
        <v>3737</v>
      </c>
      <c r="D2979" s="24">
        <v>2471</v>
      </c>
    </row>
    <row r="2980" spans="1:4" x14ac:dyDescent="0.25">
      <c r="A2980" s="24">
        <v>1507</v>
      </c>
      <c r="B2980" s="24">
        <v>835471</v>
      </c>
      <c r="C2980" s="24" t="s">
        <v>2347</v>
      </c>
      <c r="D2980" s="24">
        <v>2471</v>
      </c>
    </row>
    <row r="2981" spans="1:4" x14ac:dyDescent="0.25">
      <c r="A2981" s="24">
        <v>1606</v>
      </c>
      <c r="B2981" s="24">
        <v>863882</v>
      </c>
      <c r="C2981" s="24" t="s">
        <v>3554</v>
      </c>
      <c r="D2981" s="24">
        <v>2472</v>
      </c>
    </row>
    <row r="2982" spans="1:4" x14ac:dyDescent="0.25">
      <c r="A2982" s="24">
        <v>906</v>
      </c>
      <c r="B2982" s="24">
        <v>863912</v>
      </c>
      <c r="C2982" s="24" t="s">
        <v>3555</v>
      </c>
      <c r="D2982" s="24">
        <v>2473</v>
      </c>
    </row>
    <row r="2983" spans="1:4" x14ac:dyDescent="0.25">
      <c r="A2983" s="24">
        <v>1306</v>
      </c>
      <c r="B2983" s="24">
        <v>863939</v>
      </c>
      <c r="C2983" s="24" t="s">
        <v>3557</v>
      </c>
      <c r="D2983" s="24">
        <v>2474</v>
      </c>
    </row>
    <row r="2984" spans="1:4" x14ac:dyDescent="0.25">
      <c r="A2984" s="24">
        <v>977</v>
      </c>
      <c r="B2984" s="24">
        <v>863921</v>
      </c>
      <c r="C2984" s="24" t="s">
        <v>3556</v>
      </c>
      <c r="D2984" s="24">
        <v>2474</v>
      </c>
    </row>
    <row r="2985" spans="1:4" x14ac:dyDescent="0.25">
      <c r="A2985" s="24">
        <v>1778</v>
      </c>
      <c r="B2985" s="24">
        <v>863971</v>
      </c>
      <c r="C2985" s="24" t="s">
        <v>3559</v>
      </c>
      <c r="D2985" s="24">
        <v>2475</v>
      </c>
    </row>
    <row r="2986" spans="1:4" x14ac:dyDescent="0.25">
      <c r="A2986" s="24">
        <v>1635</v>
      </c>
      <c r="B2986" s="24">
        <v>863998</v>
      </c>
      <c r="C2986" s="24" t="s">
        <v>3560</v>
      </c>
      <c r="D2986" s="24">
        <v>2476</v>
      </c>
    </row>
    <row r="2987" spans="1:4" x14ac:dyDescent="0.25">
      <c r="A2987" s="24">
        <v>16</v>
      </c>
      <c r="B2987" s="24">
        <v>860123</v>
      </c>
      <c r="C2987" s="24" t="s">
        <v>3403</v>
      </c>
      <c r="D2987" s="24">
        <v>2477</v>
      </c>
    </row>
    <row r="2988" spans="1:4" x14ac:dyDescent="0.25">
      <c r="A2988" s="24">
        <v>615</v>
      </c>
      <c r="B2988" s="24">
        <v>858498</v>
      </c>
      <c r="C2988" s="24" t="s">
        <v>3327</v>
      </c>
      <c r="D2988" s="24">
        <v>2477</v>
      </c>
    </row>
    <row r="2989" spans="1:4" x14ac:dyDescent="0.25">
      <c r="A2989" s="24">
        <v>886</v>
      </c>
      <c r="B2989" s="24">
        <v>860131</v>
      </c>
      <c r="C2989" s="24" t="s">
        <v>3404</v>
      </c>
      <c r="D2989" s="24">
        <v>2477</v>
      </c>
    </row>
    <row r="2990" spans="1:4" x14ac:dyDescent="0.25">
      <c r="A2990" s="24">
        <v>1454</v>
      </c>
      <c r="B2990" s="24">
        <v>802280</v>
      </c>
      <c r="C2990" s="24" t="s">
        <v>819</v>
      </c>
      <c r="D2990" s="24">
        <v>2477</v>
      </c>
    </row>
    <row r="2991" spans="1:4" x14ac:dyDescent="0.25">
      <c r="A2991" s="24">
        <v>1620</v>
      </c>
      <c r="B2991" s="24">
        <v>864005</v>
      </c>
      <c r="C2991" s="24" t="s">
        <v>3561</v>
      </c>
      <c r="D2991" s="24">
        <v>2478</v>
      </c>
    </row>
    <row r="2992" spans="1:4" x14ac:dyDescent="0.25">
      <c r="A2992" s="24">
        <v>1137</v>
      </c>
      <c r="B2992" s="24">
        <v>864021</v>
      </c>
      <c r="C2992" s="24" t="s">
        <v>3562</v>
      </c>
      <c r="D2992" s="24">
        <v>2479</v>
      </c>
    </row>
    <row r="2993" spans="1:4" x14ac:dyDescent="0.25">
      <c r="A2993" s="24">
        <v>347</v>
      </c>
      <c r="B2993" s="24">
        <v>864030</v>
      </c>
      <c r="C2993" s="24" t="s">
        <v>3563</v>
      </c>
      <c r="D2993" s="24">
        <v>2480</v>
      </c>
    </row>
    <row r="2994" spans="1:4" x14ac:dyDescent="0.25">
      <c r="A2994" s="24">
        <v>90</v>
      </c>
      <c r="B2994" s="24">
        <v>864048</v>
      </c>
      <c r="C2994" s="24" t="s">
        <v>3564</v>
      </c>
      <c r="D2994" s="24">
        <v>2481</v>
      </c>
    </row>
    <row r="2995" spans="1:4" x14ac:dyDescent="0.25">
      <c r="A2995" s="24">
        <v>3534</v>
      </c>
      <c r="B2995" s="24">
        <v>864056</v>
      </c>
      <c r="C2995" s="24" t="s">
        <v>3565</v>
      </c>
      <c r="D2995" s="24">
        <v>2482</v>
      </c>
    </row>
    <row r="2996" spans="1:4" x14ac:dyDescent="0.25">
      <c r="A2996" s="24">
        <v>2727</v>
      </c>
      <c r="B2996" s="24">
        <v>863521</v>
      </c>
      <c r="C2996" s="24" t="s">
        <v>3551</v>
      </c>
      <c r="D2996" s="24">
        <v>2483</v>
      </c>
    </row>
    <row r="2997" spans="1:4" x14ac:dyDescent="0.25">
      <c r="A2997" s="24">
        <v>533</v>
      </c>
      <c r="B2997" s="24">
        <v>864064</v>
      </c>
      <c r="C2997" s="24" t="s">
        <v>3566</v>
      </c>
      <c r="D2997" s="24">
        <v>2484</v>
      </c>
    </row>
    <row r="2998" spans="1:4" x14ac:dyDescent="0.25">
      <c r="A2998" s="24">
        <v>178</v>
      </c>
      <c r="B2998" s="24">
        <v>864081</v>
      </c>
      <c r="C2998" s="24" t="s">
        <v>3567</v>
      </c>
      <c r="D2998" s="24">
        <v>2485</v>
      </c>
    </row>
    <row r="2999" spans="1:4" x14ac:dyDescent="0.25">
      <c r="A2999" s="24">
        <v>3378</v>
      </c>
      <c r="B2999" s="24">
        <v>864099</v>
      </c>
      <c r="C2999" s="24" t="s">
        <v>3568</v>
      </c>
      <c r="D2999" s="24">
        <v>2486</v>
      </c>
    </row>
    <row r="3000" spans="1:4" x14ac:dyDescent="0.25">
      <c r="A3000" s="24">
        <v>1324</v>
      </c>
      <c r="B3000" s="24">
        <v>864102</v>
      </c>
      <c r="C3000" s="24" t="s">
        <v>3569</v>
      </c>
      <c r="D3000" s="24">
        <v>2487</v>
      </c>
    </row>
    <row r="3001" spans="1:4" x14ac:dyDescent="0.25">
      <c r="A3001" s="24">
        <v>203</v>
      </c>
      <c r="B3001" s="24">
        <v>864137</v>
      </c>
      <c r="C3001" s="24" t="s">
        <v>3570</v>
      </c>
      <c r="D3001" s="24">
        <v>2488</v>
      </c>
    </row>
    <row r="3002" spans="1:4" x14ac:dyDescent="0.25">
      <c r="A3002" s="24">
        <v>2567</v>
      </c>
      <c r="B3002" s="24">
        <v>864161</v>
      </c>
      <c r="C3002" s="24" t="s">
        <v>3571</v>
      </c>
      <c r="D3002" s="24">
        <v>2489</v>
      </c>
    </row>
    <row r="3003" spans="1:4" x14ac:dyDescent="0.25">
      <c r="A3003" s="24">
        <v>2767</v>
      </c>
      <c r="B3003" s="24">
        <v>838764</v>
      </c>
      <c r="C3003" s="24" t="s">
        <v>2521</v>
      </c>
      <c r="D3003" s="24">
        <v>2489</v>
      </c>
    </row>
    <row r="3004" spans="1:4" x14ac:dyDescent="0.25">
      <c r="A3004" s="24">
        <v>3040</v>
      </c>
      <c r="B3004" s="24">
        <v>864170</v>
      </c>
      <c r="C3004" s="24" t="s">
        <v>3572</v>
      </c>
      <c r="D3004" s="24">
        <v>2490</v>
      </c>
    </row>
    <row r="3005" spans="1:4" x14ac:dyDescent="0.25">
      <c r="A3005" s="24">
        <v>3555</v>
      </c>
      <c r="B3005" s="24">
        <v>864188</v>
      </c>
      <c r="C3005" s="24" t="s">
        <v>3573</v>
      </c>
      <c r="D3005" s="24">
        <v>2491</v>
      </c>
    </row>
    <row r="3006" spans="1:4" x14ac:dyDescent="0.25">
      <c r="A3006" s="24">
        <v>3320</v>
      </c>
      <c r="B3006" s="24">
        <v>837563</v>
      </c>
      <c r="C3006" s="24" t="s">
        <v>2455</v>
      </c>
      <c r="D3006" s="24">
        <v>2491</v>
      </c>
    </row>
    <row r="3007" spans="1:4" x14ac:dyDescent="0.25">
      <c r="A3007" s="24">
        <v>3075</v>
      </c>
      <c r="B3007" s="24">
        <v>864315</v>
      </c>
      <c r="C3007" s="24" t="s">
        <v>3574</v>
      </c>
      <c r="D3007" s="24">
        <v>2492</v>
      </c>
    </row>
    <row r="3008" spans="1:4" x14ac:dyDescent="0.25">
      <c r="A3008" s="24">
        <v>1447</v>
      </c>
      <c r="B3008" s="24">
        <v>864323</v>
      </c>
      <c r="C3008" s="24" t="s">
        <v>3575</v>
      </c>
      <c r="D3008" s="24">
        <v>2493</v>
      </c>
    </row>
    <row r="3009" spans="1:4" x14ac:dyDescent="0.25">
      <c r="A3009" s="24">
        <v>2565</v>
      </c>
      <c r="B3009" s="24">
        <v>864358</v>
      </c>
      <c r="C3009" s="24" t="s">
        <v>3576</v>
      </c>
      <c r="D3009" s="24">
        <v>2494</v>
      </c>
    </row>
    <row r="3010" spans="1:4" x14ac:dyDescent="0.25">
      <c r="A3010" s="24">
        <v>3003</v>
      </c>
      <c r="B3010" s="24">
        <v>811173</v>
      </c>
      <c r="C3010" s="24" t="s">
        <v>1194</v>
      </c>
      <c r="D3010" s="24">
        <v>2495</v>
      </c>
    </row>
    <row r="3011" spans="1:4" x14ac:dyDescent="0.25">
      <c r="A3011" s="24">
        <v>2295</v>
      </c>
      <c r="B3011" s="24">
        <v>864374</v>
      </c>
      <c r="C3011" s="24" t="s">
        <v>3577</v>
      </c>
      <c r="D3011" s="24">
        <v>2495</v>
      </c>
    </row>
    <row r="3012" spans="1:4" x14ac:dyDescent="0.25">
      <c r="A3012" s="24">
        <v>746</v>
      </c>
      <c r="B3012" s="24">
        <v>815586</v>
      </c>
      <c r="C3012" s="24" t="s">
        <v>1418</v>
      </c>
      <c r="D3012" s="24">
        <v>2496</v>
      </c>
    </row>
    <row r="3013" spans="1:4" x14ac:dyDescent="0.25">
      <c r="A3013" s="24">
        <v>1660</v>
      </c>
      <c r="B3013" s="24">
        <v>864391</v>
      </c>
      <c r="C3013" s="24" t="s">
        <v>3578</v>
      </c>
      <c r="D3013" s="24">
        <v>2496</v>
      </c>
    </row>
    <row r="3014" spans="1:4" x14ac:dyDescent="0.25">
      <c r="A3014" s="24">
        <v>1557</v>
      </c>
      <c r="B3014" s="24">
        <v>864404</v>
      </c>
      <c r="C3014" s="24" t="s">
        <v>3579</v>
      </c>
      <c r="D3014" s="24">
        <v>2497</v>
      </c>
    </row>
    <row r="3015" spans="1:4" x14ac:dyDescent="0.25">
      <c r="A3015" s="24">
        <v>3012</v>
      </c>
      <c r="B3015" s="24">
        <v>864412</v>
      </c>
      <c r="C3015" s="24" t="s">
        <v>3580</v>
      </c>
      <c r="D3015" s="24">
        <v>2498</v>
      </c>
    </row>
    <row r="3016" spans="1:4" x14ac:dyDescent="0.25">
      <c r="A3016" s="24">
        <v>1735</v>
      </c>
      <c r="B3016" s="24">
        <v>864421</v>
      </c>
      <c r="C3016" s="24" t="s">
        <v>3581</v>
      </c>
      <c r="D3016" s="24">
        <v>2499</v>
      </c>
    </row>
    <row r="3017" spans="1:4" x14ac:dyDescent="0.25">
      <c r="A3017" s="24">
        <v>1303</v>
      </c>
      <c r="B3017" s="24">
        <v>852929</v>
      </c>
      <c r="C3017" s="24" t="s">
        <v>3102</v>
      </c>
      <c r="D3017" s="24">
        <v>2500</v>
      </c>
    </row>
    <row r="3018" spans="1:4" x14ac:dyDescent="0.25">
      <c r="A3018" s="24">
        <v>2795</v>
      </c>
      <c r="B3018" s="24">
        <v>835684</v>
      </c>
      <c r="C3018" s="24" t="s">
        <v>2364</v>
      </c>
      <c r="D3018" s="24">
        <v>2500</v>
      </c>
    </row>
    <row r="3019" spans="1:4" x14ac:dyDescent="0.25">
      <c r="A3019" s="24">
        <v>3309</v>
      </c>
      <c r="B3019" s="24">
        <v>854735</v>
      </c>
      <c r="C3019" s="24" t="s">
        <v>3170</v>
      </c>
      <c r="D3019" s="24">
        <v>2500</v>
      </c>
    </row>
    <row r="3020" spans="1:4" x14ac:dyDescent="0.25">
      <c r="A3020" s="24">
        <v>3145</v>
      </c>
      <c r="B3020" s="24">
        <v>868591</v>
      </c>
      <c r="C3020" s="24" t="s">
        <v>3766</v>
      </c>
      <c r="D3020" s="24">
        <v>2500</v>
      </c>
    </row>
    <row r="3021" spans="1:4" x14ac:dyDescent="0.25">
      <c r="A3021" s="24">
        <v>950</v>
      </c>
      <c r="B3021" s="24">
        <v>864455</v>
      </c>
      <c r="C3021" s="24" t="s">
        <v>3582</v>
      </c>
      <c r="D3021" s="24">
        <v>2501</v>
      </c>
    </row>
    <row r="3022" spans="1:4" x14ac:dyDescent="0.25">
      <c r="A3022" s="24">
        <v>75</v>
      </c>
      <c r="B3022" s="24">
        <v>873551</v>
      </c>
      <c r="C3022" s="24" t="s">
        <v>4022</v>
      </c>
      <c r="D3022" s="24">
        <v>2502</v>
      </c>
    </row>
    <row r="3023" spans="1:4" x14ac:dyDescent="0.25">
      <c r="A3023" s="24">
        <v>152</v>
      </c>
      <c r="B3023" s="24">
        <v>829722</v>
      </c>
      <c r="C3023" s="24" t="s">
        <v>2077</v>
      </c>
      <c r="D3023" s="24">
        <v>2502</v>
      </c>
    </row>
    <row r="3024" spans="1:4" x14ac:dyDescent="0.25">
      <c r="A3024" s="24">
        <v>312</v>
      </c>
      <c r="B3024" s="24">
        <v>829731</v>
      </c>
      <c r="C3024" s="24" t="s">
        <v>2078</v>
      </c>
      <c r="D3024" s="24">
        <v>2502</v>
      </c>
    </row>
    <row r="3025" spans="1:4" x14ac:dyDescent="0.25">
      <c r="A3025" s="24">
        <v>1003</v>
      </c>
      <c r="B3025" s="24">
        <v>843865</v>
      </c>
      <c r="C3025" s="24" t="s">
        <v>2284</v>
      </c>
      <c r="D3025" s="24">
        <v>2502</v>
      </c>
    </row>
    <row r="3026" spans="1:4" x14ac:dyDescent="0.25">
      <c r="A3026" s="24">
        <v>1631</v>
      </c>
      <c r="B3026" s="24">
        <v>864528</v>
      </c>
      <c r="C3026" s="24" t="s">
        <v>3583</v>
      </c>
      <c r="D3026" s="24">
        <v>2502</v>
      </c>
    </row>
    <row r="3027" spans="1:4" x14ac:dyDescent="0.25">
      <c r="A3027" s="24">
        <v>1347</v>
      </c>
      <c r="B3027" s="24">
        <v>864668</v>
      </c>
      <c r="C3027" s="24" t="s">
        <v>3584</v>
      </c>
      <c r="D3027" s="24">
        <v>2502</v>
      </c>
    </row>
    <row r="3028" spans="1:4" x14ac:dyDescent="0.25">
      <c r="A3028" s="24">
        <v>2128</v>
      </c>
      <c r="B3028" s="24">
        <v>871664</v>
      </c>
      <c r="C3028" s="24" t="s">
        <v>3939</v>
      </c>
      <c r="D3028" s="24">
        <v>2502</v>
      </c>
    </row>
    <row r="3029" spans="1:4" x14ac:dyDescent="0.25">
      <c r="A3029" s="24">
        <v>2642</v>
      </c>
      <c r="B3029" s="24">
        <v>873527</v>
      </c>
      <c r="C3029" s="24" t="s">
        <v>4021</v>
      </c>
      <c r="D3029" s="24">
        <v>2502</v>
      </c>
    </row>
    <row r="3030" spans="1:4" x14ac:dyDescent="0.25">
      <c r="A3030" s="24">
        <v>3044</v>
      </c>
      <c r="B3030" s="24">
        <v>872598</v>
      </c>
      <c r="C3030" s="24" t="s">
        <v>3970</v>
      </c>
      <c r="D3030" s="24">
        <v>2502</v>
      </c>
    </row>
    <row r="3031" spans="1:4" x14ac:dyDescent="0.25">
      <c r="A3031" s="24">
        <v>3319</v>
      </c>
      <c r="B3031" s="24">
        <v>872601</v>
      </c>
      <c r="C3031" s="24" t="s">
        <v>3971</v>
      </c>
      <c r="D3031" s="24">
        <v>2502</v>
      </c>
    </row>
    <row r="3032" spans="1:4" x14ac:dyDescent="0.25">
      <c r="A3032" s="24">
        <v>2934</v>
      </c>
      <c r="B3032" s="24">
        <v>864731</v>
      </c>
      <c r="C3032" s="24" t="s">
        <v>3586</v>
      </c>
      <c r="D3032" s="24">
        <v>2503</v>
      </c>
    </row>
    <row r="3033" spans="1:4" x14ac:dyDescent="0.25">
      <c r="A3033" s="24">
        <v>2514</v>
      </c>
      <c r="B3033" s="24">
        <v>864757</v>
      </c>
      <c r="C3033" s="24" t="s">
        <v>3587</v>
      </c>
      <c r="D3033" s="24">
        <v>2504</v>
      </c>
    </row>
    <row r="3034" spans="1:4" x14ac:dyDescent="0.25">
      <c r="A3034" s="24">
        <v>769</v>
      </c>
      <c r="B3034" s="24">
        <v>864790</v>
      </c>
      <c r="C3034" s="24" t="s">
        <v>3590</v>
      </c>
      <c r="D3034" s="24">
        <v>2505</v>
      </c>
    </row>
    <row r="3035" spans="1:4" x14ac:dyDescent="0.25">
      <c r="A3035" s="24">
        <v>3174</v>
      </c>
      <c r="B3035" s="24">
        <v>838071</v>
      </c>
      <c r="C3035" s="24" t="s">
        <v>2479</v>
      </c>
      <c r="D3035" s="24">
        <v>2505</v>
      </c>
    </row>
    <row r="3036" spans="1:4" x14ac:dyDescent="0.25">
      <c r="A3036" s="24">
        <v>819</v>
      </c>
      <c r="B3036" s="24">
        <v>823996</v>
      </c>
      <c r="C3036" s="24" t="s">
        <v>1853</v>
      </c>
      <c r="D3036" s="24">
        <v>2506</v>
      </c>
    </row>
    <row r="3037" spans="1:4" x14ac:dyDescent="0.25">
      <c r="A3037" s="24">
        <v>1830</v>
      </c>
      <c r="B3037" s="24">
        <v>821942</v>
      </c>
      <c r="C3037" s="24" t="s">
        <v>1733</v>
      </c>
      <c r="D3037" s="24">
        <v>2506</v>
      </c>
    </row>
    <row r="3038" spans="1:4" x14ac:dyDescent="0.25">
      <c r="A3038" s="24">
        <v>2762</v>
      </c>
      <c r="B3038" s="24">
        <v>865265</v>
      </c>
      <c r="C3038" s="24" t="s">
        <v>3591</v>
      </c>
      <c r="D3038" s="24">
        <v>2506</v>
      </c>
    </row>
    <row r="3039" spans="1:4" x14ac:dyDescent="0.25">
      <c r="A3039" s="24">
        <v>2782</v>
      </c>
      <c r="B3039" s="24">
        <v>865273</v>
      </c>
      <c r="C3039" s="24" t="s">
        <v>3592</v>
      </c>
      <c r="D3039" s="24">
        <v>2507</v>
      </c>
    </row>
    <row r="3040" spans="1:4" x14ac:dyDescent="0.25">
      <c r="A3040" s="24">
        <v>1412</v>
      </c>
      <c r="B3040" s="24">
        <v>865290</v>
      </c>
      <c r="C3040" s="24" t="s">
        <v>944</v>
      </c>
      <c r="D3040" s="24">
        <v>2508</v>
      </c>
    </row>
    <row r="3041" spans="1:4" x14ac:dyDescent="0.25">
      <c r="A3041" s="24">
        <v>1769</v>
      </c>
      <c r="B3041" s="24">
        <v>865303</v>
      </c>
      <c r="C3041" s="24" t="s">
        <v>944</v>
      </c>
      <c r="D3041" s="24">
        <v>2509</v>
      </c>
    </row>
    <row r="3042" spans="1:4" x14ac:dyDescent="0.25">
      <c r="A3042" s="24">
        <v>22</v>
      </c>
      <c r="B3042" s="24">
        <v>865311</v>
      </c>
      <c r="C3042" s="24" t="s">
        <v>3593</v>
      </c>
      <c r="D3042" s="24">
        <v>2510</v>
      </c>
    </row>
    <row r="3043" spans="1:4" x14ac:dyDescent="0.25">
      <c r="A3043" s="24">
        <v>3117</v>
      </c>
      <c r="B3043" s="24">
        <v>865346</v>
      </c>
      <c r="C3043" s="24" t="s">
        <v>3595</v>
      </c>
      <c r="D3043" s="24">
        <v>2510</v>
      </c>
    </row>
    <row r="3044" spans="1:4" x14ac:dyDescent="0.25">
      <c r="A3044" s="24">
        <v>3178</v>
      </c>
      <c r="B3044" s="24">
        <v>865338</v>
      </c>
      <c r="C3044" s="24" t="s">
        <v>3594</v>
      </c>
      <c r="D3044" s="24">
        <v>2510</v>
      </c>
    </row>
    <row r="3045" spans="1:4" x14ac:dyDescent="0.25">
      <c r="A3045" s="24">
        <v>1801</v>
      </c>
      <c r="B3045" s="24">
        <v>865354</v>
      </c>
      <c r="C3045" s="24" t="s">
        <v>3596</v>
      </c>
      <c r="D3045" s="24">
        <v>2511</v>
      </c>
    </row>
    <row r="3046" spans="1:4" x14ac:dyDescent="0.25">
      <c r="A3046" s="24">
        <v>199</v>
      </c>
      <c r="B3046" s="24">
        <v>865389</v>
      </c>
      <c r="C3046" s="24" t="s">
        <v>3598</v>
      </c>
      <c r="D3046" s="24">
        <v>2512</v>
      </c>
    </row>
    <row r="3047" spans="1:4" x14ac:dyDescent="0.25">
      <c r="A3047" s="24">
        <v>1009</v>
      </c>
      <c r="B3047" s="24">
        <v>865397</v>
      </c>
      <c r="C3047" s="24" t="s">
        <v>3599</v>
      </c>
      <c r="D3047" s="24">
        <v>2513</v>
      </c>
    </row>
    <row r="3048" spans="1:4" x14ac:dyDescent="0.25">
      <c r="A3048" s="24">
        <v>3122</v>
      </c>
      <c r="B3048" s="24">
        <v>865427</v>
      </c>
      <c r="C3048" s="24" t="s">
        <v>3600</v>
      </c>
      <c r="D3048" s="24">
        <v>2513</v>
      </c>
    </row>
    <row r="3049" spans="1:4" x14ac:dyDescent="0.25">
      <c r="A3049" s="24">
        <v>1837</v>
      </c>
      <c r="B3049" s="24">
        <v>865435</v>
      </c>
      <c r="C3049" s="24" t="s">
        <v>3601</v>
      </c>
      <c r="D3049" s="24">
        <v>2514</v>
      </c>
    </row>
    <row r="3050" spans="1:4" x14ac:dyDescent="0.25">
      <c r="A3050" s="24">
        <v>249</v>
      </c>
      <c r="B3050" s="24">
        <v>865443</v>
      </c>
      <c r="C3050" s="24" t="s">
        <v>3602</v>
      </c>
      <c r="D3050" s="24">
        <v>2515</v>
      </c>
    </row>
    <row r="3051" spans="1:4" x14ac:dyDescent="0.25">
      <c r="A3051" s="24">
        <v>889</v>
      </c>
      <c r="B3051" s="24">
        <v>865451</v>
      </c>
      <c r="C3051" s="24" t="s">
        <v>3603</v>
      </c>
      <c r="D3051" s="24">
        <v>2516</v>
      </c>
    </row>
    <row r="3052" spans="1:4" x14ac:dyDescent="0.25">
      <c r="A3052" s="24">
        <v>2930</v>
      </c>
      <c r="B3052" s="24">
        <v>865460</v>
      </c>
      <c r="C3052" s="24" t="s">
        <v>3604</v>
      </c>
      <c r="D3052" s="24">
        <v>2517</v>
      </c>
    </row>
    <row r="3053" spans="1:4" x14ac:dyDescent="0.25">
      <c r="A3053" s="24">
        <v>2603</v>
      </c>
      <c r="B3053" s="24">
        <v>866571</v>
      </c>
      <c r="C3053" s="24" t="s">
        <v>3675</v>
      </c>
      <c r="D3053" s="24">
        <v>2518</v>
      </c>
    </row>
    <row r="3054" spans="1:4" x14ac:dyDescent="0.25">
      <c r="A3054" s="24">
        <v>2917</v>
      </c>
      <c r="B3054" s="24">
        <v>866580</v>
      </c>
      <c r="C3054" s="24" t="s">
        <v>3676</v>
      </c>
      <c r="D3054" s="24">
        <v>2518</v>
      </c>
    </row>
    <row r="3055" spans="1:4" x14ac:dyDescent="0.25">
      <c r="A3055" s="24">
        <v>2866</v>
      </c>
      <c r="B3055" s="24">
        <v>865478</v>
      </c>
      <c r="C3055" s="24" t="s">
        <v>3605</v>
      </c>
      <c r="D3055" s="24">
        <v>2518</v>
      </c>
    </row>
    <row r="3056" spans="1:4" x14ac:dyDescent="0.25">
      <c r="A3056" s="24">
        <v>3386</v>
      </c>
      <c r="B3056" s="24">
        <v>866563</v>
      </c>
      <c r="C3056" s="24" t="s">
        <v>3674</v>
      </c>
      <c r="D3056" s="24">
        <v>2518</v>
      </c>
    </row>
    <row r="3057" spans="1:4" x14ac:dyDescent="0.25">
      <c r="A3057" s="24">
        <v>2493</v>
      </c>
      <c r="B3057" s="24">
        <v>865486</v>
      </c>
      <c r="C3057" s="24" t="s">
        <v>3606</v>
      </c>
      <c r="D3057" s="24">
        <v>2519</v>
      </c>
    </row>
    <row r="3058" spans="1:4" x14ac:dyDescent="0.25">
      <c r="A3058" s="24">
        <v>715</v>
      </c>
      <c r="B3058" s="24">
        <v>865494</v>
      </c>
      <c r="C3058" s="24" t="s">
        <v>3607</v>
      </c>
      <c r="D3058" s="24">
        <v>2520</v>
      </c>
    </row>
    <row r="3059" spans="1:4" x14ac:dyDescent="0.25">
      <c r="A3059" s="24">
        <v>616</v>
      </c>
      <c r="B3059" s="24">
        <v>865508</v>
      </c>
      <c r="C3059" s="24" t="s">
        <v>3608</v>
      </c>
      <c r="D3059" s="24">
        <v>2521</v>
      </c>
    </row>
    <row r="3060" spans="1:4" x14ac:dyDescent="0.25">
      <c r="A3060" s="24">
        <v>2195</v>
      </c>
      <c r="B3060" s="24">
        <v>865524</v>
      </c>
      <c r="C3060" s="24" t="s">
        <v>3609</v>
      </c>
      <c r="D3060" s="24">
        <v>2522</v>
      </c>
    </row>
    <row r="3061" spans="1:4" x14ac:dyDescent="0.25">
      <c r="A3061" s="24">
        <v>2524</v>
      </c>
      <c r="B3061" s="24">
        <v>865559</v>
      </c>
      <c r="C3061" s="24" t="s">
        <v>3611</v>
      </c>
      <c r="D3061" s="24">
        <v>2523</v>
      </c>
    </row>
    <row r="3062" spans="1:4" x14ac:dyDescent="0.25">
      <c r="A3062" s="24">
        <v>3054</v>
      </c>
      <c r="B3062" s="24">
        <v>865575</v>
      </c>
      <c r="C3062" s="24" t="s">
        <v>3613</v>
      </c>
      <c r="D3062" s="24">
        <v>2524</v>
      </c>
    </row>
    <row r="3063" spans="1:4" x14ac:dyDescent="0.25">
      <c r="A3063" s="24">
        <v>239</v>
      </c>
      <c r="B3063" s="24">
        <v>865583</v>
      </c>
      <c r="C3063" s="24" t="s">
        <v>3614</v>
      </c>
      <c r="D3063" s="24">
        <v>2525</v>
      </c>
    </row>
    <row r="3064" spans="1:4" x14ac:dyDescent="0.25">
      <c r="A3064" s="24">
        <v>2115</v>
      </c>
      <c r="B3064" s="24">
        <v>865605</v>
      </c>
      <c r="C3064" s="24" t="s">
        <v>3615</v>
      </c>
      <c r="D3064" s="24">
        <v>2526</v>
      </c>
    </row>
    <row r="3065" spans="1:4" x14ac:dyDescent="0.25">
      <c r="A3065" s="24">
        <v>1634</v>
      </c>
      <c r="B3065" s="24">
        <v>865613</v>
      </c>
      <c r="C3065" s="24" t="s">
        <v>3616</v>
      </c>
      <c r="D3065" s="24">
        <v>2527</v>
      </c>
    </row>
    <row r="3066" spans="1:4" x14ac:dyDescent="0.25">
      <c r="A3066" s="24">
        <v>584</v>
      </c>
      <c r="B3066" s="24">
        <v>865648</v>
      </c>
      <c r="C3066" s="24" t="s">
        <v>3618</v>
      </c>
      <c r="D3066" s="24">
        <v>2528</v>
      </c>
    </row>
    <row r="3067" spans="1:4" x14ac:dyDescent="0.25">
      <c r="A3067" s="24">
        <v>2468</v>
      </c>
      <c r="B3067" s="24">
        <v>865630</v>
      </c>
      <c r="C3067" s="24" t="s">
        <v>3617</v>
      </c>
      <c r="D3067" s="24">
        <v>2528</v>
      </c>
    </row>
    <row r="3068" spans="1:4" x14ac:dyDescent="0.25">
      <c r="A3068" s="24">
        <v>3190</v>
      </c>
      <c r="B3068" s="24">
        <v>865656</v>
      </c>
      <c r="C3068" s="24" t="s">
        <v>3619</v>
      </c>
      <c r="D3068" s="24">
        <v>2529</v>
      </c>
    </row>
    <row r="3069" spans="1:4" x14ac:dyDescent="0.25">
      <c r="A3069" s="24">
        <v>2677</v>
      </c>
      <c r="B3069" s="24">
        <v>865788</v>
      </c>
      <c r="C3069" s="24" t="s">
        <v>3621</v>
      </c>
      <c r="D3069" s="24">
        <v>2530</v>
      </c>
    </row>
    <row r="3070" spans="1:4" x14ac:dyDescent="0.25">
      <c r="A3070" s="24">
        <v>2946</v>
      </c>
      <c r="B3070" s="24">
        <v>865796</v>
      </c>
      <c r="C3070" s="24" t="s">
        <v>3622</v>
      </c>
      <c r="D3070" s="24">
        <v>2531</v>
      </c>
    </row>
    <row r="3071" spans="1:4" x14ac:dyDescent="0.25">
      <c r="A3071" s="24">
        <v>387</v>
      </c>
      <c r="B3071" s="24">
        <v>865818</v>
      </c>
      <c r="C3071" s="24" t="s">
        <v>3624</v>
      </c>
      <c r="D3071" s="24">
        <v>2532</v>
      </c>
    </row>
    <row r="3072" spans="1:4" x14ac:dyDescent="0.25">
      <c r="A3072" s="24">
        <v>2564</v>
      </c>
      <c r="B3072" s="24">
        <v>865834</v>
      </c>
      <c r="C3072" s="24" t="s">
        <v>3626</v>
      </c>
      <c r="D3072" s="24">
        <v>2533</v>
      </c>
    </row>
    <row r="3073" spans="1:4" x14ac:dyDescent="0.25">
      <c r="A3073" s="24">
        <v>792</v>
      </c>
      <c r="B3073" s="24">
        <v>865826</v>
      </c>
      <c r="C3073" s="24" t="s">
        <v>3625</v>
      </c>
      <c r="D3073" s="24">
        <v>2533</v>
      </c>
    </row>
    <row r="3074" spans="1:4" x14ac:dyDescent="0.25">
      <c r="A3074" s="24">
        <v>2033</v>
      </c>
      <c r="B3074" s="24">
        <v>865842</v>
      </c>
      <c r="C3074" s="24" t="s">
        <v>3627</v>
      </c>
      <c r="D3074" s="24">
        <v>2534</v>
      </c>
    </row>
    <row r="3075" spans="1:4" x14ac:dyDescent="0.25">
      <c r="A3075" s="24">
        <v>2619</v>
      </c>
      <c r="B3075" s="24">
        <v>865851</v>
      </c>
      <c r="C3075" s="24" t="s">
        <v>3628</v>
      </c>
      <c r="D3075" s="24">
        <v>2535</v>
      </c>
    </row>
    <row r="3076" spans="1:4" x14ac:dyDescent="0.25">
      <c r="A3076" s="24">
        <v>129</v>
      </c>
      <c r="B3076" s="24">
        <v>817988</v>
      </c>
      <c r="C3076" s="24" t="s">
        <v>1521</v>
      </c>
      <c r="D3076" s="24">
        <v>2536</v>
      </c>
    </row>
    <row r="3077" spans="1:4" x14ac:dyDescent="0.25">
      <c r="A3077" s="24">
        <v>2063</v>
      </c>
      <c r="B3077" s="24">
        <v>865869</v>
      </c>
      <c r="C3077" s="24" t="s">
        <v>3629</v>
      </c>
      <c r="D3077" s="24">
        <v>2537</v>
      </c>
    </row>
    <row r="3078" spans="1:4" x14ac:dyDescent="0.25">
      <c r="A3078" s="24">
        <v>3041</v>
      </c>
      <c r="B3078" s="24">
        <v>865923</v>
      </c>
      <c r="C3078" s="24" t="s">
        <v>3632</v>
      </c>
      <c r="D3078" s="24">
        <v>2538</v>
      </c>
    </row>
    <row r="3079" spans="1:4" x14ac:dyDescent="0.25">
      <c r="A3079" s="24">
        <v>2666</v>
      </c>
      <c r="B3079" s="24">
        <v>865877</v>
      </c>
      <c r="C3079" s="24" t="s">
        <v>3630</v>
      </c>
      <c r="D3079" s="24">
        <v>2538</v>
      </c>
    </row>
    <row r="3080" spans="1:4" x14ac:dyDescent="0.25">
      <c r="A3080" s="24">
        <v>3300</v>
      </c>
      <c r="B3080" s="24">
        <v>810746</v>
      </c>
      <c r="C3080" s="24" t="s">
        <v>1177</v>
      </c>
      <c r="D3080" s="24">
        <v>2538</v>
      </c>
    </row>
    <row r="3081" spans="1:4" x14ac:dyDescent="0.25">
      <c r="A3081" s="24">
        <v>3144</v>
      </c>
      <c r="B3081" s="24">
        <v>811874</v>
      </c>
      <c r="C3081" s="24" t="s">
        <v>1216</v>
      </c>
      <c r="D3081" s="24">
        <v>2538</v>
      </c>
    </row>
    <row r="3082" spans="1:4" x14ac:dyDescent="0.25">
      <c r="A3082" s="24">
        <v>1149</v>
      </c>
      <c r="B3082" s="24">
        <v>865907</v>
      </c>
      <c r="C3082" s="24" t="s">
        <v>3631</v>
      </c>
      <c r="D3082" s="24">
        <v>2539</v>
      </c>
    </row>
    <row r="3083" spans="1:4" x14ac:dyDescent="0.25">
      <c r="A3083" s="24">
        <v>2413</v>
      </c>
      <c r="B3083" s="24">
        <v>865931</v>
      </c>
      <c r="C3083" s="24" t="s">
        <v>3633</v>
      </c>
      <c r="D3083" s="24">
        <v>2540</v>
      </c>
    </row>
    <row r="3084" spans="1:4" x14ac:dyDescent="0.25">
      <c r="A3084" s="24">
        <v>1891</v>
      </c>
      <c r="B3084" s="24">
        <v>865940</v>
      </c>
      <c r="C3084" s="24" t="s">
        <v>3634</v>
      </c>
      <c r="D3084" s="24">
        <v>2541</v>
      </c>
    </row>
    <row r="3085" spans="1:4" x14ac:dyDescent="0.25">
      <c r="A3085" s="24">
        <v>1770</v>
      </c>
      <c r="B3085" s="24">
        <v>858455</v>
      </c>
      <c r="C3085" s="24" t="s">
        <v>3324</v>
      </c>
      <c r="D3085" s="24">
        <v>2542</v>
      </c>
    </row>
    <row r="3086" spans="1:4" x14ac:dyDescent="0.25">
      <c r="A3086" s="24">
        <v>1026</v>
      </c>
      <c r="B3086" s="24">
        <v>865966</v>
      </c>
      <c r="C3086" s="24" t="s">
        <v>3636</v>
      </c>
      <c r="D3086" s="24">
        <v>2543</v>
      </c>
    </row>
    <row r="3087" spans="1:4" x14ac:dyDescent="0.25">
      <c r="A3087" s="24">
        <v>1208</v>
      </c>
      <c r="B3087" s="24">
        <v>865958</v>
      </c>
      <c r="C3087" s="24" t="s">
        <v>3635</v>
      </c>
      <c r="D3087" s="24">
        <v>2543</v>
      </c>
    </row>
    <row r="3088" spans="1:4" x14ac:dyDescent="0.25">
      <c r="A3088" s="24">
        <v>2634</v>
      </c>
      <c r="B3088" s="24">
        <v>865982</v>
      </c>
      <c r="C3088" s="24" t="s">
        <v>3638</v>
      </c>
      <c r="D3088" s="24">
        <v>2544</v>
      </c>
    </row>
    <row r="3089" spans="1:4" x14ac:dyDescent="0.25">
      <c r="A3089" s="24">
        <v>3426</v>
      </c>
      <c r="B3089" s="24">
        <v>865991</v>
      </c>
      <c r="C3089" s="24" t="s">
        <v>3639</v>
      </c>
      <c r="D3089" s="24">
        <v>2545</v>
      </c>
    </row>
    <row r="3090" spans="1:4" x14ac:dyDescent="0.25">
      <c r="A3090" s="24">
        <v>2116</v>
      </c>
      <c r="B3090" s="24">
        <v>866016</v>
      </c>
      <c r="C3090" s="24" t="s">
        <v>3640</v>
      </c>
      <c r="D3090" s="24">
        <v>2546</v>
      </c>
    </row>
    <row r="3091" spans="1:4" x14ac:dyDescent="0.25">
      <c r="A3091" s="24">
        <v>2741</v>
      </c>
      <c r="B3091" s="24">
        <v>841471</v>
      </c>
      <c r="C3091" s="24" t="s">
        <v>2636</v>
      </c>
      <c r="D3091" s="24">
        <v>2547</v>
      </c>
    </row>
    <row r="3092" spans="1:4" x14ac:dyDescent="0.25">
      <c r="A3092" s="24">
        <v>3431</v>
      </c>
      <c r="B3092" s="24">
        <v>866024</v>
      </c>
      <c r="C3092" s="24" t="s">
        <v>3641</v>
      </c>
      <c r="D3092" s="24">
        <v>2548</v>
      </c>
    </row>
    <row r="3093" spans="1:4" x14ac:dyDescent="0.25">
      <c r="A3093" s="24">
        <v>317</v>
      </c>
      <c r="B3093" s="24">
        <v>866083</v>
      </c>
      <c r="C3093" s="24" t="s">
        <v>3643</v>
      </c>
      <c r="D3093" s="24">
        <v>2549</v>
      </c>
    </row>
    <row r="3094" spans="1:4" x14ac:dyDescent="0.25">
      <c r="A3094" s="24">
        <v>3180</v>
      </c>
      <c r="B3094" s="24">
        <v>866075</v>
      </c>
      <c r="C3094" s="24" t="s">
        <v>3642</v>
      </c>
      <c r="D3094" s="24">
        <v>2549</v>
      </c>
    </row>
    <row r="3095" spans="1:4" x14ac:dyDescent="0.25">
      <c r="A3095" s="24">
        <v>772</v>
      </c>
      <c r="B3095" s="24">
        <v>866121</v>
      </c>
      <c r="C3095" s="24" t="s">
        <v>3644</v>
      </c>
      <c r="D3095" s="24">
        <v>2550</v>
      </c>
    </row>
    <row r="3096" spans="1:4" x14ac:dyDescent="0.25">
      <c r="A3096" s="24">
        <v>1875</v>
      </c>
      <c r="B3096" s="24">
        <v>866130</v>
      </c>
      <c r="C3096" s="24" t="s">
        <v>3645</v>
      </c>
      <c r="D3096" s="24">
        <v>2551</v>
      </c>
    </row>
    <row r="3097" spans="1:4" x14ac:dyDescent="0.25">
      <c r="A3097" s="24">
        <v>1455</v>
      </c>
      <c r="B3097" s="24">
        <v>866148</v>
      </c>
      <c r="C3097" s="24" t="s">
        <v>3646</v>
      </c>
      <c r="D3097" s="24">
        <v>2552</v>
      </c>
    </row>
    <row r="3098" spans="1:4" x14ac:dyDescent="0.25">
      <c r="A3098" s="24">
        <v>1911</v>
      </c>
      <c r="B3098" s="24">
        <v>950131</v>
      </c>
      <c r="C3098" s="24" t="s">
        <v>4115</v>
      </c>
      <c r="D3098" s="24">
        <v>2553</v>
      </c>
    </row>
    <row r="3099" spans="1:4" x14ac:dyDescent="0.25">
      <c r="A3099" s="24">
        <v>3227</v>
      </c>
      <c r="B3099" s="24">
        <v>866156</v>
      </c>
      <c r="C3099" s="24" t="s">
        <v>3647</v>
      </c>
      <c r="D3099" s="24">
        <v>2553</v>
      </c>
    </row>
    <row r="3100" spans="1:4" x14ac:dyDescent="0.25">
      <c r="A3100" s="24">
        <v>1417</v>
      </c>
      <c r="B3100" s="24">
        <v>866164</v>
      </c>
      <c r="C3100" s="24" t="s">
        <v>3648</v>
      </c>
      <c r="D3100" s="24">
        <v>2554</v>
      </c>
    </row>
    <row r="3101" spans="1:4" x14ac:dyDescent="0.25">
      <c r="A3101" s="24">
        <v>514</v>
      </c>
      <c r="B3101" s="24">
        <v>866172</v>
      </c>
      <c r="C3101" s="24" t="s">
        <v>4132</v>
      </c>
      <c r="D3101" s="24">
        <v>2555</v>
      </c>
    </row>
    <row r="3102" spans="1:4" x14ac:dyDescent="0.25">
      <c r="A3102" s="24">
        <v>957</v>
      </c>
      <c r="B3102" s="24">
        <v>828386</v>
      </c>
      <c r="C3102" s="24" t="s">
        <v>2026</v>
      </c>
      <c r="D3102" s="24">
        <v>2555</v>
      </c>
    </row>
    <row r="3103" spans="1:4" x14ac:dyDescent="0.25">
      <c r="A3103" s="24">
        <v>2170</v>
      </c>
      <c r="B3103" s="24">
        <v>869694</v>
      </c>
      <c r="C3103" s="24" t="s">
        <v>3829</v>
      </c>
      <c r="D3103" s="24">
        <v>2555</v>
      </c>
    </row>
    <row r="3104" spans="1:4" x14ac:dyDescent="0.25">
      <c r="A3104" s="24">
        <v>2841</v>
      </c>
      <c r="B3104" s="24">
        <v>866181</v>
      </c>
      <c r="C3104" s="24" t="s">
        <v>3649</v>
      </c>
      <c r="D3104" s="24">
        <v>2555</v>
      </c>
    </row>
    <row r="3105" spans="1:4" x14ac:dyDescent="0.25">
      <c r="A3105" s="24">
        <v>2573</v>
      </c>
      <c r="B3105" s="24">
        <v>866211</v>
      </c>
      <c r="C3105" s="24" t="s">
        <v>3650</v>
      </c>
      <c r="D3105" s="24">
        <v>2556</v>
      </c>
    </row>
    <row r="3106" spans="1:4" x14ac:dyDescent="0.25">
      <c r="A3106" s="24">
        <v>1773</v>
      </c>
      <c r="B3106" s="24">
        <v>866237</v>
      </c>
      <c r="C3106" s="24" t="s">
        <v>3651</v>
      </c>
      <c r="D3106" s="24">
        <v>2557</v>
      </c>
    </row>
    <row r="3107" spans="1:4" x14ac:dyDescent="0.25">
      <c r="A3107" s="24">
        <v>1064</v>
      </c>
      <c r="B3107" s="24">
        <v>866245</v>
      </c>
      <c r="C3107" s="24" t="s">
        <v>3652</v>
      </c>
      <c r="D3107" s="24">
        <v>2558</v>
      </c>
    </row>
    <row r="3108" spans="1:4" x14ac:dyDescent="0.25">
      <c r="A3108" s="24">
        <v>2644</v>
      </c>
      <c r="B3108" s="24">
        <v>866253</v>
      </c>
      <c r="C3108" s="24" t="s">
        <v>3653</v>
      </c>
      <c r="D3108" s="24">
        <v>2559</v>
      </c>
    </row>
    <row r="3109" spans="1:4" x14ac:dyDescent="0.25">
      <c r="A3109" s="24">
        <v>1899</v>
      </c>
      <c r="B3109" s="24">
        <v>850314</v>
      </c>
      <c r="C3109" s="24" t="s">
        <v>2983</v>
      </c>
      <c r="D3109" s="24">
        <v>2560</v>
      </c>
    </row>
    <row r="3110" spans="1:4" x14ac:dyDescent="0.25">
      <c r="A3110" s="24">
        <v>1903</v>
      </c>
      <c r="B3110" s="24">
        <v>866270</v>
      </c>
      <c r="C3110" s="24" t="s">
        <v>3655</v>
      </c>
      <c r="D3110" s="24">
        <v>2560</v>
      </c>
    </row>
    <row r="3111" spans="1:4" x14ac:dyDescent="0.25">
      <c r="A3111" s="24">
        <v>3458</v>
      </c>
      <c r="B3111" s="24">
        <v>866318</v>
      </c>
      <c r="C3111" s="24" t="s">
        <v>3656</v>
      </c>
      <c r="D3111" s="24">
        <v>2561</v>
      </c>
    </row>
    <row r="3112" spans="1:4" x14ac:dyDescent="0.25">
      <c r="A3112" s="24">
        <v>2879</v>
      </c>
      <c r="B3112" s="24">
        <v>866334</v>
      </c>
      <c r="C3112" s="24" t="s">
        <v>3657</v>
      </c>
      <c r="D3112" s="24">
        <v>2562</v>
      </c>
    </row>
    <row r="3113" spans="1:4" x14ac:dyDescent="0.25">
      <c r="A3113" s="24">
        <v>880</v>
      </c>
      <c r="B3113" s="24">
        <v>866342</v>
      </c>
      <c r="C3113" s="24" t="s">
        <v>3658</v>
      </c>
      <c r="D3113" s="24">
        <v>2563</v>
      </c>
    </row>
    <row r="3114" spans="1:4" x14ac:dyDescent="0.25">
      <c r="A3114" s="24">
        <v>661</v>
      </c>
      <c r="B3114" s="24">
        <v>866369</v>
      </c>
      <c r="C3114" s="24" t="s">
        <v>3660</v>
      </c>
      <c r="D3114" s="24">
        <v>2564</v>
      </c>
    </row>
    <row r="3115" spans="1:4" x14ac:dyDescent="0.25">
      <c r="A3115" s="24">
        <v>1854</v>
      </c>
      <c r="B3115" s="24">
        <v>866351</v>
      </c>
      <c r="C3115" s="24" t="s">
        <v>3659</v>
      </c>
      <c r="D3115" s="24">
        <v>2564</v>
      </c>
    </row>
    <row r="3116" spans="1:4" x14ac:dyDescent="0.25">
      <c r="A3116" s="24">
        <v>283</v>
      </c>
      <c r="B3116" s="24">
        <v>866377</v>
      </c>
      <c r="C3116" s="24" t="s">
        <v>3661</v>
      </c>
      <c r="D3116" s="24">
        <v>2565</v>
      </c>
    </row>
    <row r="3117" spans="1:4" x14ac:dyDescent="0.25">
      <c r="A3117" s="24">
        <v>158</v>
      </c>
      <c r="B3117" s="24">
        <v>866393</v>
      </c>
      <c r="C3117" s="24" t="s">
        <v>3663</v>
      </c>
      <c r="D3117" s="24">
        <v>2566</v>
      </c>
    </row>
    <row r="3118" spans="1:4" x14ac:dyDescent="0.25">
      <c r="A3118" s="24">
        <v>3452</v>
      </c>
      <c r="B3118" s="24">
        <v>866385</v>
      </c>
      <c r="C3118" s="24" t="s">
        <v>3662</v>
      </c>
      <c r="D3118" s="24">
        <v>2566</v>
      </c>
    </row>
    <row r="3119" spans="1:4" x14ac:dyDescent="0.25">
      <c r="A3119" s="24">
        <v>2572</v>
      </c>
      <c r="B3119" s="24">
        <v>866407</v>
      </c>
      <c r="C3119" s="24" t="s">
        <v>3664</v>
      </c>
      <c r="D3119" s="24">
        <v>2567</v>
      </c>
    </row>
    <row r="3120" spans="1:4" x14ac:dyDescent="0.25">
      <c r="A3120" s="24">
        <v>1047</v>
      </c>
      <c r="B3120" s="24">
        <v>866431</v>
      </c>
      <c r="C3120" s="24" t="s">
        <v>3667</v>
      </c>
      <c r="D3120" s="24">
        <v>2568</v>
      </c>
    </row>
    <row r="3121" spans="1:4" x14ac:dyDescent="0.25">
      <c r="A3121" s="24">
        <v>2732</v>
      </c>
      <c r="B3121" s="24">
        <v>866440</v>
      </c>
      <c r="C3121" s="24" t="s">
        <v>3668</v>
      </c>
      <c r="D3121" s="24">
        <v>2569</v>
      </c>
    </row>
    <row r="3122" spans="1:4" x14ac:dyDescent="0.25">
      <c r="A3122" s="24">
        <v>179</v>
      </c>
      <c r="B3122" s="24">
        <v>866458</v>
      </c>
      <c r="C3122" s="24" t="s">
        <v>3669</v>
      </c>
      <c r="D3122" s="24">
        <v>2570</v>
      </c>
    </row>
    <row r="3123" spans="1:4" x14ac:dyDescent="0.25">
      <c r="A3123" s="24">
        <v>197</v>
      </c>
      <c r="B3123" s="24">
        <v>866466</v>
      </c>
      <c r="C3123" s="24" t="s">
        <v>3670</v>
      </c>
      <c r="D3123" s="24">
        <v>2571</v>
      </c>
    </row>
    <row r="3124" spans="1:4" x14ac:dyDescent="0.25">
      <c r="A3124" s="24">
        <v>782</v>
      </c>
      <c r="B3124" s="24">
        <v>866482</v>
      </c>
      <c r="C3124" s="24" t="s">
        <v>3671</v>
      </c>
      <c r="D3124" s="24">
        <v>2572</v>
      </c>
    </row>
    <row r="3125" spans="1:4" x14ac:dyDescent="0.25">
      <c r="A3125" s="24">
        <v>263</v>
      </c>
      <c r="B3125" s="24">
        <v>950084</v>
      </c>
      <c r="C3125" s="24" t="s">
        <v>4110</v>
      </c>
      <c r="D3125" s="24">
        <v>2573</v>
      </c>
    </row>
    <row r="3126" spans="1:4" x14ac:dyDescent="0.25">
      <c r="A3126" s="24">
        <v>2488</v>
      </c>
      <c r="B3126" s="24">
        <v>866491</v>
      </c>
      <c r="C3126" s="24" t="s">
        <v>3672</v>
      </c>
      <c r="D3126" s="24">
        <v>2573</v>
      </c>
    </row>
    <row r="3127" spans="1:4" x14ac:dyDescent="0.25">
      <c r="A3127" s="24">
        <v>663</v>
      </c>
      <c r="B3127" s="24">
        <v>866539</v>
      </c>
      <c r="C3127" s="24" t="s">
        <v>3673</v>
      </c>
      <c r="D3127" s="24">
        <v>2574</v>
      </c>
    </row>
    <row r="3128" spans="1:4" x14ac:dyDescent="0.25">
      <c r="A3128" s="24">
        <v>1760</v>
      </c>
      <c r="B3128" s="24">
        <v>825344</v>
      </c>
      <c r="C3128" s="24" t="s">
        <v>1896</v>
      </c>
      <c r="D3128" s="24">
        <v>2575</v>
      </c>
    </row>
    <row r="3129" spans="1:4" x14ac:dyDescent="0.25">
      <c r="A3129" s="24">
        <v>227</v>
      </c>
      <c r="B3129" s="24">
        <v>866598</v>
      </c>
      <c r="C3129" s="24" t="s">
        <v>3677</v>
      </c>
      <c r="D3129" s="24">
        <v>2576</v>
      </c>
    </row>
    <row r="3130" spans="1:4" x14ac:dyDescent="0.25">
      <c r="A3130" s="24">
        <v>1551</v>
      </c>
      <c r="B3130" s="24">
        <v>866644</v>
      </c>
      <c r="C3130" s="24" t="s">
        <v>3679</v>
      </c>
      <c r="D3130" s="24">
        <v>2577</v>
      </c>
    </row>
    <row r="3131" spans="1:4" x14ac:dyDescent="0.25">
      <c r="A3131" s="24">
        <v>720</v>
      </c>
      <c r="B3131" s="24">
        <v>866661</v>
      </c>
      <c r="C3131" s="24" t="s">
        <v>3680</v>
      </c>
      <c r="D3131" s="24">
        <v>2578</v>
      </c>
    </row>
    <row r="3132" spans="1:4" x14ac:dyDescent="0.25">
      <c r="A3132" s="24">
        <v>2944</v>
      </c>
      <c r="B3132" s="24">
        <v>866679</v>
      </c>
      <c r="C3132" s="24" t="s">
        <v>3681</v>
      </c>
      <c r="D3132" s="24">
        <v>2579</v>
      </c>
    </row>
    <row r="3133" spans="1:4" x14ac:dyDescent="0.25">
      <c r="A3133" s="24">
        <v>3109</v>
      </c>
      <c r="B3133" s="24">
        <v>866687</v>
      </c>
      <c r="C3133" s="24" t="s">
        <v>3682</v>
      </c>
      <c r="D3133" s="24">
        <v>2580</v>
      </c>
    </row>
    <row r="3134" spans="1:4" x14ac:dyDescent="0.25">
      <c r="A3134" s="24">
        <v>3025</v>
      </c>
      <c r="B3134" s="24">
        <v>866695</v>
      </c>
      <c r="C3134" s="24" t="s">
        <v>3683</v>
      </c>
      <c r="D3134" s="24">
        <v>2581</v>
      </c>
    </row>
    <row r="3135" spans="1:4" x14ac:dyDescent="0.25">
      <c r="A3135" s="24">
        <v>214</v>
      </c>
      <c r="B3135" s="24">
        <v>866709</v>
      </c>
      <c r="C3135" s="24" t="s">
        <v>3684</v>
      </c>
      <c r="D3135" s="24">
        <v>2582</v>
      </c>
    </row>
    <row r="3136" spans="1:4" x14ac:dyDescent="0.25">
      <c r="A3136" s="24">
        <v>853</v>
      </c>
      <c r="B3136" s="24">
        <v>866717</v>
      </c>
      <c r="C3136" s="24" t="s">
        <v>3685</v>
      </c>
      <c r="D3136" s="24">
        <v>2583</v>
      </c>
    </row>
    <row r="3137" spans="1:4" x14ac:dyDescent="0.25">
      <c r="A3137" s="24">
        <v>2578</v>
      </c>
      <c r="B3137" s="24">
        <v>866725</v>
      </c>
      <c r="C3137" s="24" t="s">
        <v>3686</v>
      </c>
      <c r="D3137" s="24">
        <v>2584</v>
      </c>
    </row>
    <row r="3138" spans="1:4" x14ac:dyDescent="0.25">
      <c r="A3138" s="24">
        <v>393</v>
      </c>
      <c r="B3138" s="24">
        <v>866792</v>
      </c>
      <c r="C3138" s="24" t="s">
        <v>3687</v>
      </c>
      <c r="D3138" s="24">
        <v>2585</v>
      </c>
    </row>
    <row r="3139" spans="1:4" x14ac:dyDescent="0.25">
      <c r="A3139" s="24">
        <v>1187</v>
      </c>
      <c r="B3139" s="24">
        <v>867195</v>
      </c>
      <c r="C3139" s="24" t="s">
        <v>3688</v>
      </c>
      <c r="D3139" s="24">
        <v>2586</v>
      </c>
    </row>
    <row r="3140" spans="1:4" x14ac:dyDescent="0.25">
      <c r="A3140" s="24">
        <v>931</v>
      </c>
      <c r="B3140" s="24">
        <v>867233</v>
      </c>
      <c r="C3140" s="24" t="s">
        <v>3689</v>
      </c>
      <c r="D3140" s="24">
        <v>2587</v>
      </c>
    </row>
    <row r="3141" spans="1:4" x14ac:dyDescent="0.25">
      <c r="A3141" s="24">
        <v>1677</v>
      </c>
      <c r="B3141" s="24">
        <v>879703</v>
      </c>
      <c r="C3141" s="24" t="s">
        <v>4094</v>
      </c>
      <c r="D3141" s="24">
        <v>2588</v>
      </c>
    </row>
    <row r="3142" spans="1:4" x14ac:dyDescent="0.25">
      <c r="A3142" s="24">
        <v>2355</v>
      </c>
      <c r="B3142" s="24">
        <v>992151</v>
      </c>
      <c r="C3142" s="24" t="s">
        <v>4127</v>
      </c>
      <c r="D3142" s="24">
        <v>2588</v>
      </c>
    </row>
    <row r="3143" spans="1:4" x14ac:dyDescent="0.25">
      <c r="A3143" s="24">
        <v>3312</v>
      </c>
      <c r="B3143" s="24">
        <v>992160</v>
      </c>
      <c r="C3143" s="24" t="s">
        <v>4128</v>
      </c>
      <c r="D3143" s="24">
        <v>2588</v>
      </c>
    </row>
    <row r="3144" spans="1:4" x14ac:dyDescent="0.25">
      <c r="A3144" s="24">
        <v>2553</v>
      </c>
      <c r="B3144" s="24">
        <v>867250</v>
      </c>
      <c r="C3144" s="24" t="s">
        <v>3690</v>
      </c>
      <c r="D3144" s="24">
        <v>2589</v>
      </c>
    </row>
    <row r="3145" spans="1:4" x14ac:dyDescent="0.25">
      <c r="A3145" s="24">
        <v>2594</v>
      </c>
      <c r="B3145" s="24">
        <v>867276</v>
      </c>
      <c r="C3145" s="24" t="s">
        <v>3692</v>
      </c>
      <c r="D3145" s="24">
        <v>2590</v>
      </c>
    </row>
    <row r="3146" spans="1:4" x14ac:dyDescent="0.25">
      <c r="A3146" s="24">
        <v>2084</v>
      </c>
      <c r="B3146" s="24">
        <v>841056</v>
      </c>
      <c r="C3146" s="24" t="s">
        <v>2617</v>
      </c>
      <c r="D3146" s="24">
        <v>2591</v>
      </c>
    </row>
    <row r="3147" spans="1:4" x14ac:dyDescent="0.25">
      <c r="A3147" s="24">
        <v>1730</v>
      </c>
      <c r="B3147" s="24">
        <v>867284</v>
      </c>
      <c r="C3147" s="24" t="s">
        <v>3693</v>
      </c>
      <c r="D3147" s="24">
        <v>2592</v>
      </c>
    </row>
    <row r="3148" spans="1:4" x14ac:dyDescent="0.25">
      <c r="A3148" s="24">
        <v>2914</v>
      </c>
      <c r="B3148" s="24">
        <v>867314</v>
      </c>
      <c r="C3148" s="24" t="s">
        <v>3694</v>
      </c>
      <c r="D3148" s="24">
        <v>2593</v>
      </c>
    </row>
    <row r="3149" spans="1:4" x14ac:dyDescent="0.25">
      <c r="A3149" s="24">
        <v>2388</v>
      </c>
      <c r="B3149" s="24">
        <v>867349</v>
      </c>
      <c r="C3149" s="24" t="s">
        <v>3696</v>
      </c>
      <c r="D3149" s="24">
        <v>2594</v>
      </c>
    </row>
    <row r="3150" spans="1:4" x14ac:dyDescent="0.25">
      <c r="A3150" s="24">
        <v>2976</v>
      </c>
      <c r="B3150" s="24">
        <v>867365</v>
      </c>
      <c r="C3150" s="24" t="s">
        <v>3698</v>
      </c>
      <c r="D3150" s="24">
        <v>2595</v>
      </c>
    </row>
    <row r="3151" spans="1:4" x14ac:dyDescent="0.25">
      <c r="A3151" s="24">
        <v>687</v>
      </c>
      <c r="B3151" s="24">
        <v>867373</v>
      </c>
      <c r="C3151" s="24" t="s">
        <v>3699</v>
      </c>
      <c r="D3151" s="24">
        <v>2596</v>
      </c>
    </row>
    <row r="3152" spans="1:4" x14ac:dyDescent="0.25">
      <c r="A3152" s="24">
        <v>2733</v>
      </c>
      <c r="B3152" s="24">
        <v>867381</v>
      </c>
      <c r="C3152" s="24" t="s">
        <v>3700</v>
      </c>
      <c r="D3152" s="24">
        <v>2597</v>
      </c>
    </row>
    <row r="3153" spans="1:4" x14ac:dyDescent="0.25">
      <c r="A3153" s="24">
        <v>230</v>
      </c>
      <c r="B3153" s="24">
        <v>867411</v>
      </c>
      <c r="C3153" s="24" t="s">
        <v>3701</v>
      </c>
      <c r="D3153" s="24">
        <v>2598</v>
      </c>
    </row>
    <row r="3154" spans="1:4" x14ac:dyDescent="0.25">
      <c r="A3154" s="24">
        <v>1917</v>
      </c>
      <c r="B3154" s="24">
        <v>867446</v>
      </c>
      <c r="C3154" s="24" t="s">
        <v>3703</v>
      </c>
      <c r="D3154" s="24">
        <v>2599</v>
      </c>
    </row>
    <row r="3155" spans="1:4" x14ac:dyDescent="0.25">
      <c r="A3155" s="24">
        <v>1578</v>
      </c>
      <c r="B3155" s="24">
        <v>867471</v>
      </c>
      <c r="C3155" s="24" t="s">
        <v>3705</v>
      </c>
      <c r="D3155" s="24">
        <v>2600</v>
      </c>
    </row>
    <row r="3156" spans="1:4" x14ac:dyDescent="0.25">
      <c r="A3156" s="24">
        <v>1097</v>
      </c>
      <c r="B3156" s="24">
        <v>867489</v>
      </c>
      <c r="C3156" s="24" t="s">
        <v>3706</v>
      </c>
      <c r="D3156" s="24">
        <v>2601</v>
      </c>
    </row>
    <row r="3157" spans="1:4" x14ac:dyDescent="0.25">
      <c r="A3157" s="24">
        <v>951</v>
      </c>
      <c r="B3157" s="24">
        <v>867497</v>
      </c>
      <c r="C3157" s="24" t="s">
        <v>3707</v>
      </c>
      <c r="D3157" s="24">
        <v>2602</v>
      </c>
    </row>
    <row r="3158" spans="1:4" x14ac:dyDescent="0.25">
      <c r="A3158" s="24">
        <v>582</v>
      </c>
      <c r="B3158" s="24">
        <v>867501</v>
      </c>
      <c r="C3158" s="24" t="s">
        <v>3708</v>
      </c>
      <c r="D3158" s="24">
        <v>2603</v>
      </c>
    </row>
    <row r="3159" spans="1:4" x14ac:dyDescent="0.25">
      <c r="A3159" s="24">
        <v>2916</v>
      </c>
      <c r="B3159" s="24">
        <v>867527</v>
      </c>
      <c r="C3159" s="24" t="s">
        <v>3709</v>
      </c>
      <c r="D3159" s="24">
        <v>2604</v>
      </c>
    </row>
    <row r="3160" spans="1:4" x14ac:dyDescent="0.25">
      <c r="A3160" s="24">
        <v>1323</v>
      </c>
      <c r="B3160" s="24">
        <v>867543</v>
      </c>
      <c r="C3160" s="24" t="s">
        <v>3710</v>
      </c>
      <c r="D3160" s="24">
        <v>2605</v>
      </c>
    </row>
    <row r="3161" spans="1:4" x14ac:dyDescent="0.25">
      <c r="A3161" s="24">
        <v>542</v>
      </c>
      <c r="B3161" s="24">
        <v>867551</v>
      </c>
      <c r="C3161" s="24" t="s">
        <v>3711</v>
      </c>
      <c r="D3161" s="24">
        <v>2606</v>
      </c>
    </row>
    <row r="3162" spans="1:4" x14ac:dyDescent="0.25">
      <c r="A3162" s="24">
        <v>3042</v>
      </c>
      <c r="B3162" s="24">
        <v>867578</v>
      </c>
      <c r="C3162" s="24" t="s">
        <v>3712</v>
      </c>
      <c r="D3162" s="24">
        <v>2607</v>
      </c>
    </row>
    <row r="3163" spans="1:4" x14ac:dyDescent="0.25">
      <c r="A3163" s="24">
        <v>151</v>
      </c>
      <c r="B3163" s="24">
        <v>867586</v>
      </c>
      <c r="C3163" s="24" t="s">
        <v>3713</v>
      </c>
      <c r="D3163" s="24">
        <v>2608</v>
      </c>
    </row>
    <row r="3164" spans="1:4" x14ac:dyDescent="0.25">
      <c r="A3164" s="24">
        <v>799</v>
      </c>
      <c r="B3164" s="24">
        <v>867594</v>
      </c>
      <c r="C3164" s="24" t="s">
        <v>3714</v>
      </c>
      <c r="D3164" s="24">
        <v>2609</v>
      </c>
    </row>
    <row r="3165" spans="1:4" x14ac:dyDescent="0.25">
      <c r="A3165" s="24">
        <v>1219</v>
      </c>
      <c r="B3165" s="24">
        <v>867608</v>
      </c>
      <c r="C3165" s="24" t="s">
        <v>3715</v>
      </c>
      <c r="D3165" s="24">
        <v>2610</v>
      </c>
    </row>
    <row r="3166" spans="1:4" x14ac:dyDescent="0.25">
      <c r="A3166" s="24">
        <v>2935</v>
      </c>
      <c r="B3166" s="24">
        <v>867616</v>
      </c>
      <c r="C3166" s="24" t="s">
        <v>3716</v>
      </c>
      <c r="D3166" s="24">
        <v>2610</v>
      </c>
    </row>
    <row r="3167" spans="1:4" x14ac:dyDescent="0.25">
      <c r="A3167" s="24">
        <v>1318</v>
      </c>
      <c r="B3167" s="24">
        <v>867641</v>
      </c>
      <c r="C3167" s="24" t="s">
        <v>3718</v>
      </c>
      <c r="D3167" s="24">
        <v>2611</v>
      </c>
    </row>
    <row r="3168" spans="1:4" x14ac:dyDescent="0.25">
      <c r="A3168" s="24">
        <v>1475</v>
      </c>
      <c r="B3168" s="24">
        <v>867659</v>
      </c>
      <c r="C3168" s="24" t="s">
        <v>3719</v>
      </c>
      <c r="D3168" s="24">
        <v>2612</v>
      </c>
    </row>
    <row r="3169" spans="1:4" x14ac:dyDescent="0.25">
      <c r="A3169" s="24">
        <v>1128</v>
      </c>
      <c r="B3169" s="24">
        <v>867667</v>
      </c>
      <c r="C3169" s="24" t="s">
        <v>3720</v>
      </c>
      <c r="D3169" s="24">
        <v>2613</v>
      </c>
    </row>
    <row r="3170" spans="1:4" x14ac:dyDescent="0.25">
      <c r="A3170" s="24">
        <v>2024</v>
      </c>
      <c r="B3170" s="24">
        <v>867691</v>
      </c>
      <c r="C3170" s="24" t="s">
        <v>3721</v>
      </c>
      <c r="D3170" s="24">
        <v>2614</v>
      </c>
    </row>
    <row r="3171" spans="1:4" x14ac:dyDescent="0.25">
      <c r="A3171" s="24">
        <v>1135</v>
      </c>
      <c r="B3171" s="24">
        <v>867705</v>
      </c>
      <c r="C3171" s="24" t="s">
        <v>3722</v>
      </c>
      <c r="D3171" s="24">
        <v>2615</v>
      </c>
    </row>
    <row r="3172" spans="1:4" x14ac:dyDescent="0.25">
      <c r="A3172" s="24">
        <v>7</v>
      </c>
      <c r="B3172" s="24">
        <v>867713</v>
      </c>
      <c r="C3172" s="24" t="s">
        <v>3723</v>
      </c>
      <c r="D3172" s="24">
        <v>2616</v>
      </c>
    </row>
    <row r="3173" spans="1:4" x14ac:dyDescent="0.25">
      <c r="A3173" s="24">
        <v>1736</v>
      </c>
      <c r="B3173" s="24">
        <v>867748</v>
      </c>
      <c r="C3173" s="24" t="s">
        <v>3724</v>
      </c>
      <c r="D3173" s="24">
        <v>2617</v>
      </c>
    </row>
    <row r="3174" spans="1:4" x14ac:dyDescent="0.25">
      <c r="A3174" s="24">
        <v>2836</v>
      </c>
      <c r="B3174" s="24">
        <v>867772</v>
      </c>
      <c r="C3174" s="24" t="s">
        <v>3725</v>
      </c>
      <c r="D3174" s="24">
        <v>2618</v>
      </c>
    </row>
    <row r="3175" spans="1:4" x14ac:dyDescent="0.25">
      <c r="A3175" s="24">
        <v>1600</v>
      </c>
      <c r="B3175" s="24">
        <v>867799</v>
      </c>
      <c r="C3175" s="24" t="s">
        <v>3727</v>
      </c>
      <c r="D3175" s="24">
        <v>2619</v>
      </c>
    </row>
    <row r="3176" spans="1:4" x14ac:dyDescent="0.25">
      <c r="A3176" s="24">
        <v>1351</v>
      </c>
      <c r="B3176" s="24">
        <v>867811</v>
      </c>
      <c r="C3176" s="24" t="s">
        <v>3728</v>
      </c>
      <c r="D3176" s="24">
        <v>2620</v>
      </c>
    </row>
    <row r="3177" spans="1:4" x14ac:dyDescent="0.25">
      <c r="A3177" s="24">
        <v>2765</v>
      </c>
      <c r="B3177" s="24">
        <v>867837</v>
      </c>
      <c r="C3177" s="24" t="s">
        <v>3729</v>
      </c>
      <c r="D3177" s="24">
        <v>2621</v>
      </c>
    </row>
    <row r="3178" spans="1:4" x14ac:dyDescent="0.25">
      <c r="A3178" s="24">
        <v>2692</v>
      </c>
      <c r="B3178" s="24">
        <v>867845</v>
      </c>
      <c r="C3178" s="24" t="s">
        <v>3730</v>
      </c>
      <c r="D3178" s="24">
        <v>2622</v>
      </c>
    </row>
    <row r="3179" spans="1:4" x14ac:dyDescent="0.25">
      <c r="A3179" s="24">
        <v>1566</v>
      </c>
      <c r="B3179" s="24">
        <v>867853</v>
      </c>
      <c r="C3179" s="24" t="s">
        <v>3731</v>
      </c>
      <c r="D3179" s="24">
        <v>2623</v>
      </c>
    </row>
    <row r="3180" spans="1:4" x14ac:dyDescent="0.25">
      <c r="A3180" s="24">
        <v>538</v>
      </c>
      <c r="B3180" s="24">
        <v>867632</v>
      </c>
      <c r="C3180" s="24" t="s">
        <v>3717</v>
      </c>
      <c r="D3180" s="24">
        <v>2624</v>
      </c>
    </row>
    <row r="3181" spans="1:4" x14ac:dyDescent="0.25">
      <c r="A3181" s="24">
        <v>1670</v>
      </c>
      <c r="B3181" s="24">
        <v>867888</v>
      </c>
      <c r="C3181" s="24" t="s">
        <v>3734</v>
      </c>
      <c r="D3181" s="24">
        <v>2625</v>
      </c>
    </row>
    <row r="3182" spans="1:4" x14ac:dyDescent="0.25">
      <c r="A3182" s="24">
        <v>1476</v>
      </c>
      <c r="B3182" s="24">
        <v>867870</v>
      </c>
      <c r="C3182" s="24" t="s">
        <v>3733</v>
      </c>
      <c r="D3182" s="24">
        <v>2625</v>
      </c>
    </row>
    <row r="3183" spans="1:4" x14ac:dyDescent="0.25">
      <c r="A3183" s="24">
        <v>2539</v>
      </c>
      <c r="B3183" s="24">
        <v>867861</v>
      </c>
      <c r="C3183" s="24" t="s">
        <v>3732</v>
      </c>
      <c r="D3183" s="24">
        <v>2625</v>
      </c>
    </row>
    <row r="3184" spans="1:4" x14ac:dyDescent="0.25">
      <c r="A3184" s="24">
        <v>1295</v>
      </c>
      <c r="B3184" s="24">
        <v>864773</v>
      </c>
      <c r="C3184" s="24" t="s">
        <v>3589</v>
      </c>
      <c r="D3184" s="24">
        <v>2626</v>
      </c>
    </row>
    <row r="3185" spans="1:4" x14ac:dyDescent="0.25">
      <c r="A3185" s="24">
        <v>1148</v>
      </c>
      <c r="B3185" s="24">
        <v>867900</v>
      </c>
      <c r="C3185" s="24" t="s">
        <v>935</v>
      </c>
      <c r="D3185" s="24">
        <v>2627</v>
      </c>
    </row>
    <row r="3186" spans="1:4" x14ac:dyDescent="0.25">
      <c r="A3186" s="24">
        <v>308</v>
      </c>
      <c r="B3186" s="24">
        <v>867918</v>
      </c>
      <c r="C3186" s="24" t="s">
        <v>3736</v>
      </c>
      <c r="D3186" s="24">
        <v>2628</v>
      </c>
    </row>
    <row r="3187" spans="1:4" x14ac:dyDescent="0.25">
      <c r="A3187" s="24">
        <v>1818</v>
      </c>
      <c r="B3187" s="24">
        <v>867942</v>
      </c>
      <c r="C3187" s="24" t="s">
        <v>3739</v>
      </c>
      <c r="D3187" s="24">
        <v>2629</v>
      </c>
    </row>
    <row r="3188" spans="1:4" x14ac:dyDescent="0.25">
      <c r="A3188" s="24">
        <v>1083</v>
      </c>
      <c r="B3188" s="24">
        <v>867951</v>
      </c>
      <c r="C3188" s="24" t="s">
        <v>3740</v>
      </c>
      <c r="D3188" s="24">
        <v>2630</v>
      </c>
    </row>
    <row r="3189" spans="1:4" x14ac:dyDescent="0.25">
      <c r="A3189" s="24">
        <v>2951</v>
      </c>
      <c r="B3189" s="24">
        <v>867969</v>
      </c>
      <c r="C3189" s="24" t="s">
        <v>3741</v>
      </c>
      <c r="D3189" s="24">
        <v>2631</v>
      </c>
    </row>
    <row r="3190" spans="1:4" x14ac:dyDescent="0.25">
      <c r="A3190" s="24">
        <v>637</v>
      </c>
      <c r="B3190" s="24">
        <v>950041</v>
      </c>
      <c r="C3190" s="24" t="s">
        <v>4106</v>
      </c>
      <c r="D3190" s="24">
        <v>2632</v>
      </c>
    </row>
    <row r="3191" spans="1:4" x14ac:dyDescent="0.25">
      <c r="A3191" s="24">
        <v>1784</v>
      </c>
      <c r="B3191" s="24">
        <v>867977</v>
      </c>
      <c r="C3191" s="24" t="s">
        <v>3742</v>
      </c>
      <c r="D3191" s="24">
        <v>2632</v>
      </c>
    </row>
    <row r="3192" spans="1:4" x14ac:dyDescent="0.25">
      <c r="A3192" s="24">
        <v>324</v>
      </c>
      <c r="B3192" s="24">
        <v>811955</v>
      </c>
      <c r="C3192" s="24" t="s">
        <v>1221</v>
      </c>
      <c r="D3192" s="24">
        <v>2633</v>
      </c>
    </row>
    <row r="3193" spans="1:4" x14ac:dyDescent="0.25">
      <c r="A3193" s="24">
        <v>2419</v>
      </c>
      <c r="B3193" s="24">
        <v>809977</v>
      </c>
      <c r="C3193" s="24" t="s">
        <v>1140</v>
      </c>
      <c r="D3193" s="24">
        <v>2633</v>
      </c>
    </row>
    <row r="3194" spans="1:4" x14ac:dyDescent="0.25">
      <c r="A3194" s="24">
        <v>3082</v>
      </c>
      <c r="B3194" s="24">
        <v>817864</v>
      </c>
      <c r="C3194" s="24" t="s">
        <v>1517</v>
      </c>
      <c r="D3194" s="24">
        <v>2633</v>
      </c>
    </row>
    <row r="3195" spans="1:4" x14ac:dyDescent="0.25">
      <c r="A3195" s="24">
        <v>3060</v>
      </c>
      <c r="B3195" s="24">
        <v>867985</v>
      </c>
      <c r="C3195" s="24" t="s">
        <v>3743</v>
      </c>
      <c r="D3195" s="24">
        <v>2634</v>
      </c>
    </row>
    <row r="3196" spans="1:4" x14ac:dyDescent="0.25">
      <c r="A3196" s="24">
        <v>1642</v>
      </c>
      <c r="B3196" s="24">
        <v>814121</v>
      </c>
      <c r="C3196" s="24" t="s">
        <v>1338</v>
      </c>
      <c r="D3196" s="24">
        <v>2635</v>
      </c>
    </row>
    <row r="3197" spans="1:4" x14ac:dyDescent="0.25">
      <c r="A3197" s="24">
        <v>3140</v>
      </c>
      <c r="B3197" s="24">
        <v>867993</v>
      </c>
      <c r="C3197" s="24" t="s">
        <v>3744</v>
      </c>
      <c r="D3197" s="24">
        <v>2636</v>
      </c>
    </row>
    <row r="3198" spans="1:4" x14ac:dyDescent="0.25">
      <c r="A3198" s="24">
        <v>984</v>
      </c>
      <c r="B3198" s="24">
        <v>868001</v>
      </c>
      <c r="C3198" s="24" t="s">
        <v>3745</v>
      </c>
      <c r="D3198" s="24">
        <v>2637</v>
      </c>
    </row>
    <row r="3199" spans="1:4" x14ac:dyDescent="0.25">
      <c r="A3199" s="24">
        <v>3011</v>
      </c>
      <c r="B3199" s="24">
        <v>868019</v>
      </c>
      <c r="C3199" s="24" t="s">
        <v>3746</v>
      </c>
      <c r="D3199" s="24">
        <v>2638</v>
      </c>
    </row>
    <row r="3200" spans="1:4" x14ac:dyDescent="0.25">
      <c r="A3200" s="24">
        <v>3551</v>
      </c>
      <c r="B3200" s="24">
        <v>868043</v>
      </c>
      <c r="C3200" s="24" t="s">
        <v>3748</v>
      </c>
      <c r="D3200" s="24">
        <v>2639</v>
      </c>
    </row>
    <row r="3201" spans="1:4" x14ac:dyDescent="0.25">
      <c r="A3201" s="24">
        <v>1153</v>
      </c>
      <c r="B3201" s="24">
        <v>868132</v>
      </c>
      <c r="C3201" s="24" t="s">
        <v>3749</v>
      </c>
      <c r="D3201" s="24">
        <v>2640</v>
      </c>
    </row>
    <row r="3202" spans="1:4" x14ac:dyDescent="0.25">
      <c r="A3202" s="24">
        <v>2610</v>
      </c>
      <c r="B3202" s="24">
        <v>868141</v>
      </c>
      <c r="C3202" s="24" t="s">
        <v>3750</v>
      </c>
      <c r="D3202" s="24">
        <v>2641</v>
      </c>
    </row>
    <row r="3203" spans="1:4" x14ac:dyDescent="0.25">
      <c r="A3203" s="24">
        <v>3280</v>
      </c>
      <c r="B3203" s="24">
        <v>868159</v>
      </c>
      <c r="C3203" s="24" t="s">
        <v>3751</v>
      </c>
      <c r="D3203" s="24">
        <v>2641</v>
      </c>
    </row>
    <row r="3204" spans="1:4" x14ac:dyDescent="0.25">
      <c r="A3204" s="24">
        <v>74</v>
      </c>
      <c r="B3204" s="24">
        <v>868175</v>
      </c>
      <c r="C3204" s="24" t="s">
        <v>3753</v>
      </c>
      <c r="D3204" s="24">
        <v>2642</v>
      </c>
    </row>
    <row r="3205" spans="1:4" x14ac:dyDescent="0.25">
      <c r="A3205" s="24">
        <v>1049</v>
      </c>
      <c r="B3205" s="24">
        <v>868183</v>
      </c>
      <c r="C3205" s="24" t="s">
        <v>3754</v>
      </c>
      <c r="D3205" s="24">
        <v>2643</v>
      </c>
    </row>
    <row r="3206" spans="1:4" x14ac:dyDescent="0.25">
      <c r="A3206" s="24">
        <v>2533</v>
      </c>
      <c r="B3206" s="24">
        <v>868191</v>
      </c>
      <c r="C3206" s="24" t="s">
        <v>3755</v>
      </c>
      <c r="D3206" s="24">
        <v>2644</v>
      </c>
    </row>
    <row r="3207" spans="1:4" x14ac:dyDescent="0.25">
      <c r="A3207" s="24">
        <v>182</v>
      </c>
      <c r="B3207" s="24">
        <v>868205</v>
      </c>
      <c r="C3207" s="24" t="s">
        <v>3756</v>
      </c>
      <c r="D3207" s="24">
        <v>2645</v>
      </c>
    </row>
    <row r="3208" spans="1:4" x14ac:dyDescent="0.25">
      <c r="A3208" s="24">
        <v>99</v>
      </c>
      <c r="B3208" s="24">
        <v>868213</v>
      </c>
      <c r="C3208" s="24" t="s">
        <v>3757</v>
      </c>
      <c r="D3208" s="24">
        <v>2646</v>
      </c>
    </row>
    <row r="3209" spans="1:4" x14ac:dyDescent="0.25">
      <c r="A3209" s="24">
        <v>484</v>
      </c>
      <c r="B3209" s="24">
        <v>868221</v>
      </c>
      <c r="C3209" s="24" t="s">
        <v>3758</v>
      </c>
      <c r="D3209" s="24">
        <v>2647</v>
      </c>
    </row>
    <row r="3210" spans="1:4" x14ac:dyDescent="0.25">
      <c r="A3210" s="24">
        <v>2015</v>
      </c>
      <c r="B3210" s="24">
        <v>868230</v>
      </c>
      <c r="C3210" s="24" t="s">
        <v>3759</v>
      </c>
      <c r="D3210" s="24">
        <v>2648</v>
      </c>
    </row>
    <row r="3211" spans="1:4" x14ac:dyDescent="0.25">
      <c r="A3211" s="24">
        <v>2279</v>
      </c>
      <c r="B3211" s="24">
        <v>868248</v>
      </c>
      <c r="C3211" s="24" t="s">
        <v>3760</v>
      </c>
      <c r="D3211" s="24">
        <v>2649</v>
      </c>
    </row>
    <row r="3212" spans="1:4" x14ac:dyDescent="0.25">
      <c r="A3212" s="24">
        <v>2798</v>
      </c>
      <c r="B3212" s="24">
        <v>868256</v>
      </c>
      <c r="C3212" s="24" t="s">
        <v>3761</v>
      </c>
      <c r="D3212" s="24">
        <v>2650</v>
      </c>
    </row>
    <row r="3213" spans="1:4" x14ac:dyDescent="0.25">
      <c r="A3213" s="24">
        <v>428</v>
      </c>
      <c r="B3213" s="24">
        <v>868272</v>
      </c>
      <c r="C3213" s="24" t="s">
        <v>3762</v>
      </c>
      <c r="D3213" s="24">
        <v>2651</v>
      </c>
    </row>
    <row r="3214" spans="1:4" x14ac:dyDescent="0.25">
      <c r="A3214" s="24">
        <v>524</v>
      </c>
      <c r="B3214" s="24">
        <v>868299</v>
      </c>
      <c r="C3214" s="24" t="s">
        <v>3763</v>
      </c>
      <c r="D3214" s="24">
        <v>2652</v>
      </c>
    </row>
    <row r="3215" spans="1:4" x14ac:dyDescent="0.25">
      <c r="A3215" s="24">
        <v>2441</v>
      </c>
      <c r="B3215" s="24">
        <v>802271</v>
      </c>
      <c r="C3215" s="24" t="s">
        <v>819</v>
      </c>
      <c r="D3215" s="24">
        <v>2652</v>
      </c>
    </row>
    <row r="3216" spans="1:4" x14ac:dyDescent="0.25">
      <c r="A3216" s="24">
        <v>653</v>
      </c>
      <c r="B3216" s="24">
        <v>868540</v>
      </c>
      <c r="C3216" s="24" t="s">
        <v>3764</v>
      </c>
      <c r="D3216" s="24">
        <v>2653</v>
      </c>
    </row>
    <row r="3217" spans="1:4" x14ac:dyDescent="0.25">
      <c r="A3217" s="24">
        <v>1502</v>
      </c>
      <c r="B3217" s="24">
        <v>868582</v>
      </c>
      <c r="C3217" s="24" t="s">
        <v>3765</v>
      </c>
      <c r="D3217" s="24">
        <v>2654</v>
      </c>
    </row>
    <row r="3218" spans="1:4" x14ac:dyDescent="0.25">
      <c r="A3218" s="24">
        <v>3006</v>
      </c>
      <c r="B3218" s="24">
        <v>868612</v>
      </c>
      <c r="C3218" s="24" t="s">
        <v>3767</v>
      </c>
      <c r="D3218" s="24">
        <v>2655</v>
      </c>
    </row>
    <row r="3219" spans="1:4" x14ac:dyDescent="0.25">
      <c r="A3219" s="24">
        <v>26</v>
      </c>
      <c r="B3219" s="24">
        <v>868671</v>
      </c>
      <c r="C3219" s="24" t="s">
        <v>3771</v>
      </c>
      <c r="D3219" s="24">
        <v>2656</v>
      </c>
    </row>
    <row r="3220" spans="1:4" x14ac:dyDescent="0.25">
      <c r="A3220" s="24">
        <v>419</v>
      </c>
      <c r="B3220" s="24">
        <v>868639</v>
      </c>
      <c r="C3220" s="24" t="s">
        <v>3768</v>
      </c>
      <c r="D3220" s="24">
        <v>2656</v>
      </c>
    </row>
    <row r="3221" spans="1:4" x14ac:dyDescent="0.25">
      <c r="A3221" s="24">
        <v>3279</v>
      </c>
      <c r="B3221" s="24">
        <v>868663</v>
      </c>
      <c r="C3221" s="24" t="s">
        <v>3770</v>
      </c>
      <c r="D3221" s="24">
        <v>2656</v>
      </c>
    </row>
    <row r="3222" spans="1:4" x14ac:dyDescent="0.25">
      <c r="A3222" s="24">
        <v>1471</v>
      </c>
      <c r="B3222" s="24">
        <v>868698</v>
      </c>
      <c r="C3222" s="24" t="s">
        <v>3772</v>
      </c>
      <c r="D3222" s="24">
        <v>2657</v>
      </c>
    </row>
    <row r="3223" spans="1:4" x14ac:dyDescent="0.25">
      <c r="A3223" s="24">
        <v>1315</v>
      </c>
      <c r="B3223" s="24">
        <v>868710</v>
      </c>
      <c r="C3223" s="24" t="s">
        <v>3774</v>
      </c>
      <c r="D3223" s="24">
        <v>2658</v>
      </c>
    </row>
    <row r="3224" spans="1:4" x14ac:dyDescent="0.25">
      <c r="A3224" s="24">
        <v>3103</v>
      </c>
      <c r="B3224" s="24">
        <v>868701</v>
      </c>
      <c r="C3224" s="24" t="s">
        <v>3773</v>
      </c>
      <c r="D3224" s="24">
        <v>2658</v>
      </c>
    </row>
    <row r="3225" spans="1:4" x14ac:dyDescent="0.25">
      <c r="A3225" s="24">
        <v>672</v>
      </c>
      <c r="B3225" s="24">
        <v>868744</v>
      </c>
      <c r="C3225" s="24" t="s">
        <v>3775</v>
      </c>
      <c r="D3225" s="24">
        <v>2659</v>
      </c>
    </row>
    <row r="3226" spans="1:4" x14ac:dyDescent="0.25">
      <c r="A3226" s="24">
        <v>522</v>
      </c>
      <c r="B3226" s="24">
        <v>868752</v>
      </c>
      <c r="C3226" s="24" t="s">
        <v>3776</v>
      </c>
      <c r="D3226" s="24">
        <v>2660</v>
      </c>
    </row>
    <row r="3227" spans="1:4" x14ac:dyDescent="0.25">
      <c r="A3227" s="24">
        <v>2216</v>
      </c>
      <c r="B3227" s="24">
        <v>842265</v>
      </c>
      <c r="C3227" s="24" t="s">
        <v>2660</v>
      </c>
      <c r="D3227" s="24">
        <v>2660</v>
      </c>
    </row>
    <row r="3228" spans="1:4" x14ac:dyDescent="0.25">
      <c r="A3228" s="24">
        <v>829</v>
      </c>
      <c r="B3228" s="24">
        <v>868761</v>
      </c>
      <c r="C3228" s="24" t="s">
        <v>3777</v>
      </c>
      <c r="D3228" s="24">
        <v>2661</v>
      </c>
    </row>
    <row r="3229" spans="1:4" x14ac:dyDescent="0.25">
      <c r="A3229" s="24">
        <v>225</v>
      </c>
      <c r="B3229" s="24">
        <v>868787</v>
      </c>
      <c r="C3229" s="24" t="s">
        <v>3779</v>
      </c>
      <c r="D3229" s="24">
        <v>2662</v>
      </c>
    </row>
    <row r="3230" spans="1:4" x14ac:dyDescent="0.25">
      <c r="A3230" s="24">
        <v>1124</v>
      </c>
      <c r="B3230" s="24">
        <v>868833</v>
      </c>
      <c r="C3230" s="24" t="s">
        <v>3780</v>
      </c>
      <c r="D3230" s="24">
        <v>2663</v>
      </c>
    </row>
    <row r="3231" spans="1:4" x14ac:dyDescent="0.25">
      <c r="A3231" s="24">
        <v>793</v>
      </c>
      <c r="B3231" s="24">
        <v>868841</v>
      </c>
      <c r="C3231" s="24" t="s">
        <v>3781</v>
      </c>
      <c r="D3231" s="24">
        <v>2664</v>
      </c>
    </row>
    <row r="3232" spans="1:4" x14ac:dyDescent="0.25">
      <c r="A3232" s="24">
        <v>245</v>
      </c>
      <c r="B3232" s="24">
        <v>868850</v>
      </c>
      <c r="C3232" s="24" t="s">
        <v>3782</v>
      </c>
      <c r="D3232" s="24">
        <v>2665</v>
      </c>
    </row>
    <row r="3233" spans="1:4" x14ac:dyDescent="0.25">
      <c r="A3233" s="24">
        <v>3127</v>
      </c>
      <c r="B3233" s="24">
        <v>868868</v>
      </c>
      <c r="C3233" s="24" t="s">
        <v>3783</v>
      </c>
      <c r="D3233" s="24">
        <v>2665</v>
      </c>
    </row>
    <row r="3234" spans="1:4" x14ac:dyDescent="0.25">
      <c r="A3234" s="24">
        <v>709</v>
      </c>
      <c r="B3234" s="24">
        <v>868906</v>
      </c>
      <c r="C3234" s="24" t="s">
        <v>3785</v>
      </c>
      <c r="D3234" s="24">
        <v>2666</v>
      </c>
    </row>
    <row r="3235" spans="1:4" x14ac:dyDescent="0.25">
      <c r="A3235" s="24">
        <v>3146</v>
      </c>
      <c r="B3235" s="24">
        <v>868892</v>
      </c>
      <c r="C3235" s="24" t="s">
        <v>3784</v>
      </c>
      <c r="D3235" s="24">
        <v>2666</v>
      </c>
    </row>
    <row r="3236" spans="1:4" x14ac:dyDescent="0.25">
      <c r="A3236" s="24">
        <v>518</v>
      </c>
      <c r="B3236" s="24">
        <v>868914</v>
      </c>
      <c r="C3236" s="24" t="s">
        <v>3786</v>
      </c>
      <c r="D3236" s="24">
        <v>2667</v>
      </c>
    </row>
    <row r="3237" spans="1:4" x14ac:dyDescent="0.25">
      <c r="A3237" s="24">
        <v>2347</v>
      </c>
      <c r="B3237" s="24">
        <v>868922</v>
      </c>
      <c r="C3237" s="24" t="s">
        <v>3787</v>
      </c>
      <c r="D3237" s="24">
        <v>2668</v>
      </c>
    </row>
    <row r="3238" spans="1:4" x14ac:dyDescent="0.25">
      <c r="A3238" s="24">
        <v>693</v>
      </c>
      <c r="B3238" s="24">
        <v>868965</v>
      </c>
      <c r="C3238" s="24" t="s">
        <v>2558</v>
      </c>
      <c r="D3238" s="24">
        <v>2669</v>
      </c>
    </row>
    <row r="3239" spans="1:4" x14ac:dyDescent="0.25">
      <c r="A3239" s="24">
        <v>592</v>
      </c>
      <c r="B3239" s="24">
        <v>868931</v>
      </c>
      <c r="C3239" s="24" t="s">
        <v>3788</v>
      </c>
      <c r="D3239" s="24">
        <v>2669</v>
      </c>
    </row>
    <row r="3240" spans="1:4" x14ac:dyDescent="0.25">
      <c r="A3240" s="24">
        <v>1692</v>
      </c>
      <c r="B3240" s="24">
        <v>868949</v>
      </c>
      <c r="C3240" s="24" t="s">
        <v>3789</v>
      </c>
      <c r="D3240" s="24">
        <v>2669</v>
      </c>
    </row>
    <row r="3241" spans="1:4" x14ac:dyDescent="0.25">
      <c r="A3241" s="24">
        <v>3318</v>
      </c>
      <c r="B3241" s="24">
        <v>868973</v>
      </c>
      <c r="C3241" s="24" t="s">
        <v>3790</v>
      </c>
      <c r="D3241" s="24">
        <v>2670</v>
      </c>
    </row>
    <row r="3242" spans="1:4" x14ac:dyDescent="0.25">
      <c r="A3242" s="24">
        <v>3527</v>
      </c>
      <c r="B3242" s="24">
        <v>868990</v>
      </c>
      <c r="C3242" s="24" t="s">
        <v>3791</v>
      </c>
      <c r="D3242" s="24">
        <v>2671</v>
      </c>
    </row>
    <row r="3243" spans="1:4" x14ac:dyDescent="0.25">
      <c r="A3243" s="24">
        <v>3205</v>
      </c>
      <c r="B3243" s="24">
        <v>869007</v>
      </c>
      <c r="C3243" s="24" t="s">
        <v>3792</v>
      </c>
      <c r="D3243" s="24">
        <v>2672</v>
      </c>
    </row>
    <row r="3244" spans="1:4" x14ac:dyDescent="0.25">
      <c r="A3244" s="24">
        <v>3129</v>
      </c>
      <c r="B3244" s="24">
        <v>869015</v>
      </c>
      <c r="C3244" s="24" t="s">
        <v>3793</v>
      </c>
      <c r="D3244" s="24">
        <v>2673</v>
      </c>
    </row>
    <row r="3245" spans="1:4" x14ac:dyDescent="0.25">
      <c r="A3245" s="24">
        <v>573</v>
      </c>
      <c r="B3245" s="24">
        <v>869031</v>
      </c>
      <c r="C3245" s="24" t="s">
        <v>3794</v>
      </c>
      <c r="D3245" s="24">
        <v>2674</v>
      </c>
    </row>
    <row r="3246" spans="1:4" x14ac:dyDescent="0.25">
      <c r="A3246" s="24">
        <v>2962</v>
      </c>
      <c r="B3246" s="24">
        <v>869040</v>
      </c>
      <c r="C3246" s="24" t="s">
        <v>3795</v>
      </c>
      <c r="D3246" s="24">
        <v>2674</v>
      </c>
    </row>
    <row r="3247" spans="1:4" x14ac:dyDescent="0.25">
      <c r="A3247" s="24">
        <v>1509</v>
      </c>
      <c r="B3247" s="24">
        <v>869058</v>
      </c>
      <c r="C3247" s="24" t="s">
        <v>3796</v>
      </c>
      <c r="D3247" s="24">
        <v>2675</v>
      </c>
    </row>
    <row r="3248" spans="1:4" x14ac:dyDescent="0.25">
      <c r="A3248" s="24">
        <v>298</v>
      </c>
      <c r="B3248" s="24">
        <v>879711</v>
      </c>
      <c r="C3248" s="24" t="s">
        <v>4095</v>
      </c>
      <c r="D3248" s="24">
        <v>2676</v>
      </c>
    </row>
    <row r="3249" spans="1:4" x14ac:dyDescent="0.25">
      <c r="A3249" s="24">
        <v>3396</v>
      </c>
      <c r="B3249" s="24">
        <v>837547</v>
      </c>
      <c r="C3249" s="24" t="s">
        <v>2454</v>
      </c>
      <c r="D3249" s="24">
        <v>2676</v>
      </c>
    </row>
    <row r="3250" spans="1:4" x14ac:dyDescent="0.25">
      <c r="A3250" s="24">
        <v>3379</v>
      </c>
      <c r="B3250" s="24">
        <v>830631</v>
      </c>
      <c r="C3250" s="24" t="s">
        <v>2132</v>
      </c>
      <c r="D3250" s="24">
        <v>2677</v>
      </c>
    </row>
    <row r="3251" spans="1:4" x14ac:dyDescent="0.25">
      <c r="A3251" s="24">
        <v>2625</v>
      </c>
      <c r="B3251" s="24">
        <v>869139</v>
      </c>
      <c r="C3251" s="24" t="s">
        <v>3797</v>
      </c>
      <c r="D3251" s="24">
        <v>2678</v>
      </c>
    </row>
    <row r="3252" spans="1:4" x14ac:dyDescent="0.25">
      <c r="A3252" s="24">
        <v>3181</v>
      </c>
      <c r="B3252" s="24">
        <v>869147</v>
      </c>
      <c r="C3252" s="24" t="s">
        <v>3798</v>
      </c>
      <c r="D3252" s="24">
        <v>2679</v>
      </c>
    </row>
    <row r="3253" spans="1:4" x14ac:dyDescent="0.25">
      <c r="A3253" s="24">
        <v>367</v>
      </c>
      <c r="B3253" s="24">
        <v>808709</v>
      </c>
      <c r="C3253" s="24" t="s">
        <v>1069</v>
      </c>
      <c r="D3253" s="24">
        <v>2680</v>
      </c>
    </row>
    <row r="3254" spans="1:4" x14ac:dyDescent="0.25">
      <c r="A3254" s="24">
        <v>900</v>
      </c>
      <c r="B3254" s="24">
        <v>821535</v>
      </c>
      <c r="C3254" s="24" t="s">
        <v>1713</v>
      </c>
      <c r="D3254" s="24">
        <v>2680</v>
      </c>
    </row>
    <row r="3255" spans="1:4" x14ac:dyDescent="0.25">
      <c r="A3255" s="24">
        <v>1029</v>
      </c>
      <c r="B3255" s="24">
        <v>869163</v>
      </c>
      <c r="C3255" s="24" t="s">
        <v>3799</v>
      </c>
      <c r="D3255" s="24">
        <v>2681</v>
      </c>
    </row>
    <row r="3256" spans="1:4" x14ac:dyDescent="0.25">
      <c r="A3256" s="24">
        <v>343</v>
      </c>
      <c r="B3256" s="24">
        <v>869171</v>
      </c>
      <c r="C3256" s="24" t="s">
        <v>3800</v>
      </c>
      <c r="D3256" s="24">
        <v>2682</v>
      </c>
    </row>
    <row r="3257" spans="1:4" x14ac:dyDescent="0.25">
      <c r="A3257" s="24">
        <v>1062</v>
      </c>
      <c r="B3257" s="24">
        <v>869198</v>
      </c>
      <c r="C3257" s="24" t="s">
        <v>3801</v>
      </c>
      <c r="D3257" s="24">
        <v>2683</v>
      </c>
    </row>
    <row r="3258" spans="1:4" x14ac:dyDescent="0.25">
      <c r="A3258" s="24">
        <v>2548</v>
      </c>
      <c r="B3258" s="24">
        <v>869201</v>
      </c>
      <c r="C3258" s="24" t="s">
        <v>3802</v>
      </c>
      <c r="D3258" s="24">
        <v>2684</v>
      </c>
    </row>
    <row r="3259" spans="1:4" x14ac:dyDescent="0.25">
      <c r="A3259" s="24">
        <v>2359</v>
      </c>
      <c r="B3259" s="24">
        <v>869210</v>
      </c>
      <c r="C3259" s="24" t="s">
        <v>3803</v>
      </c>
      <c r="D3259" s="24">
        <v>2685</v>
      </c>
    </row>
    <row r="3260" spans="1:4" x14ac:dyDescent="0.25">
      <c r="A3260" s="24">
        <v>3472</v>
      </c>
      <c r="B3260" s="24">
        <v>869228</v>
      </c>
      <c r="C3260" s="24" t="s">
        <v>3804</v>
      </c>
      <c r="D3260" s="24">
        <v>2686</v>
      </c>
    </row>
    <row r="3261" spans="1:4" x14ac:dyDescent="0.25">
      <c r="A3261" s="24">
        <v>1466</v>
      </c>
      <c r="B3261" s="24">
        <v>869236</v>
      </c>
      <c r="C3261" s="24" t="s">
        <v>3805</v>
      </c>
      <c r="D3261" s="24">
        <v>2687</v>
      </c>
    </row>
    <row r="3262" spans="1:4" x14ac:dyDescent="0.25">
      <c r="A3262" s="24">
        <v>2452</v>
      </c>
      <c r="B3262" s="24">
        <v>869244</v>
      </c>
      <c r="C3262" s="24" t="s">
        <v>3806</v>
      </c>
      <c r="D3262" s="24">
        <v>2687</v>
      </c>
    </row>
    <row r="3263" spans="1:4" x14ac:dyDescent="0.25">
      <c r="A3263" s="24">
        <v>2107</v>
      </c>
      <c r="B3263" s="24">
        <v>869252</v>
      </c>
      <c r="C3263" s="24" t="s">
        <v>3807</v>
      </c>
      <c r="D3263" s="24">
        <v>2688</v>
      </c>
    </row>
    <row r="3264" spans="1:4" x14ac:dyDescent="0.25">
      <c r="A3264" s="24">
        <v>1169</v>
      </c>
      <c r="B3264" s="24">
        <v>869261</v>
      </c>
      <c r="C3264" s="24" t="s">
        <v>3808</v>
      </c>
      <c r="D3264" s="24">
        <v>2689</v>
      </c>
    </row>
    <row r="3265" spans="1:4" x14ac:dyDescent="0.25">
      <c r="A3265" s="24">
        <v>2947</v>
      </c>
      <c r="B3265" s="24">
        <v>869295</v>
      </c>
      <c r="C3265" s="24" t="s">
        <v>1020</v>
      </c>
      <c r="D3265" s="24">
        <v>2690</v>
      </c>
    </row>
    <row r="3266" spans="1:4" x14ac:dyDescent="0.25">
      <c r="A3266" s="24">
        <v>139</v>
      </c>
      <c r="B3266" s="24">
        <v>844284</v>
      </c>
      <c r="C3266" s="24" t="s">
        <v>1020</v>
      </c>
      <c r="D3266" s="24">
        <v>2691</v>
      </c>
    </row>
    <row r="3267" spans="1:4" x14ac:dyDescent="0.25">
      <c r="A3267" s="24">
        <v>686</v>
      </c>
      <c r="B3267" s="24">
        <v>950114</v>
      </c>
      <c r="C3267" s="24" t="s">
        <v>4113</v>
      </c>
      <c r="D3267" s="24">
        <v>2691</v>
      </c>
    </row>
    <row r="3268" spans="1:4" x14ac:dyDescent="0.25">
      <c r="A3268" s="24">
        <v>943</v>
      </c>
      <c r="B3268" s="24">
        <v>844276</v>
      </c>
      <c r="C3268" s="24" t="s">
        <v>2741</v>
      </c>
      <c r="D3268" s="24">
        <v>2691</v>
      </c>
    </row>
    <row r="3269" spans="1:4" x14ac:dyDescent="0.25">
      <c r="A3269" s="24">
        <v>3068</v>
      </c>
      <c r="B3269" s="24">
        <v>869309</v>
      </c>
      <c r="C3269" s="24" t="s">
        <v>3809</v>
      </c>
      <c r="D3269" s="24">
        <v>2692</v>
      </c>
    </row>
    <row r="3270" spans="1:4" x14ac:dyDescent="0.25">
      <c r="A3270" s="24">
        <v>654</v>
      </c>
      <c r="B3270" s="24">
        <v>869317</v>
      </c>
      <c r="C3270" s="24" t="s">
        <v>3810</v>
      </c>
      <c r="D3270" s="24">
        <v>2693</v>
      </c>
    </row>
    <row r="3271" spans="1:4" x14ac:dyDescent="0.25">
      <c r="A3271" s="24">
        <v>1763</v>
      </c>
      <c r="B3271" s="24">
        <v>869350</v>
      </c>
      <c r="C3271" s="24" t="s">
        <v>3811</v>
      </c>
      <c r="D3271" s="24">
        <v>2694</v>
      </c>
    </row>
    <row r="3272" spans="1:4" x14ac:dyDescent="0.25">
      <c r="A3272" s="24">
        <v>1827</v>
      </c>
      <c r="B3272" s="24">
        <v>869431</v>
      </c>
      <c r="C3272" s="24" t="s">
        <v>3812</v>
      </c>
      <c r="D3272" s="24">
        <v>2695</v>
      </c>
    </row>
    <row r="3273" spans="1:4" x14ac:dyDescent="0.25">
      <c r="A3273" s="24">
        <v>102</v>
      </c>
      <c r="B3273" s="24">
        <v>869457</v>
      </c>
      <c r="C3273" s="24" t="s">
        <v>3813</v>
      </c>
      <c r="D3273" s="24">
        <v>2696</v>
      </c>
    </row>
    <row r="3274" spans="1:4" x14ac:dyDescent="0.25">
      <c r="A3274" s="24">
        <v>3461</v>
      </c>
      <c r="B3274" s="24">
        <v>869465</v>
      </c>
      <c r="C3274" s="24" t="s">
        <v>3814</v>
      </c>
      <c r="D3274" s="24">
        <v>2697</v>
      </c>
    </row>
    <row r="3275" spans="1:4" x14ac:dyDescent="0.25">
      <c r="A3275" s="24">
        <v>3085</v>
      </c>
      <c r="B3275" s="24">
        <v>869473</v>
      </c>
      <c r="C3275" s="24" t="s">
        <v>3815</v>
      </c>
      <c r="D3275" s="24">
        <v>2698</v>
      </c>
    </row>
    <row r="3276" spans="1:4" x14ac:dyDescent="0.25">
      <c r="A3276" s="24">
        <v>1317</v>
      </c>
      <c r="B3276" s="24">
        <v>869481</v>
      </c>
      <c r="C3276" s="24" t="s">
        <v>3816</v>
      </c>
      <c r="D3276" s="24">
        <v>2699</v>
      </c>
    </row>
    <row r="3277" spans="1:4" x14ac:dyDescent="0.25">
      <c r="A3277" s="24">
        <v>3409</v>
      </c>
      <c r="B3277" s="24">
        <v>869503</v>
      </c>
      <c r="C3277" s="24" t="s">
        <v>3817</v>
      </c>
      <c r="D3277" s="24">
        <v>2700</v>
      </c>
    </row>
    <row r="3278" spans="1:4" x14ac:dyDescent="0.25">
      <c r="A3278" s="24">
        <v>3308</v>
      </c>
      <c r="B3278" s="24">
        <v>869520</v>
      </c>
      <c r="C3278" s="24" t="s">
        <v>3819</v>
      </c>
      <c r="D3278" s="24">
        <v>2701</v>
      </c>
    </row>
    <row r="3279" spans="1:4" x14ac:dyDescent="0.25">
      <c r="A3279" s="24">
        <v>3362</v>
      </c>
      <c r="B3279" s="24">
        <v>869511</v>
      </c>
      <c r="C3279" s="24" t="s">
        <v>3818</v>
      </c>
      <c r="D3279" s="24">
        <v>2701</v>
      </c>
    </row>
    <row r="3280" spans="1:4" x14ac:dyDescent="0.25">
      <c r="A3280" s="24">
        <v>1012</v>
      </c>
      <c r="B3280" s="24">
        <v>869546</v>
      </c>
      <c r="C3280" s="24" t="s">
        <v>3820</v>
      </c>
      <c r="D3280" s="24">
        <v>2702</v>
      </c>
    </row>
    <row r="3281" spans="1:4" x14ac:dyDescent="0.25">
      <c r="A3281" s="24">
        <v>1232</v>
      </c>
      <c r="B3281" s="24">
        <v>869554</v>
      </c>
      <c r="C3281" s="24" t="s">
        <v>3821</v>
      </c>
      <c r="D3281" s="24">
        <v>2703</v>
      </c>
    </row>
    <row r="3282" spans="1:4" x14ac:dyDescent="0.25">
      <c r="A3282" s="24">
        <v>2635</v>
      </c>
      <c r="B3282" s="24">
        <v>869571</v>
      </c>
      <c r="C3282" s="24" t="s">
        <v>3822</v>
      </c>
      <c r="D3282" s="24">
        <v>2703</v>
      </c>
    </row>
    <row r="3283" spans="1:4" x14ac:dyDescent="0.25">
      <c r="A3283" s="24">
        <v>1413</v>
      </c>
      <c r="B3283" s="24">
        <v>851141</v>
      </c>
      <c r="C3283" s="24" t="s">
        <v>3017</v>
      </c>
      <c r="D3283" s="24">
        <v>2704</v>
      </c>
    </row>
    <row r="3284" spans="1:4" x14ac:dyDescent="0.25">
      <c r="A3284" s="24">
        <v>3027</v>
      </c>
      <c r="B3284" s="24">
        <v>869589</v>
      </c>
      <c r="C3284" s="24" t="s">
        <v>3823</v>
      </c>
      <c r="D3284" s="24">
        <v>2705</v>
      </c>
    </row>
    <row r="3285" spans="1:4" x14ac:dyDescent="0.25">
      <c r="A3285" s="24">
        <v>422</v>
      </c>
      <c r="B3285" s="24">
        <v>869597</v>
      </c>
      <c r="C3285" s="24" t="s">
        <v>3824</v>
      </c>
      <c r="D3285" s="24">
        <v>2706</v>
      </c>
    </row>
    <row r="3286" spans="1:4" x14ac:dyDescent="0.25">
      <c r="A3286" s="24">
        <v>1280</v>
      </c>
      <c r="B3286" s="24">
        <v>869619</v>
      </c>
      <c r="C3286" s="24" t="s">
        <v>3825</v>
      </c>
      <c r="D3286" s="24">
        <v>2707</v>
      </c>
    </row>
    <row r="3287" spans="1:4" x14ac:dyDescent="0.25">
      <c r="A3287" s="24">
        <v>200</v>
      </c>
      <c r="B3287" s="24">
        <v>869627</v>
      </c>
      <c r="C3287" s="24" t="s">
        <v>3826</v>
      </c>
      <c r="D3287" s="24">
        <v>2708</v>
      </c>
    </row>
    <row r="3288" spans="1:4" x14ac:dyDescent="0.25">
      <c r="A3288" s="24">
        <v>2711</v>
      </c>
      <c r="B3288" s="24">
        <v>869635</v>
      </c>
      <c r="C3288" s="24" t="s">
        <v>3827</v>
      </c>
      <c r="D3288" s="24">
        <v>2709</v>
      </c>
    </row>
    <row r="3289" spans="1:4" x14ac:dyDescent="0.25">
      <c r="A3289" s="24">
        <v>2846</v>
      </c>
      <c r="B3289" s="24">
        <v>869643</v>
      </c>
      <c r="C3289" s="24" t="s">
        <v>3827</v>
      </c>
      <c r="D3289" s="24">
        <v>2710</v>
      </c>
    </row>
    <row r="3290" spans="1:4" x14ac:dyDescent="0.25">
      <c r="A3290" s="24">
        <v>2436</v>
      </c>
      <c r="B3290" s="24">
        <v>869651</v>
      </c>
      <c r="C3290" s="24" t="s">
        <v>3827</v>
      </c>
      <c r="D3290" s="24">
        <v>2711</v>
      </c>
    </row>
    <row r="3291" spans="1:4" x14ac:dyDescent="0.25">
      <c r="A3291" s="24">
        <v>1990</v>
      </c>
      <c r="B3291" s="24">
        <v>869686</v>
      </c>
      <c r="C3291" s="24" t="s">
        <v>3828</v>
      </c>
      <c r="D3291" s="24">
        <v>2712</v>
      </c>
    </row>
    <row r="3292" spans="1:4" x14ac:dyDescent="0.25">
      <c r="A3292" s="24">
        <v>2100</v>
      </c>
      <c r="B3292" s="24">
        <v>869708</v>
      </c>
      <c r="C3292" s="24" t="s">
        <v>3830</v>
      </c>
      <c r="D3292" s="24">
        <v>2713</v>
      </c>
    </row>
    <row r="3293" spans="1:4" x14ac:dyDescent="0.25">
      <c r="A3293" s="24">
        <v>1878</v>
      </c>
      <c r="B3293" s="24">
        <v>950106</v>
      </c>
      <c r="C3293" s="24" t="s">
        <v>4112</v>
      </c>
      <c r="D3293" s="24">
        <v>2713</v>
      </c>
    </row>
    <row r="3294" spans="1:4" x14ac:dyDescent="0.25">
      <c r="A3294" s="24">
        <v>1603</v>
      </c>
      <c r="B3294" s="24">
        <v>869724</v>
      </c>
      <c r="C3294" s="24" t="s">
        <v>3831</v>
      </c>
      <c r="D3294" s="24">
        <v>2714</v>
      </c>
    </row>
    <row r="3295" spans="1:4" x14ac:dyDescent="0.25">
      <c r="A3295" s="24">
        <v>1673</v>
      </c>
      <c r="B3295" s="24">
        <v>869732</v>
      </c>
      <c r="C3295" s="24" t="s">
        <v>3832</v>
      </c>
      <c r="D3295" s="24">
        <v>2715</v>
      </c>
    </row>
    <row r="3296" spans="1:4" x14ac:dyDescent="0.25">
      <c r="A3296" s="24">
        <v>42</v>
      </c>
      <c r="B3296" s="24">
        <v>869759</v>
      </c>
      <c r="C3296" s="24" t="s">
        <v>3833</v>
      </c>
      <c r="D3296" s="24">
        <v>2716</v>
      </c>
    </row>
    <row r="3297" spans="1:4" x14ac:dyDescent="0.25">
      <c r="A3297" s="24">
        <v>3356</v>
      </c>
      <c r="B3297" s="24">
        <v>869767</v>
      </c>
      <c r="C3297" s="24" t="s">
        <v>3834</v>
      </c>
      <c r="D3297" s="24">
        <v>2717</v>
      </c>
    </row>
    <row r="3298" spans="1:4" x14ac:dyDescent="0.25">
      <c r="A3298" s="24">
        <v>1926</v>
      </c>
      <c r="B3298" s="24">
        <v>869775</v>
      </c>
      <c r="C3298" s="24" t="s">
        <v>3835</v>
      </c>
      <c r="D3298" s="24">
        <v>2718</v>
      </c>
    </row>
    <row r="3299" spans="1:4" x14ac:dyDescent="0.25">
      <c r="A3299" s="24">
        <v>2339</v>
      </c>
      <c r="B3299" s="24">
        <v>869791</v>
      </c>
      <c r="C3299" s="24" t="s">
        <v>3837</v>
      </c>
      <c r="D3299" s="24">
        <v>2718</v>
      </c>
    </row>
    <row r="3300" spans="1:4" x14ac:dyDescent="0.25">
      <c r="A3300" s="24">
        <v>2739</v>
      </c>
      <c r="B3300" s="24">
        <v>869783</v>
      </c>
      <c r="C3300" s="24" t="s">
        <v>3836</v>
      </c>
      <c r="D3300" s="24">
        <v>2718</v>
      </c>
    </row>
    <row r="3301" spans="1:4" x14ac:dyDescent="0.25">
      <c r="A3301" s="24">
        <v>3175</v>
      </c>
      <c r="B3301" s="24">
        <v>869813</v>
      </c>
      <c r="C3301" s="24" t="s">
        <v>3838</v>
      </c>
      <c r="D3301" s="24">
        <v>2719</v>
      </c>
    </row>
    <row r="3302" spans="1:4" x14ac:dyDescent="0.25">
      <c r="A3302" s="24">
        <v>149</v>
      </c>
      <c r="B3302" s="24">
        <v>869848</v>
      </c>
      <c r="C3302" s="24" t="s">
        <v>3840</v>
      </c>
      <c r="D3302" s="24">
        <v>2720</v>
      </c>
    </row>
    <row r="3303" spans="1:4" x14ac:dyDescent="0.25">
      <c r="A3303" s="24">
        <v>626</v>
      </c>
      <c r="B3303" s="24">
        <v>857254</v>
      </c>
      <c r="C3303" s="24" t="s">
        <v>3281</v>
      </c>
      <c r="D3303" s="24">
        <v>2720</v>
      </c>
    </row>
    <row r="3304" spans="1:4" x14ac:dyDescent="0.25">
      <c r="A3304" s="24">
        <v>932</v>
      </c>
      <c r="B3304" s="24">
        <v>869830</v>
      </c>
      <c r="C3304" s="24" t="s">
        <v>3839</v>
      </c>
      <c r="D3304" s="24">
        <v>2720</v>
      </c>
    </row>
    <row r="3305" spans="1:4" x14ac:dyDescent="0.25">
      <c r="A3305" s="24">
        <v>3128</v>
      </c>
      <c r="B3305" s="24">
        <v>869821</v>
      </c>
      <c r="C3305" s="24" t="s">
        <v>2015</v>
      </c>
      <c r="D3305" s="24">
        <v>2720</v>
      </c>
    </row>
    <row r="3306" spans="1:4" x14ac:dyDescent="0.25">
      <c r="A3306" s="24">
        <v>560</v>
      </c>
      <c r="B3306" s="24">
        <v>869872</v>
      </c>
      <c r="C3306" s="24" t="s">
        <v>3841</v>
      </c>
      <c r="D3306" s="24">
        <v>2721</v>
      </c>
    </row>
    <row r="3307" spans="1:4" x14ac:dyDescent="0.25">
      <c r="A3307" s="24">
        <v>1184</v>
      </c>
      <c r="B3307" s="24">
        <v>869881</v>
      </c>
      <c r="C3307" s="24" t="s">
        <v>3842</v>
      </c>
      <c r="D3307" s="24">
        <v>2722</v>
      </c>
    </row>
    <row r="3308" spans="1:4" x14ac:dyDescent="0.25">
      <c r="A3308" s="24">
        <v>3433</v>
      </c>
      <c r="B3308" s="24">
        <v>869899</v>
      </c>
      <c r="C3308" s="24" t="s">
        <v>3843</v>
      </c>
      <c r="D3308" s="24">
        <v>2723</v>
      </c>
    </row>
    <row r="3309" spans="1:4" x14ac:dyDescent="0.25">
      <c r="A3309" s="24">
        <v>1576</v>
      </c>
      <c r="B3309" s="24">
        <v>869902</v>
      </c>
      <c r="C3309" s="24" t="s">
        <v>3844</v>
      </c>
      <c r="D3309" s="24">
        <v>2724</v>
      </c>
    </row>
    <row r="3310" spans="1:4" x14ac:dyDescent="0.25">
      <c r="A3310" s="24">
        <v>1671</v>
      </c>
      <c r="B3310" s="24">
        <v>869929</v>
      </c>
      <c r="C3310" s="24" t="s">
        <v>3845</v>
      </c>
      <c r="D3310" s="24">
        <v>2725</v>
      </c>
    </row>
    <row r="3311" spans="1:4" x14ac:dyDescent="0.25">
      <c r="A3311" s="24">
        <v>1799</v>
      </c>
      <c r="B3311" s="24">
        <v>869937</v>
      </c>
      <c r="C3311" s="24" t="s">
        <v>3846</v>
      </c>
      <c r="D3311" s="24">
        <v>2726</v>
      </c>
    </row>
    <row r="3312" spans="1:4" x14ac:dyDescent="0.25">
      <c r="A3312" s="24">
        <v>2484</v>
      </c>
      <c r="B3312" s="24">
        <v>869945</v>
      </c>
      <c r="C3312" s="24" t="s">
        <v>3847</v>
      </c>
      <c r="D3312" s="24">
        <v>2727</v>
      </c>
    </row>
    <row r="3313" spans="1:4" x14ac:dyDescent="0.25">
      <c r="A3313" s="24">
        <v>198</v>
      </c>
      <c r="B3313" s="24">
        <v>869953</v>
      </c>
      <c r="C3313" s="24" t="s">
        <v>3848</v>
      </c>
      <c r="D3313" s="24">
        <v>2728</v>
      </c>
    </row>
    <row r="3314" spans="1:4" x14ac:dyDescent="0.25">
      <c r="A3314" s="24">
        <v>840</v>
      </c>
      <c r="B3314" s="24">
        <v>869961</v>
      </c>
      <c r="C3314" s="24" t="s">
        <v>3849</v>
      </c>
      <c r="D3314" s="24">
        <v>2729</v>
      </c>
    </row>
    <row r="3315" spans="1:4" x14ac:dyDescent="0.25">
      <c r="A3315" s="24">
        <v>1838</v>
      </c>
      <c r="B3315" s="24">
        <v>869970</v>
      </c>
      <c r="C3315" s="24" t="s">
        <v>3850</v>
      </c>
      <c r="D3315" s="24">
        <v>2730</v>
      </c>
    </row>
    <row r="3316" spans="1:4" x14ac:dyDescent="0.25">
      <c r="A3316" s="24">
        <v>658</v>
      </c>
      <c r="B3316" s="24">
        <v>869996</v>
      </c>
      <c r="C3316" s="24" t="s">
        <v>3851</v>
      </c>
      <c r="D3316" s="24">
        <v>2731</v>
      </c>
    </row>
    <row r="3317" spans="1:4" x14ac:dyDescent="0.25">
      <c r="A3317" s="24">
        <v>1553</v>
      </c>
      <c r="B3317" s="24">
        <v>870005</v>
      </c>
      <c r="C3317" s="24" t="s">
        <v>3852</v>
      </c>
      <c r="D3317" s="24">
        <v>2732</v>
      </c>
    </row>
    <row r="3318" spans="1:4" x14ac:dyDescent="0.25">
      <c r="A3318" s="24">
        <v>215</v>
      </c>
      <c r="B3318" s="24">
        <v>870021</v>
      </c>
      <c r="C3318" s="24" t="s">
        <v>3854</v>
      </c>
      <c r="D3318" s="24">
        <v>2733</v>
      </c>
    </row>
    <row r="3319" spans="1:4" x14ac:dyDescent="0.25">
      <c r="A3319" s="24">
        <v>1310</v>
      </c>
      <c r="B3319" s="24">
        <v>870030</v>
      </c>
      <c r="C3319" s="24" t="s">
        <v>3855</v>
      </c>
      <c r="D3319" s="24">
        <v>2734</v>
      </c>
    </row>
    <row r="3320" spans="1:4" x14ac:dyDescent="0.25">
      <c r="A3320" s="24">
        <v>811</v>
      </c>
      <c r="B3320" s="24">
        <v>870048</v>
      </c>
      <c r="C3320" s="24" t="s">
        <v>3856</v>
      </c>
      <c r="D3320" s="24">
        <v>2735</v>
      </c>
    </row>
    <row r="3321" spans="1:4" x14ac:dyDescent="0.25">
      <c r="A3321" s="24">
        <v>3437</v>
      </c>
      <c r="B3321" s="24">
        <v>870056</v>
      </c>
      <c r="C3321" s="24" t="s">
        <v>3857</v>
      </c>
      <c r="D3321" s="24">
        <v>2736</v>
      </c>
    </row>
    <row r="3322" spans="1:4" x14ac:dyDescent="0.25">
      <c r="A3322" s="24">
        <v>1322</v>
      </c>
      <c r="B3322" s="24">
        <v>870099</v>
      </c>
      <c r="C3322" s="24" t="s">
        <v>3859</v>
      </c>
      <c r="D3322" s="24">
        <v>2737</v>
      </c>
    </row>
    <row r="3323" spans="1:4" x14ac:dyDescent="0.25">
      <c r="A3323" s="24">
        <v>2072</v>
      </c>
      <c r="B3323" s="24">
        <v>870129</v>
      </c>
      <c r="C3323" s="24" t="s">
        <v>3860</v>
      </c>
      <c r="D3323" s="24">
        <v>2738</v>
      </c>
    </row>
    <row r="3324" spans="1:4" x14ac:dyDescent="0.25">
      <c r="A3324" s="24">
        <v>3149</v>
      </c>
      <c r="B3324" s="24">
        <v>870137</v>
      </c>
      <c r="C3324" s="24" t="s">
        <v>3861</v>
      </c>
      <c r="D3324" s="24">
        <v>2739</v>
      </c>
    </row>
    <row r="3325" spans="1:4" x14ac:dyDescent="0.25">
      <c r="A3325" s="24">
        <v>748</v>
      </c>
      <c r="B3325" s="24">
        <v>870161</v>
      </c>
      <c r="C3325" s="24" t="s">
        <v>3863</v>
      </c>
      <c r="D3325" s="24">
        <v>2740</v>
      </c>
    </row>
    <row r="3326" spans="1:4" x14ac:dyDescent="0.25">
      <c r="A3326" s="24">
        <v>2676</v>
      </c>
      <c r="B3326" s="24">
        <v>870153</v>
      </c>
      <c r="C3326" s="24" t="s">
        <v>3862</v>
      </c>
      <c r="D3326" s="24">
        <v>2740</v>
      </c>
    </row>
    <row r="3327" spans="1:4" x14ac:dyDescent="0.25">
      <c r="A3327" s="24">
        <v>821</v>
      </c>
      <c r="B3327" s="24">
        <v>870170</v>
      </c>
      <c r="C3327" s="24" t="s">
        <v>3864</v>
      </c>
      <c r="D3327" s="24">
        <v>2741</v>
      </c>
    </row>
    <row r="3328" spans="1:4" x14ac:dyDescent="0.25">
      <c r="A3328" s="24">
        <v>2818</v>
      </c>
      <c r="B3328" s="24">
        <v>870188</v>
      </c>
      <c r="C3328" s="24" t="s">
        <v>3865</v>
      </c>
      <c r="D3328" s="24">
        <v>2742</v>
      </c>
    </row>
    <row r="3329" spans="1:4" x14ac:dyDescent="0.25">
      <c r="A3329" s="24">
        <v>212</v>
      </c>
      <c r="B3329" s="24">
        <v>870196</v>
      </c>
      <c r="C3329" s="24" t="s">
        <v>3865</v>
      </c>
      <c r="D3329" s="24">
        <v>2743</v>
      </c>
    </row>
    <row r="3330" spans="1:4" x14ac:dyDescent="0.25">
      <c r="A3330" s="24">
        <v>531</v>
      </c>
      <c r="B3330" s="24">
        <v>814156</v>
      </c>
      <c r="C3330" s="24" t="s">
        <v>1340</v>
      </c>
      <c r="D3330" s="24">
        <v>2744</v>
      </c>
    </row>
    <row r="3331" spans="1:4" x14ac:dyDescent="0.25">
      <c r="A3331" s="24">
        <v>2499</v>
      </c>
      <c r="B3331" s="24">
        <v>818429</v>
      </c>
      <c r="C3331" s="24" t="s">
        <v>1549</v>
      </c>
      <c r="D3331" s="24">
        <v>2744</v>
      </c>
    </row>
    <row r="3332" spans="1:4" x14ac:dyDescent="0.25">
      <c r="A3332" s="24">
        <v>2255</v>
      </c>
      <c r="B3332" s="24">
        <v>870218</v>
      </c>
      <c r="C3332" s="24" t="s">
        <v>3866</v>
      </c>
      <c r="D3332" s="24">
        <v>2744</v>
      </c>
    </row>
    <row r="3333" spans="1:4" x14ac:dyDescent="0.25">
      <c r="A3333" s="24">
        <v>1260</v>
      </c>
      <c r="B3333" s="24">
        <v>870226</v>
      </c>
      <c r="C3333" s="24" t="s">
        <v>3867</v>
      </c>
      <c r="D3333" s="24">
        <v>2745</v>
      </c>
    </row>
    <row r="3334" spans="1:4" x14ac:dyDescent="0.25">
      <c r="A3334" s="24">
        <v>141</v>
      </c>
      <c r="B3334" s="24">
        <v>870251</v>
      </c>
      <c r="C3334" s="24" t="s">
        <v>3868</v>
      </c>
      <c r="D3334" s="24">
        <v>2746</v>
      </c>
    </row>
    <row r="3335" spans="1:4" x14ac:dyDescent="0.25">
      <c r="A3335" s="24">
        <v>2799</v>
      </c>
      <c r="B3335" s="24">
        <v>870269</v>
      </c>
      <c r="C3335" s="24" t="s">
        <v>3869</v>
      </c>
      <c r="D3335" s="24">
        <v>2746</v>
      </c>
    </row>
    <row r="3336" spans="1:4" x14ac:dyDescent="0.25">
      <c r="A3336" s="24">
        <v>3235</v>
      </c>
      <c r="B3336" s="24">
        <v>870315</v>
      </c>
      <c r="C3336" s="24" t="s">
        <v>3872</v>
      </c>
      <c r="D3336" s="24">
        <v>2747</v>
      </c>
    </row>
    <row r="3337" spans="1:4" x14ac:dyDescent="0.25">
      <c r="A3337" s="24">
        <v>2927</v>
      </c>
      <c r="B3337" s="24">
        <v>809217</v>
      </c>
      <c r="C3337" s="24" t="s">
        <v>1093</v>
      </c>
      <c r="D3337" s="24">
        <v>2747</v>
      </c>
    </row>
    <row r="3338" spans="1:4" x14ac:dyDescent="0.25">
      <c r="A3338" s="24">
        <v>2387</v>
      </c>
      <c r="B3338" s="24">
        <v>870439</v>
      </c>
      <c r="C3338" s="24" t="s">
        <v>3873</v>
      </c>
      <c r="D3338" s="24">
        <v>2748</v>
      </c>
    </row>
    <row r="3339" spans="1:4" x14ac:dyDescent="0.25">
      <c r="A3339" s="24">
        <v>276</v>
      </c>
      <c r="B3339" s="24">
        <v>870447</v>
      </c>
      <c r="C3339" s="24" t="s">
        <v>3874</v>
      </c>
      <c r="D3339" s="24">
        <v>2749</v>
      </c>
    </row>
    <row r="3340" spans="1:4" x14ac:dyDescent="0.25">
      <c r="A3340" s="24">
        <v>614</v>
      </c>
      <c r="B3340" s="24">
        <v>870463</v>
      </c>
      <c r="C3340" s="24" t="s">
        <v>3875</v>
      </c>
      <c r="D3340" s="24">
        <v>2750</v>
      </c>
    </row>
    <row r="3341" spans="1:4" x14ac:dyDescent="0.25">
      <c r="A3341" s="24">
        <v>301</v>
      </c>
      <c r="B3341" s="24">
        <v>870587</v>
      </c>
      <c r="C3341" s="24" t="s">
        <v>3876</v>
      </c>
      <c r="D3341" s="24">
        <v>2751</v>
      </c>
    </row>
    <row r="3342" spans="1:4" x14ac:dyDescent="0.25">
      <c r="A3342" s="24">
        <v>2021</v>
      </c>
      <c r="B3342" s="24">
        <v>870595</v>
      </c>
      <c r="C3342" s="24" t="s">
        <v>3877</v>
      </c>
      <c r="D3342" s="24">
        <v>2752</v>
      </c>
    </row>
    <row r="3343" spans="1:4" x14ac:dyDescent="0.25">
      <c r="A3343" s="24">
        <v>1089</v>
      </c>
      <c r="B3343" s="24">
        <v>870617</v>
      </c>
      <c r="C3343" s="24" t="s">
        <v>3878</v>
      </c>
      <c r="D3343" s="24">
        <v>2753</v>
      </c>
    </row>
    <row r="3344" spans="1:4" x14ac:dyDescent="0.25">
      <c r="A3344" s="24">
        <v>2774</v>
      </c>
      <c r="B3344" s="24">
        <v>870625</v>
      </c>
      <c r="C3344" s="24" t="s">
        <v>3879</v>
      </c>
      <c r="D3344" s="24">
        <v>2754</v>
      </c>
    </row>
    <row r="3345" spans="1:4" x14ac:dyDescent="0.25">
      <c r="A3345" s="24">
        <v>2684</v>
      </c>
      <c r="B3345" s="24">
        <v>870633</v>
      </c>
      <c r="C3345" s="24" t="s">
        <v>3880</v>
      </c>
      <c r="D3345" s="24">
        <v>2755</v>
      </c>
    </row>
    <row r="3346" spans="1:4" x14ac:dyDescent="0.25">
      <c r="A3346" s="24">
        <v>2825</v>
      </c>
      <c r="B3346" s="24">
        <v>870641</v>
      </c>
      <c r="C3346" s="24" t="s">
        <v>3881</v>
      </c>
      <c r="D3346" s="24">
        <v>2756</v>
      </c>
    </row>
    <row r="3347" spans="1:4" x14ac:dyDescent="0.25">
      <c r="A3347" s="24">
        <v>2351</v>
      </c>
      <c r="B3347" s="24">
        <v>870650</v>
      </c>
      <c r="C3347" s="24" t="s">
        <v>3882</v>
      </c>
      <c r="D3347" s="24">
        <v>2757</v>
      </c>
    </row>
    <row r="3348" spans="1:4" x14ac:dyDescent="0.25">
      <c r="A3348" s="24">
        <v>3491</v>
      </c>
      <c r="B3348" s="24">
        <v>870749</v>
      </c>
      <c r="C3348" s="24" t="s">
        <v>3883</v>
      </c>
      <c r="D3348" s="24">
        <v>2758</v>
      </c>
    </row>
    <row r="3349" spans="1:4" x14ac:dyDescent="0.25">
      <c r="A3349" s="24">
        <v>206</v>
      </c>
      <c r="B3349" s="24">
        <v>870765</v>
      </c>
      <c r="C3349" s="24" t="s">
        <v>3884</v>
      </c>
      <c r="D3349" s="24">
        <v>2759</v>
      </c>
    </row>
    <row r="3350" spans="1:4" x14ac:dyDescent="0.25">
      <c r="A3350" s="24">
        <v>1072</v>
      </c>
      <c r="B3350" s="24">
        <v>870781</v>
      </c>
      <c r="C3350" s="24" t="s">
        <v>3886</v>
      </c>
      <c r="D3350" s="24">
        <v>2760</v>
      </c>
    </row>
    <row r="3351" spans="1:4" x14ac:dyDescent="0.25">
      <c r="A3351" s="24">
        <v>629</v>
      </c>
      <c r="B3351" s="24">
        <v>870790</v>
      </c>
      <c r="C3351" s="24" t="s">
        <v>3887</v>
      </c>
      <c r="D3351" s="24">
        <v>2761</v>
      </c>
    </row>
    <row r="3352" spans="1:4" x14ac:dyDescent="0.25">
      <c r="A3352" s="24">
        <v>630</v>
      </c>
      <c r="B3352" s="24">
        <v>870811</v>
      </c>
      <c r="C3352" s="24" t="s">
        <v>3888</v>
      </c>
      <c r="D3352" s="24">
        <v>2762</v>
      </c>
    </row>
    <row r="3353" spans="1:4" x14ac:dyDescent="0.25">
      <c r="A3353" s="24">
        <v>2277</v>
      </c>
      <c r="B3353" s="24">
        <v>870820</v>
      </c>
      <c r="C3353" s="24" t="s">
        <v>3889</v>
      </c>
      <c r="D3353" s="24">
        <v>2763</v>
      </c>
    </row>
    <row r="3354" spans="1:4" x14ac:dyDescent="0.25">
      <c r="A3354" s="24">
        <v>1069</v>
      </c>
      <c r="B3354" s="24">
        <v>870846</v>
      </c>
      <c r="C3354" s="24" t="s">
        <v>3890</v>
      </c>
      <c r="D3354" s="24">
        <v>2764</v>
      </c>
    </row>
    <row r="3355" spans="1:4" x14ac:dyDescent="0.25">
      <c r="A3355" s="24">
        <v>2611</v>
      </c>
      <c r="B3355" s="24">
        <v>870862</v>
      </c>
      <c r="C3355" s="24" t="s">
        <v>3891</v>
      </c>
      <c r="D3355" s="24">
        <v>2765</v>
      </c>
    </row>
    <row r="3356" spans="1:4" x14ac:dyDescent="0.25">
      <c r="A3356" s="24">
        <v>1103</v>
      </c>
      <c r="B3356" s="24">
        <v>870871</v>
      </c>
      <c r="C3356" s="24" t="s">
        <v>3892</v>
      </c>
      <c r="D3356" s="24">
        <v>2766</v>
      </c>
    </row>
    <row r="3357" spans="1:4" x14ac:dyDescent="0.25">
      <c r="A3357" s="24">
        <v>122</v>
      </c>
      <c r="B3357" s="24">
        <v>870897</v>
      </c>
      <c r="C3357" s="24" t="s">
        <v>3893</v>
      </c>
      <c r="D3357" s="24">
        <v>2767</v>
      </c>
    </row>
    <row r="3358" spans="1:4" x14ac:dyDescent="0.25">
      <c r="A3358" s="24">
        <v>3185</v>
      </c>
      <c r="B3358" s="24">
        <v>870901</v>
      </c>
      <c r="C3358" s="24" t="s">
        <v>3894</v>
      </c>
      <c r="D3358" s="24">
        <v>2768</v>
      </c>
    </row>
    <row r="3359" spans="1:4" x14ac:dyDescent="0.25">
      <c r="A3359" s="24">
        <v>2809</v>
      </c>
      <c r="B3359" s="24">
        <v>870919</v>
      </c>
      <c r="C3359" s="24" t="s">
        <v>3894</v>
      </c>
      <c r="D3359" s="24">
        <v>2769</v>
      </c>
    </row>
    <row r="3360" spans="1:4" x14ac:dyDescent="0.25">
      <c r="A3360" s="24">
        <v>2060</v>
      </c>
      <c r="B3360" s="24">
        <v>871061</v>
      </c>
      <c r="C3360" s="24" t="s">
        <v>3895</v>
      </c>
      <c r="D3360" s="24">
        <v>2770</v>
      </c>
    </row>
    <row r="3361" spans="1:4" x14ac:dyDescent="0.25">
      <c r="A3361" s="24">
        <v>1503</v>
      </c>
      <c r="B3361" s="24">
        <v>871117</v>
      </c>
      <c r="C3361" s="24" t="s">
        <v>3896</v>
      </c>
      <c r="D3361" s="24">
        <v>2771</v>
      </c>
    </row>
    <row r="3362" spans="1:4" x14ac:dyDescent="0.25">
      <c r="A3362" s="24">
        <v>2816</v>
      </c>
      <c r="B3362" s="24">
        <v>871133</v>
      </c>
      <c r="C3362" s="24" t="s">
        <v>3897</v>
      </c>
      <c r="D3362" s="24">
        <v>2772</v>
      </c>
    </row>
    <row r="3363" spans="1:4" x14ac:dyDescent="0.25">
      <c r="A3363" s="24">
        <v>1334</v>
      </c>
      <c r="B3363" s="24">
        <v>862568</v>
      </c>
      <c r="C3363" s="24" t="s">
        <v>3511</v>
      </c>
      <c r="D3363" s="24">
        <v>2773</v>
      </c>
    </row>
    <row r="3364" spans="1:4" x14ac:dyDescent="0.25">
      <c r="A3364" s="24">
        <v>2835</v>
      </c>
      <c r="B3364" s="24">
        <v>861405</v>
      </c>
      <c r="C3364" s="24" t="s">
        <v>3481</v>
      </c>
      <c r="D3364" s="24">
        <v>2773</v>
      </c>
    </row>
    <row r="3365" spans="1:4" x14ac:dyDescent="0.25">
      <c r="A3365" s="24">
        <v>2747</v>
      </c>
      <c r="B3365" s="24">
        <v>858544</v>
      </c>
      <c r="C3365" s="24" t="s">
        <v>3329</v>
      </c>
      <c r="D3365" s="24">
        <v>2773</v>
      </c>
    </row>
    <row r="3366" spans="1:4" x14ac:dyDescent="0.25">
      <c r="A3366" s="24">
        <v>688</v>
      </c>
      <c r="B3366" s="24">
        <v>871141</v>
      </c>
      <c r="C3366" s="24" t="s">
        <v>3898</v>
      </c>
      <c r="D3366" s="24">
        <v>2774</v>
      </c>
    </row>
    <row r="3367" spans="1:4" x14ac:dyDescent="0.25">
      <c r="A3367" s="24">
        <v>1082</v>
      </c>
      <c r="B3367" s="24">
        <v>871168</v>
      </c>
      <c r="C3367" s="24" t="s">
        <v>3899</v>
      </c>
      <c r="D3367" s="24">
        <v>2775</v>
      </c>
    </row>
    <row r="3368" spans="1:4" x14ac:dyDescent="0.25">
      <c r="A3368" s="24">
        <v>2407</v>
      </c>
      <c r="B3368" s="24">
        <v>871184</v>
      </c>
      <c r="C3368" s="24" t="s">
        <v>3900</v>
      </c>
      <c r="D3368" s="24">
        <v>2776</v>
      </c>
    </row>
    <row r="3369" spans="1:4" x14ac:dyDescent="0.25">
      <c r="A3369" s="24">
        <v>355</v>
      </c>
      <c r="B3369" s="24">
        <v>871192</v>
      </c>
      <c r="C3369" s="24" t="s">
        <v>3901</v>
      </c>
      <c r="D3369" s="24">
        <v>2777</v>
      </c>
    </row>
    <row r="3370" spans="1:4" x14ac:dyDescent="0.25">
      <c r="A3370" s="24">
        <v>1706</v>
      </c>
      <c r="B3370" s="24">
        <v>871206</v>
      </c>
      <c r="C3370" s="24" t="s">
        <v>3902</v>
      </c>
      <c r="D3370" s="24">
        <v>2778</v>
      </c>
    </row>
    <row r="3371" spans="1:4" x14ac:dyDescent="0.25">
      <c r="A3371" s="24">
        <v>2364</v>
      </c>
      <c r="B3371" s="24">
        <v>871214</v>
      </c>
      <c r="C3371" s="24" t="s">
        <v>3903</v>
      </c>
      <c r="D3371" s="24">
        <v>2779</v>
      </c>
    </row>
    <row r="3372" spans="1:4" x14ac:dyDescent="0.25">
      <c r="A3372" s="24">
        <v>1099</v>
      </c>
      <c r="B3372" s="24">
        <v>871222</v>
      </c>
      <c r="C3372" s="24" t="s">
        <v>3904</v>
      </c>
      <c r="D3372" s="24">
        <v>2780</v>
      </c>
    </row>
    <row r="3373" spans="1:4" x14ac:dyDescent="0.25">
      <c r="A3373" s="24">
        <v>2427</v>
      </c>
      <c r="B3373" s="24">
        <v>871231</v>
      </c>
      <c r="C3373" s="24" t="s">
        <v>3905</v>
      </c>
      <c r="D3373" s="24">
        <v>2781</v>
      </c>
    </row>
    <row r="3374" spans="1:4" x14ac:dyDescent="0.25">
      <c r="A3374" s="24">
        <v>1569</v>
      </c>
      <c r="B3374" s="24">
        <v>871249</v>
      </c>
      <c r="C3374" s="24" t="s">
        <v>3906</v>
      </c>
      <c r="D3374" s="24">
        <v>2782</v>
      </c>
    </row>
    <row r="3375" spans="1:4" x14ac:dyDescent="0.25">
      <c r="A3375" s="24">
        <v>481</v>
      </c>
      <c r="B3375" s="24">
        <v>871257</v>
      </c>
      <c r="C3375" s="24" t="s">
        <v>3907</v>
      </c>
      <c r="D3375" s="24">
        <v>2783</v>
      </c>
    </row>
    <row r="3376" spans="1:4" x14ac:dyDescent="0.25">
      <c r="A3376" s="24">
        <v>147</v>
      </c>
      <c r="B3376" s="24">
        <v>871273</v>
      </c>
      <c r="C3376" s="24" t="s">
        <v>3909</v>
      </c>
      <c r="D3376" s="24">
        <v>2784</v>
      </c>
    </row>
    <row r="3377" spans="1:4" x14ac:dyDescent="0.25">
      <c r="A3377" s="24">
        <v>3524</v>
      </c>
      <c r="B3377" s="24">
        <v>871290</v>
      </c>
      <c r="C3377" s="24" t="s">
        <v>3910</v>
      </c>
      <c r="D3377" s="24">
        <v>2785</v>
      </c>
    </row>
    <row r="3378" spans="1:4" x14ac:dyDescent="0.25">
      <c r="A3378" s="24">
        <v>2957</v>
      </c>
      <c r="B3378" s="24">
        <v>871303</v>
      </c>
      <c r="C3378" s="24" t="s">
        <v>3911</v>
      </c>
      <c r="D3378" s="24">
        <v>2786</v>
      </c>
    </row>
    <row r="3379" spans="1:4" x14ac:dyDescent="0.25">
      <c r="A3379" s="24">
        <v>2337</v>
      </c>
      <c r="B3379" s="24">
        <v>871311</v>
      </c>
      <c r="C3379" s="24" t="s">
        <v>3912</v>
      </c>
      <c r="D3379" s="24">
        <v>2787</v>
      </c>
    </row>
    <row r="3380" spans="1:4" x14ac:dyDescent="0.25">
      <c r="A3380" s="24">
        <v>2796</v>
      </c>
      <c r="B3380" s="24">
        <v>871346</v>
      </c>
      <c r="C3380" s="24" t="s">
        <v>3913</v>
      </c>
      <c r="D3380" s="24">
        <v>2788</v>
      </c>
    </row>
    <row r="3381" spans="1:4" x14ac:dyDescent="0.25">
      <c r="A3381" s="24">
        <v>3345</v>
      </c>
      <c r="B3381" s="24">
        <v>871362</v>
      </c>
      <c r="C3381" s="24" t="s">
        <v>3915</v>
      </c>
      <c r="D3381" s="24">
        <v>2789</v>
      </c>
    </row>
    <row r="3382" spans="1:4" x14ac:dyDescent="0.25">
      <c r="A3382" s="24">
        <v>776</v>
      </c>
      <c r="B3382" s="24">
        <v>871371</v>
      </c>
      <c r="C3382" s="24" t="s">
        <v>3916</v>
      </c>
      <c r="D3382" s="24">
        <v>2790</v>
      </c>
    </row>
    <row r="3383" spans="1:4" x14ac:dyDescent="0.25">
      <c r="A3383" s="24">
        <v>124</v>
      </c>
      <c r="B3383" s="24">
        <v>871389</v>
      </c>
      <c r="C3383" s="24" t="s">
        <v>3917</v>
      </c>
      <c r="D3383" s="24">
        <v>2791</v>
      </c>
    </row>
    <row r="3384" spans="1:4" x14ac:dyDescent="0.25">
      <c r="A3384" s="24">
        <v>2149</v>
      </c>
      <c r="B3384" s="24">
        <v>871401</v>
      </c>
      <c r="C3384" s="24" t="s">
        <v>3918</v>
      </c>
      <c r="D3384" s="24">
        <v>2792</v>
      </c>
    </row>
    <row r="3385" spans="1:4" x14ac:dyDescent="0.25">
      <c r="A3385" s="24">
        <v>650</v>
      </c>
      <c r="B3385" s="24">
        <v>871427</v>
      </c>
      <c r="C3385" s="24" t="s">
        <v>3920</v>
      </c>
      <c r="D3385" s="24">
        <v>2793</v>
      </c>
    </row>
    <row r="3386" spans="1:4" x14ac:dyDescent="0.25">
      <c r="A3386" s="24">
        <v>3160</v>
      </c>
      <c r="B3386" s="24">
        <v>871435</v>
      </c>
      <c r="C3386" s="24" t="s">
        <v>3921</v>
      </c>
      <c r="D3386" s="24">
        <v>2794</v>
      </c>
    </row>
    <row r="3387" spans="1:4" x14ac:dyDescent="0.25">
      <c r="A3387" s="24">
        <v>2460</v>
      </c>
      <c r="B3387" s="24">
        <v>871451</v>
      </c>
      <c r="C3387" s="24" t="s">
        <v>3922</v>
      </c>
      <c r="D3387" s="24">
        <v>2795</v>
      </c>
    </row>
    <row r="3388" spans="1:4" x14ac:dyDescent="0.25">
      <c r="A3388" s="24">
        <v>443</v>
      </c>
      <c r="B3388" s="24">
        <v>871478</v>
      </c>
      <c r="C3388" s="24" t="s">
        <v>3923</v>
      </c>
      <c r="D3388" s="24">
        <v>2796</v>
      </c>
    </row>
    <row r="3389" spans="1:4" x14ac:dyDescent="0.25">
      <c r="A3389" s="24">
        <v>2897</v>
      </c>
      <c r="B3389" s="24">
        <v>871460</v>
      </c>
      <c r="C3389" s="24" t="s">
        <v>1402</v>
      </c>
      <c r="D3389" s="24">
        <v>2796</v>
      </c>
    </row>
    <row r="3390" spans="1:4" x14ac:dyDescent="0.25">
      <c r="A3390" s="24">
        <v>3069</v>
      </c>
      <c r="B3390" s="24">
        <v>871486</v>
      </c>
      <c r="C3390" s="24" t="s">
        <v>3924</v>
      </c>
      <c r="D3390" s="24">
        <v>2797</v>
      </c>
    </row>
    <row r="3391" spans="1:4" x14ac:dyDescent="0.25">
      <c r="A3391" s="24">
        <v>2829</v>
      </c>
      <c r="B3391" s="24">
        <v>865800</v>
      </c>
      <c r="C3391" s="24" t="s">
        <v>3623</v>
      </c>
      <c r="D3391" s="24">
        <v>2798</v>
      </c>
    </row>
    <row r="3392" spans="1:4" x14ac:dyDescent="0.25">
      <c r="A3392" s="24">
        <v>3250</v>
      </c>
      <c r="B3392" s="24">
        <v>871508</v>
      </c>
      <c r="C3392" s="24" t="s">
        <v>3926</v>
      </c>
      <c r="D3392" s="24">
        <v>2799</v>
      </c>
    </row>
    <row r="3393" spans="1:4" x14ac:dyDescent="0.25">
      <c r="A3393" s="24">
        <v>1924</v>
      </c>
      <c r="B3393" s="24">
        <v>853747</v>
      </c>
      <c r="C3393" s="24" t="s">
        <v>3135</v>
      </c>
      <c r="D3393" s="24">
        <v>2800</v>
      </c>
    </row>
    <row r="3394" spans="1:4" x14ac:dyDescent="0.25">
      <c r="A3394" s="24">
        <v>2181</v>
      </c>
      <c r="B3394" s="24">
        <v>871516</v>
      </c>
      <c r="C3394" s="24" t="s">
        <v>3927</v>
      </c>
      <c r="D3394" s="24">
        <v>2801</v>
      </c>
    </row>
    <row r="3395" spans="1:4" x14ac:dyDescent="0.25">
      <c r="A3395" s="24">
        <v>1923</v>
      </c>
      <c r="B3395" s="24">
        <v>871524</v>
      </c>
      <c r="C3395" s="24" t="s">
        <v>3928</v>
      </c>
      <c r="D3395" s="24">
        <v>2802</v>
      </c>
    </row>
    <row r="3396" spans="1:4" x14ac:dyDescent="0.25">
      <c r="A3396" s="24">
        <v>303</v>
      </c>
      <c r="B3396" s="24">
        <v>871532</v>
      </c>
      <c r="C3396" s="24" t="s">
        <v>3929</v>
      </c>
      <c r="D3396" s="24">
        <v>2803</v>
      </c>
    </row>
    <row r="3397" spans="1:4" x14ac:dyDescent="0.25">
      <c r="A3397" s="24">
        <v>3422</v>
      </c>
      <c r="B3397" s="24">
        <v>871541</v>
      </c>
      <c r="C3397" s="24" t="s">
        <v>3930</v>
      </c>
      <c r="D3397" s="24">
        <v>2804</v>
      </c>
    </row>
    <row r="3398" spans="1:4" x14ac:dyDescent="0.25">
      <c r="A3398" s="24">
        <v>2004</v>
      </c>
      <c r="B3398" s="24">
        <v>836583</v>
      </c>
      <c r="C3398" s="24" t="s">
        <v>2420</v>
      </c>
      <c r="D3398" s="24">
        <v>2805</v>
      </c>
    </row>
    <row r="3399" spans="1:4" x14ac:dyDescent="0.25">
      <c r="A3399" s="24">
        <v>111</v>
      </c>
      <c r="B3399" s="24">
        <v>871575</v>
      </c>
      <c r="C3399" s="24" t="s">
        <v>3932</v>
      </c>
      <c r="D3399" s="24">
        <v>2806</v>
      </c>
    </row>
    <row r="3400" spans="1:4" x14ac:dyDescent="0.25">
      <c r="A3400" s="24">
        <v>164</v>
      </c>
      <c r="B3400" s="24">
        <v>871583</v>
      </c>
      <c r="C3400" s="24" t="s">
        <v>3933</v>
      </c>
      <c r="D3400" s="24">
        <v>2807</v>
      </c>
    </row>
    <row r="3401" spans="1:4" x14ac:dyDescent="0.25">
      <c r="A3401" s="24">
        <v>3210</v>
      </c>
      <c r="B3401" s="24">
        <v>871591</v>
      </c>
      <c r="C3401" s="24" t="s">
        <v>3934</v>
      </c>
      <c r="D3401" s="24">
        <v>2808</v>
      </c>
    </row>
    <row r="3402" spans="1:4" x14ac:dyDescent="0.25">
      <c r="A3402" s="24">
        <v>1170</v>
      </c>
      <c r="B3402" s="24">
        <v>871605</v>
      </c>
      <c r="C3402" s="24" t="s">
        <v>3935</v>
      </c>
      <c r="D3402" s="24">
        <v>2809</v>
      </c>
    </row>
    <row r="3403" spans="1:4" x14ac:dyDescent="0.25">
      <c r="A3403" s="24">
        <v>1550</v>
      </c>
      <c r="B3403" s="24">
        <v>871613</v>
      </c>
      <c r="C3403" s="24" t="s">
        <v>3936</v>
      </c>
      <c r="D3403" s="24">
        <v>2810</v>
      </c>
    </row>
    <row r="3404" spans="1:4" x14ac:dyDescent="0.25">
      <c r="A3404" s="24">
        <v>1032</v>
      </c>
      <c r="B3404" s="24">
        <v>871621</v>
      </c>
      <c r="C3404" s="24" t="s">
        <v>3937</v>
      </c>
      <c r="D3404" s="24">
        <v>2811</v>
      </c>
    </row>
    <row r="3405" spans="1:4" x14ac:dyDescent="0.25">
      <c r="A3405" s="24">
        <v>1729</v>
      </c>
      <c r="B3405" s="24">
        <v>871648</v>
      </c>
      <c r="C3405" s="24" t="s">
        <v>3938</v>
      </c>
      <c r="D3405" s="24">
        <v>2812</v>
      </c>
    </row>
    <row r="3406" spans="1:4" x14ac:dyDescent="0.25">
      <c r="A3406" s="24">
        <v>1573</v>
      </c>
      <c r="B3406" s="24">
        <v>871672</v>
      </c>
      <c r="C3406" s="24" t="s">
        <v>3940</v>
      </c>
      <c r="D3406" s="24">
        <v>2813</v>
      </c>
    </row>
    <row r="3407" spans="1:4" x14ac:dyDescent="0.25">
      <c r="A3407" s="24">
        <v>2035</v>
      </c>
      <c r="B3407" s="24">
        <v>871681</v>
      </c>
      <c r="C3407" s="24" t="s">
        <v>3941</v>
      </c>
      <c r="D3407" s="24">
        <v>2814</v>
      </c>
    </row>
    <row r="3408" spans="1:4" x14ac:dyDescent="0.25">
      <c r="A3408" s="24">
        <v>1313</v>
      </c>
      <c r="B3408" s="24">
        <v>871711</v>
      </c>
      <c r="C3408" s="24" t="s">
        <v>3943</v>
      </c>
      <c r="D3408" s="24">
        <v>2815</v>
      </c>
    </row>
    <row r="3409" spans="1:4" x14ac:dyDescent="0.25">
      <c r="A3409" s="24">
        <v>2307</v>
      </c>
      <c r="B3409" s="24">
        <v>871729</v>
      </c>
      <c r="C3409" s="24" t="s">
        <v>3944</v>
      </c>
      <c r="D3409" s="24">
        <v>2816</v>
      </c>
    </row>
    <row r="3410" spans="1:4" x14ac:dyDescent="0.25">
      <c r="A3410" s="24">
        <v>729</v>
      </c>
      <c r="B3410" s="24">
        <v>871745</v>
      </c>
      <c r="C3410" s="24" t="s">
        <v>3946</v>
      </c>
      <c r="D3410" s="24">
        <v>2817</v>
      </c>
    </row>
    <row r="3411" spans="1:4" x14ac:dyDescent="0.25">
      <c r="A3411" s="24">
        <v>457</v>
      </c>
      <c r="B3411" s="24">
        <v>871770</v>
      </c>
      <c r="C3411" s="24" t="s">
        <v>3947</v>
      </c>
      <c r="D3411" s="24">
        <v>2818</v>
      </c>
    </row>
    <row r="3412" spans="1:4" x14ac:dyDescent="0.25">
      <c r="A3412" s="24">
        <v>602</v>
      </c>
      <c r="B3412" s="24">
        <v>991988</v>
      </c>
      <c r="C3412" s="24" t="s">
        <v>4124</v>
      </c>
      <c r="D3412" s="24">
        <v>2819</v>
      </c>
    </row>
    <row r="3413" spans="1:4" x14ac:dyDescent="0.25">
      <c r="A3413" s="24">
        <v>1065</v>
      </c>
      <c r="B3413" s="24">
        <v>992003</v>
      </c>
      <c r="C3413" s="24" t="s">
        <v>4126</v>
      </c>
      <c r="D3413" s="24">
        <v>2819</v>
      </c>
    </row>
    <row r="3414" spans="1:4" x14ac:dyDescent="0.25">
      <c r="A3414" s="24">
        <v>1629</v>
      </c>
      <c r="B3414" s="24">
        <v>991996</v>
      </c>
      <c r="C3414" s="24" t="s">
        <v>4125</v>
      </c>
      <c r="D3414" s="24">
        <v>2819</v>
      </c>
    </row>
    <row r="3415" spans="1:4" x14ac:dyDescent="0.25">
      <c r="A3415" s="24">
        <v>1741</v>
      </c>
      <c r="B3415" s="24">
        <v>871788</v>
      </c>
      <c r="C3415" s="24" t="s">
        <v>3948</v>
      </c>
      <c r="D3415" s="24">
        <v>2819</v>
      </c>
    </row>
    <row r="3416" spans="1:4" x14ac:dyDescent="0.25">
      <c r="A3416" s="24">
        <v>2577</v>
      </c>
      <c r="B3416" s="24">
        <v>991945</v>
      </c>
      <c r="C3416" s="24" t="s">
        <v>4120</v>
      </c>
      <c r="D3416" s="24">
        <v>2819</v>
      </c>
    </row>
    <row r="3417" spans="1:4" x14ac:dyDescent="0.25">
      <c r="A3417" s="24">
        <v>1848</v>
      </c>
      <c r="B3417" s="24">
        <v>991970</v>
      </c>
      <c r="C3417" s="24" t="s">
        <v>4123</v>
      </c>
      <c r="D3417" s="24">
        <v>2819</v>
      </c>
    </row>
    <row r="3418" spans="1:4" x14ac:dyDescent="0.25">
      <c r="A3418" s="24">
        <v>3104</v>
      </c>
      <c r="B3418" s="24">
        <v>991961</v>
      </c>
      <c r="C3418" s="24" t="s">
        <v>4122</v>
      </c>
      <c r="D3418" s="24">
        <v>2819</v>
      </c>
    </row>
    <row r="3419" spans="1:4" x14ac:dyDescent="0.25">
      <c r="A3419" s="24">
        <v>3050</v>
      </c>
      <c r="B3419" s="24">
        <v>991953</v>
      </c>
      <c r="C3419" s="24" t="s">
        <v>4121</v>
      </c>
      <c r="D3419" s="24">
        <v>2819</v>
      </c>
    </row>
    <row r="3420" spans="1:4" x14ac:dyDescent="0.25">
      <c r="A3420" s="24">
        <v>2240</v>
      </c>
      <c r="B3420" s="24">
        <v>871826</v>
      </c>
      <c r="C3420" s="24" t="s">
        <v>3952</v>
      </c>
      <c r="D3420" s="24">
        <v>2820</v>
      </c>
    </row>
    <row r="3421" spans="1:4" x14ac:dyDescent="0.25">
      <c r="A3421" s="24">
        <v>1108</v>
      </c>
      <c r="B3421" s="24">
        <v>871834</v>
      </c>
      <c r="C3421" s="24" t="s">
        <v>3953</v>
      </c>
      <c r="D3421" s="24">
        <v>2821</v>
      </c>
    </row>
    <row r="3422" spans="1:4" x14ac:dyDescent="0.25">
      <c r="A3422" s="24">
        <v>506</v>
      </c>
      <c r="B3422" s="24">
        <v>871851</v>
      </c>
      <c r="C3422" s="24" t="s">
        <v>3954</v>
      </c>
      <c r="D3422" s="24">
        <v>2822</v>
      </c>
    </row>
    <row r="3423" spans="1:4" x14ac:dyDescent="0.25">
      <c r="A3423" s="24">
        <v>3045</v>
      </c>
      <c r="B3423" s="24">
        <v>871940</v>
      </c>
      <c r="C3423" s="24" t="s">
        <v>3956</v>
      </c>
      <c r="D3423" s="24">
        <v>2823</v>
      </c>
    </row>
    <row r="3424" spans="1:4" x14ac:dyDescent="0.25">
      <c r="A3424" s="24">
        <v>1872</v>
      </c>
      <c r="B3424" s="24">
        <v>872253</v>
      </c>
      <c r="C3424" s="24" t="s">
        <v>3957</v>
      </c>
      <c r="D3424" s="24">
        <v>2824</v>
      </c>
    </row>
    <row r="3425" spans="1:4" x14ac:dyDescent="0.25">
      <c r="A3425" s="24">
        <v>2274</v>
      </c>
      <c r="B3425" s="24">
        <v>872261</v>
      </c>
      <c r="C3425" s="24" t="s">
        <v>3958</v>
      </c>
      <c r="D3425" s="24">
        <v>2825</v>
      </c>
    </row>
    <row r="3426" spans="1:4" x14ac:dyDescent="0.25">
      <c r="A3426" s="24">
        <v>2720</v>
      </c>
      <c r="B3426" s="24">
        <v>872296</v>
      </c>
      <c r="C3426" s="24" t="s">
        <v>3148</v>
      </c>
      <c r="D3426" s="24">
        <v>2826</v>
      </c>
    </row>
    <row r="3427" spans="1:4" x14ac:dyDescent="0.25">
      <c r="A3427" s="24">
        <v>3277</v>
      </c>
      <c r="B3427" s="24">
        <v>872270</v>
      </c>
      <c r="C3427" s="24" t="s">
        <v>3148</v>
      </c>
      <c r="D3427" s="24">
        <v>2827</v>
      </c>
    </row>
    <row r="3428" spans="1:4" x14ac:dyDescent="0.25">
      <c r="A3428" s="24">
        <v>2522</v>
      </c>
      <c r="B3428" s="24">
        <v>868779</v>
      </c>
      <c r="C3428" s="24" t="s">
        <v>3778</v>
      </c>
      <c r="D3428" s="24">
        <v>2828</v>
      </c>
    </row>
    <row r="3429" spans="1:4" x14ac:dyDescent="0.25">
      <c r="A3429" s="24">
        <v>1871</v>
      </c>
      <c r="B3429" s="24">
        <v>872300</v>
      </c>
      <c r="C3429" s="24" t="s">
        <v>3959</v>
      </c>
      <c r="D3429" s="24">
        <v>2829</v>
      </c>
    </row>
    <row r="3430" spans="1:4" x14ac:dyDescent="0.25">
      <c r="A3430" s="24">
        <v>113</v>
      </c>
      <c r="B3430" s="24">
        <v>872326</v>
      </c>
      <c r="C3430" s="24" t="s">
        <v>3960</v>
      </c>
      <c r="D3430" s="24">
        <v>2830</v>
      </c>
    </row>
    <row r="3431" spans="1:4" x14ac:dyDescent="0.25">
      <c r="A3431" s="24">
        <v>3224</v>
      </c>
      <c r="B3431" s="24">
        <v>872342</v>
      </c>
      <c r="C3431" s="24" t="s">
        <v>3961</v>
      </c>
      <c r="D3431" s="24">
        <v>2831</v>
      </c>
    </row>
    <row r="3432" spans="1:4" x14ac:dyDescent="0.25">
      <c r="A3432" s="24">
        <v>907</v>
      </c>
      <c r="B3432" s="24">
        <v>872369</v>
      </c>
      <c r="C3432" s="24" t="s">
        <v>1252</v>
      </c>
      <c r="D3432" s="24">
        <v>2832</v>
      </c>
    </row>
    <row r="3433" spans="1:4" x14ac:dyDescent="0.25">
      <c r="A3433" s="24">
        <v>2905</v>
      </c>
      <c r="B3433" s="24">
        <v>872393</v>
      </c>
      <c r="C3433" s="24" t="s">
        <v>3963</v>
      </c>
      <c r="D3433" s="24">
        <v>2833</v>
      </c>
    </row>
    <row r="3434" spans="1:4" x14ac:dyDescent="0.25">
      <c r="A3434" s="24">
        <v>1061</v>
      </c>
      <c r="B3434" s="24">
        <v>872423</v>
      </c>
      <c r="C3434" s="24" t="s">
        <v>3863</v>
      </c>
      <c r="D3434" s="24">
        <v>2834</v>
      </c>
    </row>
    <row r="3435" spans="1:4" x14ac:dyDescent="0.25">
      <c r="A3435" s="24">
        <v>517</v>
      </c>
      <c r="B3435" s="24">
        <v>872440</v>
      </c>
      <c r="C3435" s="24" t="s">
        <v>3863</v>
      </c>
      <c r="D3435" s="24">
        <v>2835</v>
      </c>
    </row>
    <row r="3436" spans="1:4" x14ac:dyDescent="0.25">
      <c r="A3436" s="24">
        <v>972</v>
      </c>
      <c r="B3436" s="24">
        <v>872466</v>
      </c>
      <c r="C3436" s="24" t="s">
        <v>3863</v>
      </c>
      <c r="D3436" s="24">
        <v>2836</v>
      </c>
    </row>
    <row r="3437" spans="1:4" x14ac:dyDescent="0.25">
      <c r="A3437" s="24">
        <v>2450</v>
      </c>
      <c r="B3437" s="24">
        <v>872491</v>
      </c>
      <c r="C3437" s="24" t="s">
        <v>3967</v>
      </c>
      <c r="D3437" s="24">
        <v>2837</v>
      </c>
    </row>
    <row r="3438" spans="1:4" x14ac:dyDescent="0.25">
      <c r="A3438" s="24">
        <v>3061</v>
      </c>
      <c r="B3438" s="24">
        <v>872504</v>
      </c>
      <c r="C3438" s="24" t="s">
        <v>3967</v>
      </c>
      <c r="D3438" s="24">
        <v>2838</v>
      </c>
    </row>
    <row r="3439" spans="1:4" x14ac:dyDescent="0.25">
      <c r="A3439" s="24">
        <v>2785</v>
      </c>
      <c r="B3439" s="24">
        <v>872547</v>
      </c>
      <c r="C3439" s="24" t="s">
        <v>3967</v>
      </c>
      <c r="D3439" s="24">
        <v>2839</v>
      </c>
    </row>
    <row r="3440" spans="1:4" x14ac:dyDescent="0.25">
      <c r="A3440" s="24">
        <v>1247</v>
      </c>
      <c r="B3440" s="24">
        <v>872563</v>
      </c>
      <c r="C3440" s="24" t="s">
        <v>3968</v>
      </c>
      <c r="D3440" s="24">
        <v>2840</v>
      </c>
    </row>
    <row r="3441" spans="1:4" x14ac:dyDescent="0.25">
      <c r="A3441" s="24">
        <v>2461</v>
      </c>
      <c r="B3441" s="24">
        <v>872580</v>
      </c>
      <c r="C3441" s="24" t="s">
        <v>3969</v>
      </c>
      <c r="D3441" s="24">
        <v>2841</v>
      </c>
    </row>
    <row r="3442" spans="1:4" x14ac:dyDescent="0.25">
      <c r="A3442" s="24">
        <v>2306</v>
      </c>
      <c r="B3442" s="24">
        <v>872644</v>
      </c>
      <c r="C3442" s="24" t="s">
        <v>3972</v>
      </c>
      <c r="D3442" s="24">
        <v>2842</v>
      </c>
    </row>
    <row r="3443" spans="1:4" x14ac:dyDescent="0.25">
      <c r="A3443" s="24">
        <v>1048</v>
      </c>
      <c r="B3443" s="24">
        <v>872679</v>
      </c>
      <c r="C3443" s="24" t="s">
        <v>3973</v>
      </c>
      <c r="D3443" s="24">
        <v>2843</v>
      </c>
    </row>
    <row r="3444" spans="1:4" x14ac:dyDescent="0.25">
      <c r="A3444" s="24">
        <v>1017</v>
      </c>
      <c r="B3444" s="24">
        <v>872806</v>
      </c>
      <c r="C3444" s="24" t="s">
        <v>3974</v>
      </c>
      <c r="D3444" s="24">
        <v>2844</v>
      </c>
    </row>
    <row r="3445" spans="1:4" x14ac:dyDescent="0.25">
      <c r="A3445" s="24">
        <v>1724</v>
      </c>
      <c r="B3445" s="24">
        <v>872822</v>
      </c>
      <c r="C3445" s="24" t="s">
        <v>3975</v>
      </c>
      <c r="D3445" s="24">
        <v>2845</v>
      </c>
    </row>
    <row r="3446" spans="1:4" x14ac:dyDescent="0.25">
      <c r="A3446" s="24">
        <v>167</v>
      </c>
      <c r="B3446" s="24">
        <v>800180</v>
      </c>
      <c r="C3446" s="24" t="s">
        <v>737</v>
      </c>
      <c r="D3446" s="24">
        <v>2846</v>
      </c>
    </row>
    <row r="3447" spans="1:4" x14ac:dyDescent="0.25">
      <c r="A3447" s="24">
        <v>3286</v>
      </c>
      <c r="B3447" s="24">
        <v>872831</v>
      </c>
      <c r="C3447" s="24" t="s">
        <v>3976</v>
      </c>
      <c r="D3447" s="24">
        <v>2846</v>
      </c>
    </row>
    <row r="3448" spans="1:4" x14ac:dyDescent="0.25">
      <c r="A3448" s="24">
        <v>953</v>
      </c>
      <c r="B3448" s="24">
        <v>872849</v>
      </c>
      <c r="C3448" s="24" t="s">
        <v>3977</v>
      </c>
      <c r="D3448" s="24">
        <v>2847</v>
      </c>
    </row>
    <row r="3449" spans="1:4" x14ac:dyDescent="0.25">
      <c r="A3449" s="24">
        <v>1151</v>
      </c>
      <c r="B3449" s="24">
        <v>872857</v>
      </c>
      <c r="C3449" s="24" t="s">
        <v>3978</v>
      </c>
      <c r="D3449" s="24">
        <v>2848</v>
      </c>
    </row>
    <row r="3450" spans="1:4" x14ac:dyDescent="0.25">
      <c r="A3450" s="24">
        <v>2535</v>
      </c>
      <c r="B3450" s="24">
        <v>872881</v>
      </c>
      <c r="C3450" s="24" t="s">
        <v>3980</v>
      </c>
      <c r="D3450" s="24">
        <v>2849</v>
      </c>
    </row>
    <row r="3451" spans="1:4" x14ac:dyDescent="0.25">
      <c r="A3451" s="24">
        <v>528</v>
      </c>
      <c r="B3451" s="24">
        <v>872903</v>
      </c>
      <c r="C3451" s="24" t="s">
        <v>3981</v>
      </c>
      <c r="D3451" s="24">
        <v>2850</v>
      </c>
    </row>
    <row r="3452" spans="1:4" x14ac:dyDescent="0.25">
      <c r="A3452" s="24">
        <v>723</v>
      </c>
      <c r="B3452" s="24">
        <v>872920</v>
      </c>
      <c r="C3452" s="24" t="s">
        <v>3983</v>
      </c>
      <c r="D3452" s="24">
        <v>2851</v>
      </c>
    </row>
    <row r="3453" spans="1:4" x14ac:dyDescent="0.25">
      <c r="A3453" s="24">
        <v>1984</v>
      </c>
      <c r="B3453" s="24">
        <v>872911</v>
      </c>
      <c r="C3453" s="24" t="s">
        <v>3982</v>
      </c>
      <c r="D3453" s="24">
        <v>2851</v>
      </c>
    </row>
    <row r="3454" spans="1:4" x14ac:dyDescent="0.25">
      <c r="A3454" s="24">
        <v>589</v>
      </c>
      <c r="B3454" s="24">
        <v>872946</v>
      </c>
      <c r="C3454" s="24" t="s">
        <v>3984</v>
      </c>
      <c r="D3454" s="24">
        <v>2852</v>
      </c>
    </row>
    <row r="3455" spans="1:4" x14ac:dyDescent="0.25">
      <c r="A3455" s="24">
        <v>2813</v>
      </c>
      <c r="B3455" s="24">
        <v>872954</v>
      </c>
      <c r="C3455" s="24" t="s">
        <v>3985</v>
      </c>
      <c r="D3455" s="24">
        <v>2853</v>
      </c>
    </row>
    <row r="3456" spans="1:4" x14ac:dyDescent="0.25">
      <c r="A3456" s="24">
        <v>2385</v>
      </c>
      <c r="B3456" s="24">
        <v>872971</v>
      </c>
      <c r="C3456" s="24" t="s">
        <v>3987</v>
      </c>
      <c r="D3456" s="24">
        <v>2854</v>
      </c>
    </row>
    <row r="3457" spans="1:4" x14ac:dyDescent="0.25">
      <c r="A3457" s="24">
        <v>2698</v>
      </c>
      <c r="B3457" s="24">
        <v>872989</v>
      </c>
      <c r="C3457" s="24" t="s">
        <v>3988</v>
      </c>
      <c r="D3457" s="24">
        <v>2855</v>
      </c>
    </row>
    <row r="3458" spans="1:4" x14ac:dyDescent="0.25">
      <c r="A3458" s="24">
        <v>2097</v>
      </c>
      <c r="B3458" s="24">
        <v>872997</v>
      </c>
      <c r="C3458" s="24" t="s">
        <v>3989</v>
      </c>
      <c r="D3458" s="24">
        <v>2856</v>
      </c>
    </row>
    <row r="3459" spans="1:4" x14ac:dyDescent="0.25">
      <c r="A3459" s="24">
        <v>2246</v>
      </c>
      <c r="B3459" s="24">
        <v>873021</v>
      </c>
      <c r="C3459" s="24" t="s">
        <v>3991</v>
      </c>
      <c r="D3459" s="24">
        <v>2857</v>
      </c>
    </row>
    <row r="3460" spans="1:4" x14ac:dyDescent="0.25">
      <c r="A3460" s="24">
        <v>809</v>
      </c>
      <c r="B3460" s="24">
        <v>873055</v>
      </c>
      <c r="C3460" s="24" t="s">
        <v>3993</v>
      </c>
      <c r="D3460" s="24">
        <v>2858</v>
      </c>
    </row>
    <row r="3461" spans="1:4" x14ac:dyDescent="0.25">
      <c r="A3461" s="24">
        <v>2885</v>
      </c>
      <c r="B3461" s="24">
        <v>873080</v>
      </c>
      <c r="C3461" s="24" t="s">
        <v>3995</v>
      </c>
      <c r="D3461" s="24">
        <v>2859</v>
      </c>
    </row>
    <row r="3462" spans="1:4" x14ac:dyDescent="0.25">
      <c r="A3462" s="24">
        <v>2735</v>
      </c>
      <c r="B3462" s="24">
        <v>873098</v>
      </c>
      <c r="C3462" s="24" t="s">
        <v>3996</v>
      </c>
      <c r="D3462" s="24">
        <v>2860</v>
      </c>
    </row>
    <row r="3463" spans="1:4" x14ac:dyDescent="0.25">
      <c r="A3463" s="24">
        <v>770</v>
      </c>
      <c r="B3463" s="24">
        <v>873136</v>
      </c>
      <c r="C3463" s="24" t="s">
        <v>3998</v>
      </c>
      <c r="D3463" s="24">
        <v>2861</v>
      </c>
    </row>
    <row r="3464" spans="1:4" x14ac:dyDescent="0.25">
      <c r="A3464" s="24">
        <v>3371</v>
      </c>
      <c r="B3464" s="24">
        <v>873152</v>
      </c>
      <c r="C3464" s="24" t="s">
        <v>3999</v>
      </c>
      <c r="D3464" s="24">
        <v>2862</v>
      </c>
    </row>
    <row r="3465" spans="1:4" x14ac:dyDescent="0.25">
      <c r="A3465" s="24">
        <v>2153</v>
      </c>
      <c r="B3465" s="24">
        <v>873161</v>
      </c>
      <c r="C3465" s="24" t="s">
        <v>4000</v>
      </c>
      <c r="D3465" s="24">
        <v>2863</v>
      </c>
    </row>
    <row r="3466" spans="1:4" x14ac:dyDescent="0.25">
      <c r="A3466" s="24">
        <v>73</v>
      </c>
      <c r="B3466" s="24">
        <v>873187</v>
      </c>
      <c r="C3466" s="24" t="s">
        <v>4002</v>
      </c>
      <c r="D3466" s="24">
        <v>2864</v>
      </c>
    </row>
    <row r="3467" spans="1:4" x14ac:dyDescent="0.25">
      <c r="A3467" s="24">
        <v>1396</v>
      </c>
      <c r="B3467" s="24">
        <v>873195</v>
      </c>
      <c r="C3467" s="24" t="s">
        <v>4003</v>
      </c>
      <c r="D3467" s="24">
        <v>2864</v>
      </c>
    </row>
    <row r="3468" spans="1:4" x14ac:dyDescent="0.25">
      <c r="A3468" s="24">
        <v>1121</v>
      </c>
      <c r="B3468" s="24">
        <v>873209</v>
      </c>
      <c r="C3468" s="24" t="s">
        <v>4004</v>
      </c>
      <c r="D3468" s="24">
        <v>2865</v>
      </c>
    </row>
    <row r="3469" spans="1:4" x14ac:dyDescent="0.25">
      <c r="A3469" s="24">
        <v>2327</v>
      </c>
      <c r="B3469" s="24">
        <v>873217</v>
      </c>
      <c r="C3469" s="24" t="s">
        <v>4005</v>
      </c>
      <c r="D3469" s="24">
        <v>2866</v>
      </c>
    </row>
    <row r="3470" spans="1:4" x14ac:dyDescent="0.25">
      <c r="A3470" s="24">
        <v>2893</v>
      </c>
      <c r="B3470" s="24">
        <v>873225</v>
      </c>
      <c r="C3470" s="24" t="s">
        <v>4006</v>
      </c>
      <c r="D3470" s="24">
        <v>2867</v>
      </c>
    </row>
    <row r="3471" spans="1:4" x14ac:dyDescent="0.25">
      <c r="A3471" s="24">
        <v>2621</v>
      </c>
      <c r="B3471" s="24">
        <v>873241</v>
      </c>
      <c r="C3471" s="24" t="s">
        <v>4007</v>
      </c>
      <c r="D3471" s="24">
        <v>2868</v>
      </c>
    </row>
    <row r="3472" spans="1:4" x14ac:dyDescent="0.25">
      <c r="A3472" s="24">
        <v>2961</v>
      </c>
      <c r="B3472" s="24">
        <v>873250</v>
      </c>
      <c r="C3472" s="24" t="s">
        <v>4008</v>
      </c>
      <c r="D3472" s="24">
        <v>2869</v>
      </c>
    </row>
    <row r="3473" spans="1:4" x14ac:dyDescent="0.25">
      <c r="A3473" s="24">
        <v>2597</v>
      </c>
      <c r="B3473" s="24">
        <v>826201</v>
      </c>
      <c r="C3473" s="24" t="s">
        <v>1928</v>
      </c>
      <c r="D3473" s="24">
        <v>2870</v>
      </c>
    </row>
    <row r="3474" spans="1:4" x14ac:dyDescent="0.25">
      <c r="A3474" s="24">
        <v>345</v>
      </c>
      <c r="B3474" s="24">
        <v>873268</v>
      </c>
      <c r="C3474" s="24" t="s">
        <v>4009</v>
      </c>
      <c r="D3474" s="24">
        <v>2871</v>
      </c>
    </row>
    <row r="3475" spans="1:4" x14ac:dyDescent="0.25">
      <c r="A3475" s="24">
        <v>2776</v>
      </c>
      <c r="B3475" s="24">
        <v>873284</v>
      </c>
      <c r="C3475" s="24" t="s">
        <v>4010</v>
      </c>
      <c r="D3475" s="24">
        <v>2872</v>
      </c>
    </row>
    <row r="3476" spans="1:4" x14ac:dyDescent="0.25">
      <c r="A3476" s="24">
        <v>3477</v>
      </c>
      <c r="B3476" s="24">
        <v>873322</v>
      </c>
      <c r="C3476" s="24" t="s">
        <v>4011</v>
      </c>
      <c r="D3476" s="24">
        <v>2873</v>
      </c>
    </row>
    <row r="3477" spans="1:4" x14ac:dyDescent="0.25">
      <c r="A3477" s="24">
        <v>2489</v>
      </c>
      <c r="B3477" s="24">
        <v>873349</v>
      </c>
      <c r="C3477" s="24" t="s">
        <v>4012</v>
      </c>
      <c r="D3477" s="24">
        <v>2874</v>
      </c>
    </row>
    <row r="3478" spans="1:4" x14ac:dyDescent="0.25">
      <c r="A3478" s="24">
        <v>1114</v>
      </c>
      <c r="B3478" s="24">
        <v>873390</v>
      </c>
      <c r="C3478" s="24" t="s">
        <v>4015</v>
      </c>
      <c r="D3478" s="24">
        <v>2875</v>
      </c>
    </row>
    <row r="3479" spans="1:4" x14ac:dyDescent="0.25">
      <c r="A3479" s="24">
        <v>370</v>
      </c>
      <c r="B3479" s="24">
        <v>873438</v>
      </c>
      <c r="C3479" s="24" t="s">
        <v>4017</v>
      </c>
      <c r="D3479" s="24">
        <v>2876</v>
      </c>
    </row>
    <row r="3480" spans="1:4" x14ac:dyDescent="0.25">
      <c r="A3480" s="24">
        <v>400</v>
      </c>
      <c r="B3480" s="24">
        <v>874965</v>
      </c>
      <c r="C3480" s="24" t="s">
        <v>4075</v>
      </c>
      <c r="D3480" s="24">
        <v>2876</v>
      </c>
    </row>
    <row r="3481" spans="1:4" x14ac:dyDescent="0.25">
      <c r="A3481" s="24">
        <v>864</v>
      </c>
      <c r="B3481" s="24">
        <v>873420</v>
      </c>
      <c r="C3481" s="24" t="s">
        <v>4016</v>
      </c>
      <c r="D3481" s="24">
        <v>2876</v>
      </c>
    </row>
    <row r="3482" spans="1:4" x14ac:dyDescent="0.25">
      <c r="A3482" s="24">
        <v>832</v>
      </c>
      <c r="B3482" s="24">
        <v>873462</v>
      </c>
      <c r="C3482" s="24" t="s">
        <v>4018</v>
      </c>
      <c r="D3482" s="24">
        <v>2877</v>
      </c>
    </row>
    <row r="3483" spans="1:4" x14ac:dyDescent="0.25">
      <c r="A3483" s="24">
        <v>1831</v>
      </c>
      <c r="B3483" s="24">
        <v>873471</v>
      </c>
      <c r="C3483" s="24" t="s">
        <v>4019</v>
      </c>
      <c r="D3483" s="24">
        <v>2878</v>
      </c>
    </row>
    <row r="3484" spans="1:4" x14ac:dyDescent="0.25">
      <c r="A3484" s="24">
        <v>394</v>
      </c>
      <c r="B3484" s="24">
        <v>873501</v>
      </c>
      <c r="C3484" s="24" t="s">
        <v>4020</v>
      </c>
      <c r="D3484" s="24">
        <v>2879</v>
      </c>
    </row>
    <row r="3485" spans="1:4" x14ac:dyDescent="0.25">
      <c r="A3485" s="24">
        <v>2043</v>
      </c>
      <c r="B3485" s="24">
        <v>873519</v>
      </c>
      <c r="C3485" s="24" t="s">
        <v>1112</v>
      </c>
      <c r="D3485" s="24">
        <v>2880</v>
      </c>
    </row>
    <row r="3486" spans="1:4" x14ac:dyDescent="0.25">
      <c r="A3486" s="24">
        <v>48</v>
      </c>
      <c r="B3486" s="24">
        <v>809489</v>
      </c>
      <c r="C3486" s="24" t="s">
        <v>1112</v>
      </c>
      <c r="D3486" s="24">
        <v>2881</v>
      </c>
    </row>
    <row r="3487" spans="1:4" x14ac:dyDescent="0.25">
      <c r="A3487" s="24">
        <v>53</v>
      </c>
      <c r="B3487" s="24">
        <v>873578</v>
      </c>
      <c r="C3487" s="24" t="s">
        <v>4023</v>
      </c>
      <c r="D3487" s="24">
        <v>2882</v>
      </c>
    </row>
    <row r="3488" spans="1:4" x14ac:dyDescent="0.25">
      <c r="A3488" s="24">
        <v>2969</v>
      </c>
      <c r="B3488" s="24">
        <v>826910</v>
      </c>
      <c r="C3488" s="24" t="s">
        <v>1959</v>
      </c>
      <c r="D3488" s="24">
        <v>2882</v>
      </c>
    </row>
    <row r="3489" spans="1:4" x14ac:dyDescent="0.25">
      <c r="A3489" s="24">
        <v>2370</v>
      </c>
      <c r="B3489" s="24">
        <v>873586</v>
      </c>
      <c r="C3489" s="24" t="s">
        <v>4024</v>
      </c>
      <c r="D3489" s="24">
        <v>2883</v>
      </c>
    </row>
    <row r="3490" spans="1:4" x14ac:dyDescent="0.25">
      <c r="A3490" s="24">
        <v>3245</v>
      </c>
      <c r="B3490" s="24">
        <v>873608</v>
      </c>
      <c r="C3490" s="24" t="s">
        <v>4026</v>
      </c>
      <c r="D3490" s="24">
        <v>2884</v>
      </c>
    </row>
    <row r="3491" spans="1:4" x14ac:dyDescent="0.25">
      <c r="A3491" s="24">
        <v>1431</v>
      </c>
      <c r="B3491" s="24">
        <v>873641</v>
      </c>
      <c r="C3491" s="24" t="s">
        <v>4027</v>
      </c>
      <c r="D3491" s="24">
        <v>2885</v>
      </c>
    </row>
    <row r="3492" spans="1:4" x14ac:dyDescent="0.25">
      <c r="A3492" s="24">
        <v>3445</v>
      </c>
      <c r="B3492" s="24">
        <v>873659</v>
      </c>
      <c r="C3492" s="24" t="s">
        <v>4028</v>
      </c>
      <c r="D3492" s="24">
        <v>2886</v>
      </c>
    </row>
    <row r="3493" spans="1:4" x14ac:dyDescent="0.25">
      <c r="A3493" s="24">
        <v>3007</v>
      </c>
      <c r="B3493" s="24">
        <v>873675</v>
      </c>
      <c r="C3493" s="24" t="s">
        <v>4029</v>
      </c>
      <c r="D3493" s="24">
        <v>2887</v>
      </c>
    </row>
    <row r="3494" spans="1:4" x14ac:dyDescent="0.25">
      <c r="A3494" s="24">
        <v>2992</v>
      </c>
      <c r="B3494" s="24">
        <v>873683</v>
      </c>
      <c r="C3494" s="24" t="s">
        <v>4030</v>
      </c>
      <c r="D3494" s="24">
        <v>2888</v>
      </c>
    </row>
    <row r="3495" spans="1:4" x14ac:dyDescent="0.25">
      <c r="A3495" s="24">
        <v>708</v>
      </c>
      <c r="B3495" s="24">
        <v>828157</v>
      </c>
      <c r="C3495" s="24" t="s">
        <v>2011</v>
      </c>
      <c r="D3495" s="24">
        <v>2889</v>
      </c>
    </row>
    <row r="3496" spans="1:4" x14ac:dyDescent="0.25">
      <c r="A3496" s="24">
        <v>639</v>
      </c>
      <c r="B3496" s="24">
        <v>834181</v>
      </c>
      <c r="C3496" s="24" t="s">
        <v>2301</v>
      </c>
      <c r="D3496" s="24">
        <v>2889</v>
      </c>
    </row>
    <row r="3497" spans="1:4" x14ac:dyDescent="0.25">
      <c r="A3497" s="24">
        <v>1355</v>
      </c>
      <c r="B3497" s="24">
        <v>873705</v>
      </c>
      <c r="C3497" s="24" t="s">
        <v>4032</v>
      </c>
      <c r="D3497" s="24">
        <v>2889</v>
      </c>
    </row>
    <row r="3498" spans="1:4" x14ac:dyDescent="0.25">
      <c r="A3498" s="24">
        <v>2122</v>
      </c>
      <c r="B3498" s="24">
        <v>873845</v>
      </c>
      <c r="C3498" s="24" t="s">
        <v>4033</v>
      </c>
      <c r="D3498" s="24">
        <v>2889</v>
      </c>
    </row>
    <row r="3499" spans="1:4" x14ac:dyDescent="0.25">
      <c r="A3499" s="24">
        <v>2322</v>
      </c>
      <c r="B3499" s="24">
        <v>873594</v>
      </c>
      <c r="C3499" s="24" t="s">
        <v>4025</v>
      </c>
      <c r="D3499" s="24">
        <v>2889</v>
      </c>
    </row>
    <row r="3500" spans="1:4" x14ac:dyDescent="0.25">
      <c r="A3500" s="24">
        <v>2167</v>
      </c>
      <c r="B3500" s="24">
        <v>856088</v>
      </c>
      <c r="C3500" s="24" t="s">
        <v>3226</v>
      </c>
      <c r="D3500" s="24">
        <v>2890</v>
      </c>
    </row>
    <row r="3501" spans="1:4" x14ac:dyDescent="0.25">
      <c r="A3501" s="24">
        <v>2430</v>
      </c>
      <c r="B3501" s="24">
        <v>873900</v>
      </c>
      <c r="C3501" s="24" t="s">
        <v>4034</v>
      </c>
      <c r="D3501" s="24">
        <v>2890</v>
      </c>
    </row>
    <row r="3502" spans="1:4" x14ac:dyDescent="0.25">
      <c r="A3502" s="24">
        <v>3237</v>
      </c>
      <c r="B3502" s="24">
        <v>873918</v>
      </c>
      <c r="C3502" s="24" t="s">
        <v>4035</v>
      </c>
      <c r="D3502" s="24">
        <v>2891</v>
      </c>
    </row>
    <row r="3503" spans="1:4" x14ac:dyDescent="0.25">
      <c r="A3503" s="24">
        <v>1146</v>
      </c>
      <c r="B3503" s="24">
        <v>873926</v>
      </c>
      <c r="C3503" s="24" t="s">
        <v>4036</v>
      </c>
      <c r="D3503" s="24">
        <v>2892</v>
      </c>
    </row>
    <row r="3504" spans="1:4" x14ac:dyDescent="0.25">
      <c r="A3504" s="24">
        <v>562</v>
      </c>
      <c r="B3504" s="24">
        <v>873934</v>
      </c>
      <c r="C3504" s="24" t="s">
        <v>4037</v>
      </c>
      <c r="D3504" s="24">
        <v>2893</v>
      </c>
    </row>
    <row r="3505" spans="1:4" x14ac:dyDescent="0.25">
      <c r="A3505" s="24">
        <v>493</v>
      </c>
      <c r="B3505" s="24">
        <v>873942</v>
      </c>
      <c r="C3505" s="24" t="s">
        <v>4038</v>
      </c>
      <c r="D3505" s="24">
        <v>2894</v>
      </c>
    </row>
    <row r="3506" spans="1:4" x14ac:dyDescent="0.25">
      <c r="A3506" s="24">
        <v>3417</v>
      </c>
      <c r="B3506" s="24">
        <v>873951</v>
      </c>
      <c r="C3506" s="24" t="s">
        <v>4039</v>
      </c>
      <c r="D3506" s="24">
        <v>2895</v>
      </c>
    </row>
    <row r="3507" spans="1:4" x14ac:dyDescent="0.25">
      <c r="A3507" s="24">
        <v>125</v>
      </c>
      <c r="B3507" s="24">
        <v>873969</v>
      </c>
      <c r="C3507" s="24" t="s">
        <v>4040</v>
      </c>
      <c r="D3507" s="24">
        <v>2896</v>
      </c>
    </row>
    <row r="3508" spans="1:4" x14ac:dyDescent="0.25">
      <c r="A3508" s="24">
        <v>1641</v>
      </c>
      <c r="B3508" s="24">
        <v>873977</v>
      </c>
      <c r="C3508" s="24" t="s">
        <v>4041</v>
      </c>
      <c r="D3508" s="24">
        <v>2897</v>
      </c>
    </row>
    <row r="3509" spans="1:4" x14ac:dyDescent="0.25">
      <c r="A3509" s="24">
        <v>677</v>
      </c>
      <c r="B3509" s="24">
        <v>852091</v>
      </c>
      <c r="C3509" s="24" t="s">
        <v>3066</v>
      </c>
      <c r="D3509" s="24">
        <v>2898</v>
      </c>
    </row>
    <row r="3510" spans="1:4" x14ac:dyDescent="0.25">
      <c r="A3510" s="24">
        <v>2498</v>
      </c>
      <c r="B3510" s="24">
        <v>874019</v>
      </c>
      <c r="C3510" s="24" t="s">
        <v>4043</v>
      </c>
      <c r="D3510" s="24">
        <v>2898</v>
      </c>
    </row>
    <row r="3511" spans="1:4" x14ac:dyDescent="0.25">
      <c r="A3511" s="24">
        <v>2737</v>
      </c>
      <c r="B3511" s="24">
        <v>874001</v>
      </c>
      <c r="C3511" s="24" t="s">
        <v>4042</v>
      </c>
      <c r="D3511" s="24">
        <v>2898</v>
      </c>
    </row>
    <row r="3512" spans="1:4" x14ac:dyDescent="0.25">
      <c r="A3512" s="24">
        <v>1987</v>
      </c>
      <c r="B3512" s="24">
        <v>874027</v>
      </c>
      <c r="C3512" s="24" t="s">
        <v>4044</v>
      </c>
      <c r="D3512" s="24">
        <v>2899</v>
      </c>
    </row>
    <row r="3513" spans="1:4" x14ac:dyDescent="0.25">
      <c r="A3513" s="24">
        <v>2726</v>
      </c>
      <c r="B3513" s="24">
        <v>874051</v>
      </c>
      <c r="C3513" s="24" t="s">
        <v>4046</v>
      </c>
      <c r="D3513" s="24">
        <v>2900</v>
      </c>
    </row>
    <row r="3514" spans="1:4" x14ac:dyDescent="0.25">
      <c r="A3514" s="24">
        <v>633</v>
      </c>
      <c r="B3514" s="24">
        <v>874060</v>
      </c>
      <c r="C3514" s="24" t="s">
        <v>4047</v>
      </c>
      <c r="D3514" s="24">
        <v>2901</v>
      </c>
    </row>
    <row r="3515" spans="1:4" x14ac:dyDescent="0.25">
      <c r="A3515" s="24">
        <v>94</v>
      </c>
      <c r="B3515" s="24">
        <v>874132</v>
      </c>
      <c r="C3515" s="24" t="s">
        <v>4049</v>
      </c>
      <c r="D3515" s="24">
        <v>2902</v>
      </c>
    </row>
    <row r="3516" spans="1:4" x14ac:dyDescent="0.25">
      <c r="A3516" s="24">
        <v>174</v>
      </c>
      <c r="B3516" s="24">
        <v>874159</v>
      </c>
      <c r="C3516" s="24" t="s">
        <v>4050</v>
      </c>
      <c r="D3516" s="24">
        <v>2903</v>
      </c>
    </row>
    <row r="3517" spans="1:4" x14ac:dyDescent="0.25">
      <c r="A3517" s="24">
        <v>1518</v>
      </c>
      <c r="B3517" s="24">
        <v>874183</v>
      </c>
      <c r="C3517" s="24" t="s">
        <v>4051</v>
      </c>
      <c r="D3517" s="24">
        <v>2904</v>
      </c>
    </row>
    <row r="3518" spans="1:4" x14ac:dyDescent="0.25">
      <c r="A3518" s="24">
        <v>643</v>
      </c>
      <c r="B3518" s="24">
        <v>874205</v>
      </c>
      <c r="C3518" s="24" t="s">
        <v>4052</v>
      </c>
      <c r="D3518" s="24">
        <v>2905</v>
      </c>
    </row>
    <row r="3519" spans="1:4" x14ac:dyDescent="0.25">
      <c r="A3519" s="24">
        <v>2028</v>
      </c>
      <c r="B3519" s="24">
        <v>874213</v>
      </c>
      <c r="C3519" s="24" t="s">
        <v>4053</v>
      </c>
      <c r="D3519" s="24">
        <v>2906</v>
      </c>
    </row>
    <row r="3520" spans="1:4" x14ac:dyDescent="0.25">
      <c r="A3520" s="24">
        <v>992</v>
      </c>
      <c r="B3520" s="24">
        <v>859966</v>
      </c>
      <c r="C3520" s="24" t="s">
        <v>3400</v>
      </c>
      <c r="D3520" s="24">
        <v>2907</v>
      </c>
    </row>
    <row r="3521" spans="1:4" x14ac:dyDescent="0.25">
      <c r="A3521" s="24">
        <v>1223</v>
      </c>
      <c r="B3521" s="24">
        <v>874272</v>
      </c>
      <c r="C3521" s="24" t="s">
        <v>4055</v>
      </c>
      <c r="D3521" s="24">
        <v>2907</v>
      </c>
    </row>
    <row r="3522" spans="1:4" x14ac:dyDescent="0.25">
      <c r="A3522" s="24">
        <v>1860</v>
      </c>
      <c r="B3522" s="24">
        <v>874248</v>
      </c>
      <c r="C3522" s="24" t="s">
        <v>4054</v>
      </c>
      <c r="D3522" s="24">
        <v>2907</v>
      </c>
    </row>
    <row r="3523" spans="1:4" x14ac:dyDescent="0.25">
      <c r="A3523" s="24">
        <v>2871</v>
      </c>
      <c r="B3523" s="24">
        <v>874281</v>
      </c>
      <c r="C3523" s="24" t="s">
        <v>4056</v>
      </c>
      <c r="D3523" s="24">
        <v>2908</v>
      </c>
    </row>
    <row r="3524" spans="1:4" x14ac:dyDescent="0.25">
      <c r="A3524" s="24">
        <v>3475</v>
      </c>
      <c r="B3524" s="24">
        <v>874302</v>
      </c>
      <c r="C3524" s="24" t="s">
        <v>4057</v>
      </c>
      <c r="D3524" s="24">
        <v>2909</v>
      </c>
    </row>
    <row r="3525" spans="1:4" x14ac:dyDescent="0.25">
      <c r="A3525" s="24">
        <v>476</v>
      </c>
      <c r="B3525" s="24">
        <v>874329</v>
      </c>
      <c r="C3525" s="24" t="s">
        <v>4059</v>
      </c>
      <c r="D3525" s="24">
        <v>2910</v>
      </c>
    </row>
    <row r="3526" spans="1:4" x14ac:dyDescent="0.25">
      <c r="A3526" s="24">
        <v>1643</v>
      </c>
      <c r="B3526" s="24">
        <v>874311</v>
      </c>
      <c r="C3526" s="24" t="s">
        <v>4058</v>
      </c>
      <c r="D3526" s="24">
        <v>2910</v>
      </c>
    </row>
    <row r="3527" spans="1:4" x14ac:dyDescent="0.25">
      <c r="A3527" s="24">
        <v>2229</v>
      </c>
      <c r="B3527" s="24">
        <v>874337</v>
      </c>
      <c r="C3527" s="24" t="s">
        <v>4060</v>
      </c>
      <c r="D3527" s="24">
        <v>2911</v>
      </c>
    </row>
    <row r="3528" spans="1:4" x14ac:dyDescent="0.25">
      <c r="A3528" s="24">
        <v>334</v>
      </c>
      <c r="B3528" s="24">
        <v>874353</v>
      </c>
      <c r="C3528" s="24" t="s">
        <v>4061</v>
      </c>
      <c r="D3528" s="24">
        <v>2912</v>
      </c>
    </row>
    <row r="3529" spans="1:4" x14ac:dyDescent="0.25">
      <c r="A3529" s="24">
        <v>1446</v>
      </c>
      <c r="B3529" s="24">
        <v>874361</v>
      </c>
      <c r="C3529" s="24" t="s">
        <v>4061</v>
      </c>
      <c r="D3529" s="24">
        <v>2913</v>
      </c>
    </row>
    <row r="3530" spans="1:4" x14ac:dyDescent="0.25">
      <c r="A3530" s="24">
        <v>289</v>
      </c>
      <c r="B3530" s="24">
        <v>860654</v>
      </c>
      <c r="C3530" s="24" t="s">
        <v>3434</v>
      </c>
      <c r="D3530" s="24">
        <v>2914</v>
      </c>
    </row>
    <row r="3531" spans="1:4" x14ac:dyDescent="0.25">
      <c r="A3531" s="24">
        <v>1680</v>
      </c>
      <c r="B3531" s="24">
        <v>874370</v>
      </c>
      <c r="C3531" s="24" t="s">
        <v>4062</v>
      </c>
      <c r="D3531" s="24">
        <v>2914</v>
      </c>
    </row>
    <row r="3532" spans="1:4" x14ac:dyDescent="0.25">
      <c r="A3532" s="24">
        <v>3425</v>
      </c>
      <c r="B3532" s="24">
        <v>874515</v>
      </c>
      <c r="C3532" s="24" t="s">
        <v>4063</v>
      </c>
      <c r="D3532" s="24">
        <v>2914</v>
      </c>
    </row>
    <row r="3533" spans="1:4" x14ac:dyDescent="0.25">
      <c r="A3533" s="24">
        <v>841</v>
      </c>
      <c r="B3533" s="24">
        <v>874558</v>
      </c>
      <c r="C3533" s="24" t="s">
        <v>4064</v>
      </c>
      <c r="D3533" s="24">
        <v>2915</v>
      </c>
    </row>
    <row r="3534" spans="1:4" x14ac:dyDescent="0.25">
      <c r="A3534" s="24">
        <v>2164</v>
      </c>
      <c r="B3534" s="24">
        <v>874574</v>
      </c>
      <c r="C3534" s="24" t="s">
        <v>4065</v>
      </c>
      <c r="D3534" s="24">
        <v>2916</v>
      </c>
    </row>
    <row r="3535" spans="1:4" x14ac:dyDescent="0.25">
      <c r="A3535" s="24">
        <v>3347</v>
      </c>
      <c r="B3535" s="24">
        <v>874591</v>
      </c>
      <c r="C3535" s="24" t="s">
        <v>4066</v>
      </c>
      <c r="D3535" s="24">
        <v>2917</v>
      </c>
    </row>
    <row r="3536" spans="1:4" x14ac:dyDescent="0.25">
      <c r="A3536" s="24">
        <v>127</v>
      </c>
      <c r="B3536" s="24">
        <v>874825</v>
      </c>
      <c r="C3536" s="24" t="s">
        <v>4068</v>
      </c>
      <c r="D3536" s="24">
        <v>2918</v>
      </c>
    </row>
    <row r="3537" spans="1:4" x14ac:dyDescent="0.25">
      <c r="A3537" s="24">
        <v>210</v>
      </c>
      <c r="B3537" s="24">
        <v>874906</v>
      </c>
      <c r="C3537" s="24" t="s">
        <v>4070</v>
      </c>
      <c r="D3537" s="24">
        <v>2918</v>
      </c>
    </row>
    <row r="3538" spans="1:4" x14ac:dyDescent="0.25">
      <c r="A3538" s="24">
        <v>358</v>
      </c>
      <c r="B3538" s="24">
        <v>806951</v>
      </c>
      <c r="C3538" s="24" t="s">
        <v>981</v>
      </c>
      <c r="D3538" s="24">
        <v>2918</v>
      </c>
    </row>
    <row r="3539" spans="1:4" x14ac:dyDescent="0.25">
      <c r="A3539" s="24">
        <v>671</v>
      </c>
      <c r="B3539" s="24">
        <v>800759</v>
      </c>
      <c r="C3539" s="24" t="s">
        <v>780</v>
      </c>
      <c r="D3539" s="24">
        <v>2918</v>
      </c>
    </row>
    <row r="3540" spans="1:4" x14ac:dyDescent="0.25">
      <c r="A3540" s="24">
        <v>1185</v>
      </c>
      <c r="B3540" s="24">
        <v>858897</v>
      </c>
      <c r="C3540" s="24" t="s">
        <v>3344</v>
      </c>
      <c r="D3540" s="24">
        <v>2918</v>
      </c>
    </row>
    <row r="3541" spans="1:4" x14ac:dyDescent="0.25">
      <c r="A3541" s="24">
        <v>1193</v>
      </c>
      <c r="B3541" s="24">
        <v>807753</v>
      </c>
      <c r="C3541" s="24" t="s">
        <v>1027</v>
      </c>
      <c r="D3541" s="24">
        <v>2918</v>
      </c>
    </row>
    <row r="3542" spans="1:4" x14ac:dyDescent="0.25">
      <c r="A3542" s="24">
        <v>1194</v>
      </c>
      <c r="B3542" s="24">
        <v>871737</v>
      </c>
      <c r="C3542" s="24" t="s">
        <v>3945</v>
      </c>
      <c r="D3542" s="24">
        <v>2918</v>
      </c>
    </row>
    <row r="3543" spans="1:4" x14ac:dyDescent="0.25">
      <c r="A3543" s="24">
        <v>1704</v>
      </c>
      <c r="B3543" s="24">
        <v>865371</v>
      </c>
      <c r="C3543" s="24" t="s">
        <v>3597</v>
      </c>
      <c r="D3543" s="24">
        <v>2918</v>
      </c>
    </row>
    <row r="3544" spans="1:4" x14ac:dyDescent="0.25">
      <c r="A3544" s="24">
        <v>1999</v>
      </c>
      <c r="B3544" s="24">
        <v>874876</v>
      </c>
      <c r="C3544" s="24" t="s">
        <v>4069</v>
      </c>
      <c r="D3544" s="24">
        <v>2918</v>
      </c>
    </row>
    <row r="3545" spans="1:4" x14ac:dyDescent="0.25">
      <c r="A3545" s="24">
        <v>2356</v>
      </c>
      <c r="B3545" s="24">
        <v>838195</v>
      </c>
      <c r="C3545" s="24" t="s">
        <v>2488</v>
      </c>
      <c r="D3545" s="24">
        <v>2918</v>
      </c>
    </row>
    <row r="3546" spans="1:4" x14ac:dyDescent="0.25">
      <c r="A3546" s="24">
        <v>2294</v>
      </c>
      <c r="B3546" s="24">
        <v>874604</v>
      </c>
      <c r="C3546" s="24" t="s">
        <v>4067</v>
      </c>
      <c r="D3546" s="24">
        <v>2918</v>
      </c>
    </row>
    <row r="3547" spans="1:4" x14ac:dyDescent="0.25">
      <c r="A3547" s="24">
        <v>2856</v>
      </c>
      <c r="B3547" s="24">
        <v>870307</v>
      </c>
      <c r="C3547" s="24" t="s">
        <v>3871</v>
      </c>
      <c r="D3547" s="24">
        <v>2918</v>
      </c>
    </row>
    <row r="3548" spans="1:4" x14ac:dyDescent="0.25">
      <c r="A3548" s="24">
        <v>2723</v>
      </c>
      <c r="B3548" s="24">
        <v>872377</v>
      </c>
      <c r="C3548" s="24" t="s">
        <v>3962</v>
      </c>
      <c r="D3548" s="24">
        <v>2918</v>
      </c>
    </row>
    <row r="3549" spans="1:4" x14ac:dyDescent="0.25">
      <c r="A3549" s="24">
        <v>3293</v>
      </c>
      <c r="B3549" s="24">
        <v>849031</v>
      </c>
      <c r="C3549" s="24" t="s">
        <v>2935</v>
      </c>
      <c r="D3549" s="24">
        <v>2918</v>
      </c>
    </row>
    <row r="3550" spans="1:4" x14ac:dyDescent="0.25">
      <c r="A3550" s="24">
        <v>3368</v>
      </c>
      <c r="B3550" s="24">
        <v>874914</v>
      </c>
      <c r="C3550" s="24" t="s">
        <v>4071</v>
      </c>
      <c r="D3550" s="24">
        <v>2919</v>
      </c>
    </row>
    <row r="3551" spans="1:4" x14ac:dyDescent="0.25">
      <c r="A3551" s="24">
        <v>2670</v>
      </c>
      <c r="B3551" s="24">
        <v>874922</v>
      </c>
      <c r="C3551" s="24" t="s">
        <v>4072</v>
      </c>
      <c r="D3551" s="24">
        <v>2920</v>
      </c>
    </row>
    <row r="3552" spans="1:4" x14ac:dyDescent="0.25">
      <c r="A3552" s="24">
        <v>2696</v>
      </c>
      <c r="B3552" s="24">
        <v>874931</v>
      </c>
      <c r="C3552" s="24" t="s">
        <v>4073</v>
      </c>
      <c r="D3552" s="24">
        <v>2921</v>
      </c>
    </row>
    <row r="3553" spans="1:4" x14ac:dyDescent="0.25">
      <c r="A3553" s="24">
        <v>1765</v>
      </c>
      <c r="B3553" s="24">
        <v>874949</v>
      </c>
      <c r="C3553" s="24" t="s">
        <v>4074</v>
      </c>
      <c r="D3553" s="24">
        <v>2922</v>
      </c>
    </row>
    <row r="3554" spans="1:4" x14ac:dyDescent="0.25">
      <c r="A3554" s="24">
        <v>2368</v>
      </c>
      <c r="B3554" s="24">
        <v>874957</v>
      </c>
      <c r="C3554" s="24" t="s">
        <v>2719</v>
      </c>
      <c r="D3554" s="24">
        <v>2922</v>
      </c>
    </row>
    <row r="3555" spans="1:4" x14ac:dyDescent="0.25">
      <c r="A3555" s="24">
        <v>2939</v>
      </c>
      <c r="B3555" s="24">
        <v>874973</v>
      </c>
      <c r="C3555" s="24" t="s">
        <v>4076</v>
      </c>
      <c r="D3555" s="24">
        <v>2923</v>
      </c>
    </row>
    <row r="3556" spans="1:4" x14ac:dyDescent="0.25">
      <c r="A3556" s="24">
        <v>1006</v>
      </c>
      <c r="B3556" s="24">
        <v>874981</v>
      </c>
      <c r="C3556" s="24" t="s">
        <v>4077</v>
      </c>
      <c r="D3556" s="24">
        <v>2924</v>
      </c>
    </row>
    <row r="3557" spans="1:4" x14ac:dyDescent="0.25">
      <c r="A3557" s="24">
        <v>2511</v>
      </c>
      <c r="B3557" s="24">
        <v>874990</v>
      </c>
      <c r="C3557" s="24" t="s">
        <v>4078</v>
      </c>
      <c r="D3557" s="24">
        <v>2924</v>
      </c>
    </row>
    <row r="3558" spans="1:4" x14ac:dyDescent="0.25">
      <c r="A3558" s="24">
        <v>1689</v>
      </c>
      <c r="B3558" s="24">
        <v>875007</v>
      </c>
      <c r="C3558" s="24" t="s">
        <v>4079</v>
      </c>
      <c r="D3558" s="24">
        <v>2925</v>
      </c>
    </row>
    <row r="3559" spans="1:4" x14ac:dyDescent="0.25">
      <c r="A3559" s="24">
        <v>676</v>
      </c>
      <c r="B3559" s="24">
        <v>875015</v>
      </c>
      <c r="C3559" s="24" t="s">
        <v>4080</v>
      </c>
      <c r="D3559" s="24">
        <v>2926</v>
      </c>
    </row>
    <row r="3560" spans="1:4" x14ac:dyDescent="0.25">
      <c r="A3560" s="24">
        <v>2101</v>
      </c>
      <c r="B3560" s="24">
        <v>875066</v>
      </c>
      <c r="C3560" s="24" t="s">
        <v>4081</v>
      </c>
      <c r="D3560" s="24">
        <v>2927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28"/>
  <sheetViews>
    <sheetView workbookViewId="0">
      <selection activeCell="K110" sqref="K110"/>
    </sheetView>
  </sheetViews>
  <sheetFormatPr defaultRowHeight="15" x14ac:dyDescent="0.25"/>
  <sheetData>
    <row r="1" spans="1:5" x14ac:dyDescent="0.25">
      <c r="A1" s="24" t="s">
        <v>1707</v>
      </c>
      <c r="B1" s="24" t="s">
        <v>4133</v>
      </c>
      <c r="C1" s="24" t="s">
        <v>4134</v>
      </c>
      <c r="D1" s="24" t="s">
        <v>4135</v>
      </c>
      <c r="E1" s="24" t="s">
        <v>4136</v>
      </c>
    </row>
    <row r="2" spans="1:5" x14ac:dyDescent="0.25">
      <c r="A2" s="24">
        <v>1</v>
      </c>
      <c r="B2" s="24">
        <v>511226</v>
      </c>
      <c r="C2" s="24" t="s">
        <v>728</v>
      </c>
      <c r="D2" s="24">
        <v>48</v>
      </c>
      <c r="E2" s="24">
        <v>44</v>
      </c>
    </row>
    <row r="3" spans="1:5" x14ac:dyDescent="0.25">
      <c r="A3" s="24">
        <v>2</v>
      </c>
      <c r="B3" s="24">
        <v>557757</v>
      </c>
      <c r="C3" s="24" t="s">
        <v>729</v>
      </c>
      <c r="D3" s="24">
        <v>51</v>
      </c>
      <c r="E3" s="24">
        <v>47</v>
      </c>
    </row>
    <row r="4" spans="1:5" x14ac:dyDescent="0.25">
      <c r="A4" s="24">
        <v>3</v>
      </c>
      <c r="B4" s="24">
        <v>503673</v>
      </c>
      <c r="C4" s="24" t="s">
        <v>730</v>
      </c>
      <c r="D4" s="24">
        <v>10</v>
      </c>
      <c r="E4" s="24">
        <v>6</v>
      </c>
    </row>
    <row r="5" spans="1:5" x14ac:dyDescent="0.25">
      <c r="A5" s="24">
        <v>4</v>
      </c>
      <c r="B5" s="24">
        <v>519014</v>
      </c>
      <c r="C5" s="24" t="s">
        <v>731</v>
      </c>
      <c r="D5" s="24">
        <v>56</v>
      </c>
      <c r="E5" s="24">
        <v>52</v>
      </c>
    </row>
    <row r="6" spans="1:5" x14ac:dyDescent="0.25">
      <c r="A6" s="24">
        <v>5</v>
      </c>
      <c r="B6" s="24">
        <v>523399</v>
      </c>
      <c r="C6" s="24" t="s">
        <v>731</v>
      </c>
      <c r="D6" s="24">
        <v>58</v>
      </c>
      <c r="E6" s="24">
        <v>54</v>
      </c>
    </row>
    <row r="7" spans="1:5" x14ac:dyDescent="0.25">
      <c r="A7" s="24">
        <v>6</v>
      </c>
      <c r="B7" s="24">
        <v>512044</v>
      </c>
      <c r="C7" s="24" t="s">
        <v>732</v>
      </c>
      <c r="D7" s="24">
        <v>40</v>
      </c>
      <c r="E7" s="24">
        <v>36</v>
      </c>
    </row>
    <row r="8" spans="1:5" x14ac:dyDescent="0.25">
      <c r="A8" s="24">
        <v>7</v>
      </c>
      <c r="B8" s="24">
        <v>524158</v>
      </c>
      <c r="C8" s="24" t="s">
        <v>733</v>
      </c>
      <c r="D8" s="24">
        <v>62</v>
      </c>
      <c r="E8" s="24">
        <v>58</v>
      </c>
    </row>
    <row r="9" spans="1:5" x14ac:dyDescent="0.25">
      <c r="A9" s="24">
        <v>8</v>
      </c>
      <c r="B9" s="24">
        <v>505838</v>
      </c>
      <c r="C9" s="24" t="s">
        <v>734</v>
      </c>
      <c r="D9" s="24">
        <v>24</v>
      </c>
      <c r="E9" s="24">
        <v>20</v>
      </c>
    </row>
    <row r="10" spans="1:5" x14ac:dyDescent="0.25">
      <c r="A10" s="24">
        <v>9</v>
      </c>
      <c r="B10" s="24">
        <v>520012</v>
      </c>
      <c r="C10" s="24" t="s">
        <v>735</v>
      </c>
      <c r="D10" s="24">
        <v>57</v>
      </c>
      <c r="E10" s="24">
        <v>53</v>
      </c>
    </row>
    <row r="11" spans="1:5" x14ac:dyDescent="0.25">
      <c r="A11" s="24">
        <v>10</v>
      </c>
      <c r="B11" s="24">
        <v>500020</v>
      </c>
      <c r="C11" s="24" t="s">
        <v>736</v>
      </c>
      <c r="D11" s="24">
        <v>27</v>
      </c>
      <c r="E11" s="24">
        <v>23</v>
      </c>
    </row>
    <row r="12" spans="1:5" x14ac:dyDescent="0.25">
      <c r="A12" s="24">
        <v>11</v>
      </c>
      <c r="B12" s="24">
        <v>503029</v>
      </c>
      <c r="C12" s="24" t="s">
        <v>738</v>
      </c>
      <c r="D12" s="24">
        <v>28</v>
      </c>
      <c r="E12" s="24">
        <v>24</v>
      </c>
    </row>
    <row r="13" spans="1:5" x14ac:dyDescent="0.25">
      <c r="A13" s="24">
        <v>12</v>
      </c>
      <c r="B13" s="24">
        <v>519022</v>
      </c>
      <c r="C13" s="24" t="s">
        <v>739</v>
      </c>
      <c r="D13" s="24">
        <v>56</v>
      </c>
      <c r="E13" s="24">
        <v>52</v>
      </c>
    </row>
    <row r="14" spans="1:5" x14ac:dyDescent="0.25">
      <c r="A14" s="24">
        <v>13</v>
      </c>
      <c r="B14" s="24">
        <v>556220</v>
      </c>
      <c r="C14" s="24" t="s">
        <v>741</v>
      </c>
      <c r="D14" s="24">
        <v>30</v>
      </c>
      <c r="E14" s="24">
        <v>26</v>
      </c>
    </row>
    <row r="15" spans="1:5" x14ac:dyDescent="0.25">
      <c r="A15" s="24">
        <v>14</v>
      </c>
      <c r="B15" s="24">
        <v>525537</v>
      </c>
      <c r="C15" s="24" t="s">
        <v>742</v>
      </c>
      <c r="D15" s="24">
        <v>76</v>
      </c>
      <c r="E15" s="24">
        <v>68</v>
      </c>
    </row>
    <row r="16" spans="1:5" x14ac:dyDescent="0.25">
      <c r="A16" s="24">
        <v>15</v>
      </c>
      <c r="B16" s="24">
        <v>526363</v>
      </c>
      <c r="C16" s="24" t="s">
        <v>743</v>
      </c>
      <c r="D16" s="24">
        <v>78</v>
      </c>
      <c r="E16" s="24">
        <v>70</v>
      </c>
    </row>
    <row r="17" spans="1:5" x14ac:dyDescent="0.25">
      <c r="A17" s="24">
        <v>16</v>
      </c>
      <c r="B17" s="24">
        <v>500046</v>
      </c>
      <c r="C17" s="24" t="s">
        <v>4137</v>
      </c>
      <c r="D17" s="24">
        <v>27</v>
      </c>
      <c r="E17" s="24">
        <v>23</v>
      </c>
    </row>
    <row r="18" spans="1:5" x14ac:dyDescent="0.25">
      <c r="A18" s="24">
        <v>17</v>
      </c>
      <c r="B18" s="24">
        <v>544060</v>
      </c>
      <c r="C18" s="24" t="s">
        <v>746</v>
      </c>
      <c r="D18" s="24">
        <v>68</v>
      </c>
      <c r="E18" s="24">
        <v>64</v>
      </c>
    </row>
    <row r="19" spans="1:5" x14ac:dyDescent="0.25">
      <c r="A19" s="24">
        <v>18</v>
      </c>
      <c r="B19" s="24">
        <v>509558</v>
      </c>
      <c r="C19" s="24" t="s">
        <v>747</v>
      </c>
      <c r="D19" s="24">
        <v>38</v>
      </c>
      <c r="E19" s="24">
        <v>34</v>
      </c>
    </row>
    <row r="20" spans="1:5" x14ac:dyDescent="0.25">
      <c r="A20" s="24">
        <v>19</v>
      </c>
      <c r="B20" s="24">
        <v>518166</v>
      </c>
      <c r="C20" s="24" t="s">
        <v>749</v>
      </c>
      <c r="D20" s="24">
        <v>53</v>
      </c>
      <c r="E20" s="24">
        <v>49</v>
      </c>
    </row>
    <row r="21" spans="1:5" x14ac:dyDescent="0.25">
      <c r="A21" s="24">
        <v>20</v>
      </c>
      <c r="B21" s="24">
        <v>581623</v>
      </c>
      <c r="C21" s="24" t="s">
        <v>750</v>
      </c>
      <c r="D21" s="24">
        <v>27</v>
      </c>
      <c r="E21" s="24">
        <v>23</v>
      </c>
    </row>
    <row r="22" spans="1:5" x14ac:dyDescent="0.25">
      <c r="A22" s="24">
        <v>21</v>
      </c>
      <c r="B22" s="24">
        <v>514489</v>
      </c>
      <c r="C22" s="24" t="s">
        <v>751</v>
      </c>
      <c r="D22" s="24">
        <v>51</v>
      </c>
      <c r="E22" s="24">
        <v>47</v>
      </c>
    </row>
    <row r="23" spans="1:5" x14ac:dyDescent="0.25">
      <c r="A23" s="24">
        <v>22</v>
      </c>
      <c r="B23" s="24">
        <v>508446</v>
      </c>
      <c r="C23" s="24" t="s">
        <v>753</v>
      </c>
      <c r="D23" s="24">
        <v>45</v>
      </c>
      <c r="E23" s="24">
        <v>41</v>
      </c>
    </row>
    <row r="24" spans="1:5" x14ac:dyDescent="0.25">
      <c r="A24" s="24">
        <v>23</v>
      </c>
      <c r="B24" s="24">
        <v>518174</v>
      </c>
      <c r="C24" s="24" t="s">
        <v>754</v>
      </c>
      <c r="D24" s="24">
        <v>53</v>
      </c>
      <c r="E24" s="24">
        <v>49</v>
      </c>
    </row>
    <row r="25" spans="1:5" x14ac:dyDescent="0.25">
      <c r="A25" s="24">
        <v>24</v>
      </c>
      <c r="B25" s="24">
        <v>501441</v>
      </c>
      <c r="C25" s="24" t="s">
        <v>755</v>
      </c>
      <c r="D25" s="24">
        <v>9</v>
      </c>
      <c r="E25" s="24">
        <v>5</v>
      </c>
    </row>
    <row r="26" spans="1:5" x14ac:dyDescent="0.25">
      <c r="A26" s="24">
        <v>25</v>
      </c>
      <c r="B26" s="24">
        <v>528102</v>
      </c>
      <c r="C26" s="24" t="s">
        <v>756</v>
      </c>
      <c r="D26" s="24">
        <v>79</v>
      </c>
      <c r="E26" s="24">
        <v>74</v>
      </c>
    </row>
    <row r="27" spans="1:5" x14ac:dyDescent="0.25">
      <c r="A27" s="24">
        <v>26</v>
      </c>
      <c r="B27" s="24">
        <v>528111</v>
      </c>
      <c r="C27" s="24" t="s">
        <v>757</v>
      </c>
      <c r="D27" s="24">
        <v>79</v>
      </c>
      <c r="E27" s="24">
        <v>71</v>
      </c>
    </row>
    <row r="28" spans="1:5" x14ac:dyDescent="0.25">
      <c r="A28" s="24">
        <v>27</v>
      </c>
      <c r="B28" s="24">
        <v>521141</v>
      </c>
      <c r="C28" s="24" t="s">
        <v>758</v>
      </c>
      <c r="D28" s="24">
        <v>74</v>
      </c>
      <c r="E28" s="24">
        <v>66</v>
      </c>
    </row>
    <row r="29" spans="1:5" x14ac:dyDescent="0.25">
      <c r="A29" s="24">
        <v>28</v>
      </c>
      <c r="B29" s="24">
        <v>516601</v>
      </c>
      <c r="C29" s="24" t="s">
        <v>760</v>
      </c>
      <c r="D29" s="24">
        <v>44</v>
      </c>
      <c r="E29" s="24">
        <v>40</v>
      </c>
    </row>
    <row r="30" spans="1:5" x14ac:dyDescent="0.25">
      <c r="A30" s="24">
        <v>29</v>
      </c>
      <c r="B30" s="24">
        <v>582697</v>
      </c>
      <c r="C30" s="24" t="s">
        <v>2861</v>
      </c>
      <c r="D30" s="24">
        <v>27</v>
      </c>
      <c r="E30" s="24">
        <v>23</v>
      </c>
    </row>
    <row r="31" spans="1:5" x14ac:dyDescent="0.25">
      <c r="A31" s="24">
        <v>30</v>
      </c>
      <c r="B31" s="24">
        <v>508454</v>
      </c>
      <c r="C31" s="24" t="s">
        <v>761</v>
      </c>
      <c r="D31" s="24">
        <v>43</v>
      </c>
      <c r="E31" s="24">
        <v>39</v>
      </c>
    </row>
    <row r="32" spans="1:5" x14ac:dyDescent="0.25">
      <c r="A32" s="24">
        <v>31</v>
      </c>
      <c r="B32" s="24">
        <v>507806</v>
      </c>
      <c r="C32" s="24" t="s">
        <v>762</v>
      </c>
      <c r="D32" s="24">
        <v>7</v>
      </c>
      <c r="E32" s="24">
        <v>2</v>
      </c>
    </row>
    <row r="33" spans="1:5" x14ac:dyDescent="0.25">
      <c r="A33" s="24">
        <v>32</v>
      </c>
      <c r="B33" s="24">
        <v>522287</v>
      </c>
      <c r="C33" s="24" t="s">
        <v>763</v>
      </c>
      <c r="D33" s="24">
        <v>75</v>
      </c>
      <c r="E33" s="24">
        <v>67</v>
      </c>
    </row>
    <row r="34" spans="1:5" x14ac:dyDescent="0.25">
      <c r="A34" s="24">
        <v>33</v>
      </c>
      <c r="B34" s="24">
        <v>501034</v>
      </c>
      <c r="C34" s="24" t="s">
        <v>764</v>
      </c>
      <c r="D34" s="24">
        <v>25</v>
      </c>
      <c r="E34" s="24">
        <v>21</v>
      </c>
    </row>
    <row r="35" spans="1:5" x14ac:dyDescent="0.25">
      <c r="A35" s="24">
        <v>34</v>
      </c>
      <c r="B35" s="24">
        <v>524174</v>
      </c>
      <c r="C35" s="24" t="s">
        <v>765</v>
      </c>
      <c r="D35" s="24">
        <v>62</v>
      </c>
      <c r="E35" s="24">
        <v>58</v>
      </c>
    </row>
    <row r="36" spans="1:5" x14ac:dyDescent="0.25">
      <c r="A36" s="24">
        <v>35</v>
      </c>
      <c r="B36" s="24">
        <v>524182</v>
      </c>
      <c r="C36" s="24" t="s">
        <v>766</v>
      </c>
      <c r="D36" s="24">
        <v>63</v>
      </c>
      <c r="E36" s="24">
        <v>59</v>
      </c>
    </row>
    <row r="37" spans="1:5" x14ac:dyDescent="0.25">
      <c r="A37" s="24">
        <v>36</v>
      </c>
      <c r="B37" s="24">
        <v>502049</v>
      </c>
      <c r="C37" s="24" t="s">
        <v>767</v>
      </c>
      <c r="D37" s="24">
        <v>26</v>
      </c>
      <c r="E37" s="24">
        <v>22</v>
      </c>
    </row>
    <row r="38" spans="1:5" x14ac:dyDescent="0.25">
      <c r="A38" s="24">
        <v>37</v>
      </c>
      <c r="B38" s="24">
        <v>503037</v>
      </c>
      <c r="C38" s="24" t="s">
        <v>768</v>
      </c>
      <c r="D38" s="24">
        <v>28</v>
      </c>
      <c r="E38" s="24">
        <v>24</v>
      </c>
    </row>
    <row r="39" spans="1:5" x14ac:dyDescent="0.25">
      <c r="A39" s="24">
        <v>38</v>
      </c>
      <c r="B39" s="24">
        <v>501450</v>
      </c>
      <c r="C39" s="24" t="s">
        <v>769</v>
      </c>
      <c r="D39" s="24">
        <v>9</v>
      </c>
      <c r="E39" s="24">
        <v>5</v>
      </c>
    </row>
    <row r="40" spans="1:5" x14ac:dyDescent="0.25">
      <c r="A40" s="24">
        <v>39</v>
      </c>
      <c r="B40" s="24">
        <v>508471</v>
      </c>
      <c r="C40" s="24" t="s">
        <v>771</v>
      </c>
      <c r="D40" s="24">
        <v>43</v>
      </c>
      <c r="E40" s="24">
        <v>39</v>
      </c>
    </row>
    <row r="41" spans="1:5" x14ac:dyDescent="0.25">
      <c r="A41" s="24">
        <v>40</v>
      </c>
      <c r="B41" s="24">
        <v>526371</v>
      </c>
      <c r="C41" s="24" t="s">
        <v>772</v>
      </c>
      <c r="D41" s="24">
        <v>59</v>
      </c>
      <c r="E41" s="24">
        <v>55</v>
      </c>
    </row>
    <row r="42" spans="1:5" x14ac:dyDescent="0.25">
      <c r="A42" s="24">
        <v>41</v>
      </c>
      <c r="B42" s="24">
        <v>515868</v>
      </c>
      <c r="C42" s="24" t="s">
        <v>773</v>
      </c>
      <c r="D42" s="24">
        <v>52</v>
      </c>
      <c r="E42" s="24">
        <v>48</v>
      </c>
    </row>
    <row r="43" spans="1:5" x14ac:dyDescent="0.25">
      <c r="A43" s="24">
        <v>42</v>
      </c>
      <c r="B43" s="24">
        <v>501468</v>
      </c>
      <c r="C43" s="24" t="s">
        <v>774</v>
      </c>
      <c r="D43" s="24">
        <v>9</v>
      </c>
      <c r="E43" s="24">
        <v>5</v>
      </c>
    </row>
    <row r="44" spans="1:5" x14ac:dyDescent="0.25">
      <c r="A44" s="24">
        <v>43</v>
      </c>
      <c r="B44" s="24">
        <v>527114</v>
      </c>
      <c r="C44" s="24" t="s">
        <v>775</v>
      </c>
      <c r="D44" s="24">
        <v>66</v>
      </c>
      <c r="E44" s="24">
        <v>62</v>
      </c>
    </row>
    <row r="45" spans="1:5" x14ac:dyDescent="0.25">
      <c r="A45" s="24">
        <v>44</v>
      </c>
      <c r="B45" s="24">
        <v>581399</v>
      </c>
      <c r="C45" s="24" t="s">
        <v>776</v>
      </c>
      <c r="D45" s="24">
        <v>12</v>
      </c>
      <c r="E45" s="24">
        <v>8</v>
      </c>
    </row>
    <row r="46" spans="1:5" x14ac:dyDescent="0.25">
      <c r="A46" s="24">
        <v>45</v>
      </c>
      <c r="B46" s="24">
        <v>503045</v>
      </c>
      <c r="C46" s="24" t="s">
        <v>778</v>
      </c>
      <c r="D46" s="24">
        <v>28</v>
      </c>
      <c r="E46" s="24">
        <v>24</v>
      </c>
    </row>
    <row r="47" spans="1:5" x14ac:dyDescent="0.25">
      <c r="A47" s="24">
        <v>46</v>
      </c>
      <c r="B47" s="24">
        <v>542652</v>
      </c>
      <c r="C47" s="24" t="s">
        <v>781</v>
      </c>
      <c r="D47" s="24">
        <v>16</v>
      </c>
      <c r="E47" s="24">
        <v>12</v>
      </c>
    </row>
    <row r="48" spans="1:5" x14ac:dyDescent="0.25">
      <c r="A48" s="24">
        <v>47</v>
      </c>
      <c r="B48" s="24">
        <v>522295</v>
      </c>
      <c r="C48" s="24" t="s">
        <v>782</v>
      </c>
      <c r="D48" s="24">
        <v>75</v>
      </c>
      <c r="E48" s="24">
        <v>67</v>
      </c>
    </row>
    <row r="49" spans="1:5" x14ac:dyDescent="0.25">
      <c r="A49" s="24">
        <v>48</v>
      </c>
      <c r="B49" s="24">
        <v>516627</v>
      </c>
      <c r="C49" s="24" t="s">
        <v>783</v>
      </c>
      <c r="D49" s="24">
        <v>44</v>
      </c>
      <c r="E49" s="24">
        <v>40</v>
      </c>
    </row>
    <row r="50" spans="1:5" x14ac:dyDescent="0.25">
      <c r="A50" s="24">
        <v>49</v>
      </c>
      <c r="B50" s="24">
        <v>508438</v>
      </c>
      <c r="C50" s="24" t="s">
        <v>784</v>
      </c>
      <c r="D50" s="24">
        <v>43</v>
      </c>
      <c r="E50" s="24">
        <v>39</v>
      </c>
    </row>
    <row r="51" spans="1:5" x14ac:dyDescent="0.25">
      <c r="A51" s="24">
        <v>50</v>
      </c>
      <c r="B51" s="24">
        <v>516643</v>
      </c>
      <c r="C51" s="24" t="s">
        <v>796</v>
      </c>
      <c r="D51" s="24">
        <v>44</v>
      </c>
      <c r="E51" s="24">
        <v>40</v>
      </c>
    </row>
    <row r="52" spans="1:5" x14ac:dyDescent="0.25">
      <c r="A52" s="24">
        <v>51</v>
      </c>
      <c r="B52" s="24">
        <v>544078</v>
      </c>
      <c r="C52" s="24" t="s">
        <v>797</v>
      </c>
      <c r="D52" s="24">
        <v>68</v>
      </c>
      <c r="E52" s="24">
        <v>64</v>
      </c>
    </row>
    <row r="53" spans="1:5" x14ac:dyDescent="0.25">
      <c r="A53" s="24">
        <v>52</v>
      </c>
      <c r="B53" s="24">
        <v>516651</v>
      </c>
      <c r="C53" s="24" t="s">
        <v>798</v>
      </c>
      <c r="D53" s="24">
        <v>44</v>
      </c>
      <c r="E53" s="24">
        <v>40</v>
      </c>
    </row>
    <row r="54" spans="1:5" x14ac:dyDescent="0.25">
      <c r="A54" s="24">
        <v>53</v>
      </c>
      <c r="B54" s="24">
        <v>528129</v>
      </c>
      <c r="C54" s="24" t="s">
        <v>4138</v>
      </c>
      <c r="D54" s="24">
        <v>79</v>
      </c>
      <c r="E54" s="24">
        <v>74</v>
      </c>
    </row>
    <row r="55" spans="1:5" x14ac:dyDescent="0.25">
      <c r="A55" s="24">
        <v>54</v>
      </c>
      <c r="B55" s="24">
        <v>514501</v>
      </c>
      <c r="C55" s="24" t="s">
        <v>801</v>
      </c>
      <c r="D55" s="24">
        <v>51</v>
      </c>
      <c r="E55" s="24">
        <v>47</v>
      </c>
    </row>
    <row r="56" spans="1:5" x14ac:dyDescent="0.25">
      <c r="A56" s="24">
        <v>55</v>
      </c>
      <c r="B56" s="24">
        <v>519006</v>
      </c>
      <c r="C56" s="24" t="s">
        <v>802</v>
      </c>
      <c r="D56" s="24">
        <v>56</v>
      </c>
      <c r="E56" s="24">
        <v>52</v>
      </c>
    </row>
    <row r="57" spans="1:5" x14ac:dyDescent="0.25">
      <c r="A57" s="24">
        <v>56</v>
      </c>
      <c r="B57" s="24">
        <v>503053</v>
      </c>
      <c r="C57" s="24" t="s">
        <v>804</v>
      </c>
      <c r="D57" s="24">
        <v>28</v>
      </c>
      <c r="E57" s="24">
        <v>24</v>
      </c>
    </row>
    <row r="58" spans="1:5" x14ac:dyDescent="0.25">
      <c r="A58" s="24">
        <v>57</v>
      </c>
      <c r="B58" s="24">
        <v>516660</v>
      </c>
      <c r="C58" s="24" t="s">
        <v>805</v>
      </c>
      <c r="D58" s="24">
        <v>55</v>
      </c>
      <c r="E58" s="24">
        <v>51</v>
      </c>
    </row>
    <row r="59" spans="1:5" x14ac:dyDescent="0.25">
      <c r="A59" s="24">
        <v>58</v>
      </c>
      <c r="B59" s="24">
        <v>519049</v>
      </c>
      <c r="C59" s="24" t="s">
        <v>806</v>
      </c>
      <c r="D59" s="24">
        <v>56</v>
      </c>
      <c r="E59" s="24">
        <v>52</v>
      </c>
    </row>
    <row r="60" spans="1:5" x14ac:dyDescent="0.25">
      <c r="A60" s="24">
        <v>59</v>
      </c>
      <c r="B60" s="24">
        <v>521159</v>
      </c>
      <c r="C60" s="24" t="s">
        <v>807</v>
      </c>
      <c r="D60" s="24">
        <v>74</v>
      </c>
      <c r="E60" s="24">
        <v>66</v>
      </c>
    </row>
    <row r="61" spans="1:5" x14ac:dyDescent="0.25">
      <c r="A61" s="24">
        <v>60</v>
      </c>
      <c r="B61" s="24">
        <v>520021</v>
      </c>
      <c r="C61" s="24" t="s">
        <v>808</v>
      </c>
      <c r="D61" s="24">
        <v>57</v>
      </c>
      <c r="E61" s="24">
        <v>53</v>
      </c>
    </row>
    <row r="62" spans="1:5" x14ac:dyDescent="0.25">
      <c r="A62" s="24">
        <v>61</v>
      </c>
      <c r="B62" s="24">
        <v>522309</v>
      </c>
      <c r="C62" s="24" t="s">
        <v>808</v>
      </c>
      <c r="D62" s="24">
        <v>77</v>
      </c>
      <c r="E62" s="24">
        <v>69</v>
      </c>
    </row>
    <row r="63" spans="1:5" x14ac:dyDescent="0.25">
      <c r="A63" s="24">
        <v>62</v>
      </c>
      <c r="B63" s="24">
        <v>558354</v>
      </c>
      <c r="C63" s="24" t="s">
        <v>809</v>
      </c>
      <c r="D63" s="24">
        <v>12</v>
      </c>
      <c r="E63" s="24">
        <v>8</v>
      </c>
    </row>
    <row r="64" spans="1:5" x14ac:dyDescent="0.25">
      <c r="A64" s="24">
        <v>63</v>
      </c>
      <c r="B64" s="24">
        <v>523402</v>
      </c>
      <c r="C64" s="24" t="s">
        <v>810</v>
      </c>
      <c r="D64" s="24">
        <v>61</v>
      </c>
      <c r="E64" s="24">
        <v>57</v>
      </c>
    </row>
    <row r="65" spans="1:5" x14ac:dyDescent="0.25">
      <c r="A65" s="24">
        <v>64</v>
      </c>
      <c r="B65" s="24">
        <v>514519</v>
      </c>
      <c r="C65" s="24" t="s">
        <v>811</v>
      </c>
      <c r="D65" s="24">
        <v>51</v>
      </c>
      <c r="E65" s="24">
        <v>47</v>
      </c>
    </row>
    <row r="66" spans="1:5" x14ac:dyDescent="0.25">
      <c r="A66" s="24">
        <v>65</v>
      </c>
      <c r="B66" s="24">
        <v>515876</v>
      </c>
      <c r="C66" s="24" t="s">
        <v>813</v>
      </c>
      <c r="D66" s="24">
        <v>52</v>
      </c>
      <c r="E66" s="24">
        <v>48</v>
      </c>
    </row>
    <row r="67" spans="1:5" x14ac:dyDescent="0.25">
      <c r="A67" s="24">
        <v>66</v>
      </c>
      <c r="B67" s="24">
        <v>501395</v>
      </c>
      <c r="C67" s="24" t="s">
        <v>3858</v>
      </c>
      <c r="D67" s="24">
        <v>25</v>
      </c>
      <c r="E67" s="24">
        <v>21</v>
      </c>
    </row>
    <row r="68" spans="1:5" x14ac:dyDescent="0.25">
      <c r="A68" s="24">
        <v>67</v>
      </c>
      <c r="B68" s="24">
        <v>502057</v>
      </c>
      <c r="C68" s="24" t="s">
        <v>814</v>
      </c>
      <c r="D68" s="24">
        <v>26</v>
      </c>
      <c r="E68" s="24">
        <v>22</v>
      </c>
    </row>
    <row r="69" spans="1:5" x14ac:dyDescent="0.25">
      <c r="A69" s="24">
        <v>68</v>
      </c>
      <c r="B69" s="24">
        <v>505846</v>
      </c>
      <c r="C69" s="24" t="s">
        <v>817</v>
      </c>
      <c r="D69" s="24">
        <v>19</v>
      </c>
      <c r="E69" s="24">
        <v>15</v>
      </c>
    </row>
    <row r="70" spans="1:5" x14ac:dyDescent="0.25">
      <c r="A70" s="24">
        <v>69</v>
      </c>
      <c r="B70" s="24">
        <v>526380</v>
      </c>
      <c r="C70" s="24" t="s">
        <v>818</v>
      </c>
      <c r="D70" s="24">
        <v>59</v>
      </c>
      <c r="E70" s="24">
        <v>55</v>
      </c>
    </row>
    <row r="71" spans="1:5" x14ac:dyDescent="0.25">
      <c r="A71" s="24">
        <v>70</v>
      </c>
      <c r="B71" s="24">
        <v>519057</v>
      </c>
      <c r="C71" s="24" t="s">
        <v>820</v>
      </c>
      <c r="D71" s="24">
        <v>56</v>
      </c>
      <c r="E71" s="24">
        <v>52</v>
      </c>
    </row>
    <row r="72" spans="1:5" x14ac:dyDescent="0.25">
      <c r="A72" s="24">
        <v>71</v>
      </c>
      <c r="B72" s="24">
        <v>503061</v>
      </c>
      <c r="C72" s="24" t="s">
        <v>821</v>
      </c>
      <c r="D72" s="24">
        <v>28</v>
      </c>
      <c r="E72" s="24">
        <v>24</v>
      </c>
    </row>
    <row r="73" spans="1:5" x14ac:dyDescent="0.25">
      <c r="A73" s="24">
        <v>72</v>
      </c>
      <c r="B73" s="24">
        <v>517429</v>
      </c>
      <c r="C73" s="24" t="s">
        <v>821</v>
      </c>
      <c r="D73" s="24">
        <v>42</v>
      </c>
      <c r="E73" s="24">
        <v>38</v>
      </c>
    </row>
    <row r="74" spans="1:5" x14ac:dyDescent="0.25">
      <c r="A74" s="24">
        <v>73</v>
      </c>
      <c r="B74" s="24">
        <v>512052</v>
      </c>
      <c r="C74" s="24" t="s">
        <v>4139</v>
      </c>
      <c r="D74" s="24">
        <v>37</v>
      </c>
      <c r="E74" s="24">
        <v>33</v>
      </c>
    </row>
    <row r="75" spans="1:5" x14ac:dyDescent="0.25">
      <c r="A75" s="24">
        <v>74</v>
      </c>
      <c r="B75" s="24">
        <v>520039</v>
      </c>
      <c r="C75" s="24" t="s">
        <v>822</v>
      </c>
      <c r="D75" s="24">
        <v>64</v>
      </c>
      <c r="E75" s="24">
        <v>60</v>
      </c>
    </row>
    <row r="76" spans="1:5" x14ac:dyDescent="0.25">
      <c r="A76" s="24">
        <v>75</v>
      </c>
      <c r="B76" s="24">
        <v>500062</v>
      </c>
      <c r="C76" s="24" t="s">
        <v>823</v>
      </c>
      <c r="D76" s="24">
        <v>31</v>
      </c>
      <c r="E76" s="24">
        <v>27</v>
      </c>
    </row>
    <row r="77" spans="1:5" x14ac:dyDescent="0.25">
      <c r="A77" s="24">
        <v>76</v>
      </c>
      <c r="B77" s="24">
        <v>527122</v>
      </c>
      <c r="C77" s="24" t="s">
        <v>825</v>
      </c>
      <c r="D77" s="24">
        <v>67</v>
      </c>
      <c r="E77" s="24">
        <v>63</v>
      </c>
    </row>
    <row r="78" spans="1:5" x14ac:dyDescent="0.25">
      <c r="A78" s="24">
        <v>77</v>
      </c>
      <c r="B78" s="24">
        <v>514535</v>
      </c>
      <c r="C78" s="24" t="s">
        <v>826</v>
      </c>
      <c r="D78" s="24">
        <v>51</v>
      </c>
      <c r="E78" s="24">
        <v>47</v>
      </c>
    </row>
    <row r="79" spans="1:5" x14ac:dyDescent="0.25">
      <c r="A79" s="24">
        <v>78</v>
      </c>
      <c r="B79" s="24">
        <v>511234</v>
      </c>
      <c r="C79" s="24" t="s">
        <v>827</v>
      </c>
      <c r="D79" s="24">
        <v>48</v>
      </c>
      <c r="E79" s="24">
        <v>44</v>
      </c>
    </row>
    <row r="80" spans="1:5" x14ac:dyDescent="0.25">
      <c r="A80" s="24">
        <v>79</v>
      </c>
      <c r="B80" s="24">
        <v>542661</v>
      </c>
      <c r="C80" s="24" t="s">
        <v>828</v>
      </c>
      <c r="D80" s="24">
        <v>30</v>
      </c>
      <c r="E80" s="24">
        <v>26</v>
      </c>
    </row>
    <row r="81" spans="1:5" x14ac:dyDescent="0.25">
      <c r="A81" s="24">
        <v>80</v>
      </c>
      <c r="B81" s="24">
        <v>555517</v>
      </c>
      <c r="C81" s="24" t="s">
        <v>829</v>
      </c>
      <c r="D81" s="24">
        <v>9</v>
      </c>
      <c r="E81" s="24">
        <v>5</v>
      </c>
    </row>
    <row r="82" spans="1:5" x14ac:dyDescent="0.25">
      <c r="A82" s="24">
        <v>81</v>
      </c>
      <c r="B82" s="24">
        <v>519065</v>
      </c>
      <c r="C82" s="24" t="s">
        <v>830</v>
      </c>
      <c r="D82" s="24">
        <v>56</v>
      </c>
      <c r="E82" s="24">
        <v>52</v>
      </c>
    </row>
    <row r="83" spans="1:5" x14ac:dyDescent="0.25">
      <c r="A83" s="24">
        <v>82</v>
      </c>
      <c r="B83" s="24">
        <v>516678</v>
      </c>
      <c r="C83" s="24" t="s">
        <v>831</v>
      </c>
      <c r="D83" s="24">
        <v>44</v>
      </c>
      <c r="E83" s="24">
        <v>40</v>
      </c>
    </row>
    <row r="84" spans="1:5" x14ac:dyDescent="0.25">
      <c r="A84" s="24">
        <v>83</v>
      </c>
      <c r="B84" s="24">
        <v>512851</v>
      </c>
      <c r="C84" s="24" t="s">
        <v>832</v>
      </c>
      <c r="D84" s="24">
        <v>23</v>
      </c>
      <c r="E84" s="24">
        <v>19</v>
      </c>
    </row>
    <row r="85" spans="1:5" x14ac:dyDescent="0.25">
      <c r="A85" s="24">
        <v>84</v>
      </c>
      <c r="B85" s="24">
        <v>521167</v>
      </c>
      <c r="C85" s="24" t="s">
        <v>833</v>
      </c>
      <c r="D85" s="24">
        <v>74</v>
      </c>
      <c r="E85" s="24">
        <v>66</v>
      </c>
    </row>
    <row r="86" spans="1:5" x14ac:dyDescent="0.25">
      <c r="A86" s="24">
        <v>85</v>
      </c>
      <c r="B86" s="24">
        <v>510271</v>
      </c>
      <c r="C86" s="24" t="s">
        <v>834</v>
      </c>
      <c r="D86" s="24">
        <v>36</v>
      </c>
      <c r="E86" s="24">
        <v>32</v>
      </c>
    </row>
    <row r="87" spans="1:5" x14ac:dyDescent="0.25">
      <c r="A87" s="24">
        <v>86</v>
      </c>
      <c r="B87" s="24">
        <v>527131</v>
      </c>
      <c r="C87" s="24" t="s">
        <v>835</v>
      </c>
      <c r="D87" s="24">
        <v>67</v>
      </c>
      <c r="E87" s="24">
        <v>63</v>
      </c>
    </row>
    <row r="88" spans="1:5" x14ac:dyDescent="0.25">
      <c r="A88" s="24">
        <v>87</v>
      </c>
      <c r="B88" s="24">
        <v>509566</v>
      </c>
      <c r="C88" s="24" t="s">
        <v>836</v>
      </c>
      <c r="D88" s="24">
        <v>38</v>
      </c>
      <c r="E88" s="24">
        <v>34</v>
      </c>
    </row>
    <row r="89" spans="1:5" x14ac:dyDescent="0.25">
      <c r="A89" s="24">
        <v>88</v>
      </c>
      <c r="B89" s="24">
        <v>522317</v>
      </c>
      <c r="C89" s="24" t="s">
        <v>837</v>
      </c>
      <c r="D89" s="24">
        <v>77</v>
      </c>
      <c r="E89" s="24">
        <v>69</v>
      </c>
    </row>
    <row r="90" spans="1:5" x14ac:dyDescent="0.25">
      <c r="A90" s="24">
        <v>89</v>
      </c>
      <c r="B90" s="24">
        <v>521175</v>
      </c>
      <c r="C90" s="24" t="s">
        <v>838</v>
      </c>
      <c r="D90" s="24">
        <v>74</v>
      </c>
      <c r="E90" s="24">
        <v>66</v>
      </c>
    </row>
    <row r="91" spans="1:5" x14ac:dyDescent="0.25">
      <c r="A91" s="24">
        <v>90</v>
      </c>
      <c r="B91" s="24">
        <v>512061</v>
      </c>
      <c r="C91" s="24" t="s">
        <v>839</v>
      </c>
      <c r="D91" s="24">
        <v>37</v>
      </c>
      <c r="E91" s="24">
        <v>33</v>
      </c>
    </row>
    <row r="92" spans="1:5" x14ac:dyDescent="0.25">
      <c r="A92" s="24">
        <v>91</v>
      </c>
      <c r="B92" s="24">
        <v>544086</v>
      </c>
      <c r="C92" s="24" t="s">
        <v>840</v>
      </c>
      <c r="D92" s="24">
        <v>68</v>
      </c>
      <c r="E92" s="24">
        <v>64</v>
      </c>
    </row>
    <row r="93" spans="1:5" x14ac:dyDescent="0.25">
      <c r="A93" s="24">
        <v>92</v>
      </c>
      <c r="B93" s="24">
        <v>508462</v>
      </c>
      <c r="C93" s="24" t="s">
        <v>842</v>
      </c>
      <c r="D93" s="24">
        <v>45</v>
      </c>
      <c r="E93" s="24">
        <v>41</v>
      </c>
    </row>
    <row r="94" spans="1:5" x14ac:dyDescent="0.25">
      <c r="A94" s="24">
        <v>93</v>
      </c>
      <c r="B94" s="24">
        <v>507814</v>
      </c>
      <c r="C94" s="24" t="s">
        <v>844</v>
      </c>
      <c r="D94" s="24">
        <v>8</v>
      </c>
      <c r="E94" s="24">
        <v>3</v>
      </c>
    </row>
    <row r="95" spans="1:5" x14ac:dyDescent="0.25">
      <c r="A95" s="24">
        <v>94</v>
      </c>
      <c r="B95" s="24">
        <v>524191</v>
      </c>
      <c r="C95" s="24" t="s">
        <v>845</v>
      </c>
      <c r="D95" s="24">
        <v>62</v>
      </c>
      <c r="E95" s="24">
        <v>58</v>
      </c>
    </row>
    <row r="96" spans="1:5" x14ac:dyDescent="0.25">
      <c r="A96" s="24">
        <v>95</v>
      </c>
      <c r="B96" s="24">
        <v>502065</v>
      </c>
      <c r="C96" s="24" t="s">
        <v>846</v>
      </c>
      <c r="D96" s="24">
        <v>26</v>
      </c>
      <c r="E96" s="24">
        <v>22</v>
      </c>
    </row>
    <row r="97" spans="1:5" x14ac:dyDescent="0.25">
      <c r="A97" s="24">
        <v>96</v>
      </c>
      <c r="B97" s="24">
        <v>528137</v>
      </c>
      <c r="C97" s="24" t="s">
        <v>846</v>
      </c>
      <c r="D97" s="24">
        <v>75</v>
      </c>
      <c r="E97" s="24">
        <v>73</v>
      </c>
    </row>
    <row r="98" spans="1:5" x14ac:dyDescent="0.25">
      <c r="A98" s="24">
        <v>97</v>
      </c>
      <c r="B98" s="24">
        <v>503070</v>
      </c>
      <c r="C98" s="24" t="s">
        <v>848</v>
      </c>
      <c r="D98" s="24">
        <v>28</v>
      </c>
      <c r="E98" s="24">
        <v>24</v>
      </c>
    </row>
    <row r="99" spans="1:5" x14ac:dyDescent="0.25">
      <c r="A99" s="24">
        <v>98</v>
      </c>
      <c r="B99" s="24">
        <v>510301</v>
      </c>
      <c r="C99" s="24" t="s">
        <v>849</v>
      </c>
      <c r="D99" s="24">
        <v>39</v>
      </c>
      <c r="E99" s="24">
        <v>35</v>
      </c>
    </row>
    <row r="100" spans="1:5" x14ac:dyDescent="0.25">
      <c r="A100" s="24">
        <v>99</v>
      </c>
      <c r="B100" s="24">
        <v>526398</v>
      </c>
      <c r="C100" s="24" t="s">
        <v>850</v>
      </c>
      <c r="D100" s="24">
        <v>78</v>
      </c>
      <c r="E100" s="24">
        <v>70</v>
      </c>
    </row>
    <row r="101" spans="1:5" x14ac:dyDescent="0.25">
      <c r="A101" s="24">
        <v>100</v>
      </c>
      <c r="B101" s="24">
        <v>525545</v>
      </c>
      <c r="C101" s="24" t="s">
        <v>851</v>
      </c>
      <c r="D101" s="24">
        <v>76</v>
      </c>
      <c r="E101" s="24">
        <v>68</v>
      </c>
    </row>
    <row r="102" spans="1:5" x14ac:dyDescent="0.25">
      <c r="A102" s="24">
        <v>101</v>
      </c>
      <c r="B102" s="24">
        <v>522325</v>
      </c>
      <c r="C102" s="24" t="s">
        <v>852</v>
      </c>
      <c r="D102" s="24">
        <v>77</v>
      </c>
      <c r="E102" s="24">
        <v>69</v>
      </c>
    </row>
    <row r="103" spans="1:5" x14ac:dyDescent="0.25">
      <c r="A103" s="24">
        <v>102</v>
      </c>
      <c r="B103" s="24">
        <v>521183</v>
      </c>
      <c r="C103" s="24" t="s">
        <v>853</v>
      </c>
      <c r="D103" s="24">
        <v>74</v>
      </c>
      <c r="E103" s="24">
        <v>66</v>
      </c>
    </row>
    <row r="104" spans="1:5" x14ac:dyDescent="0.25">
      <c r="A104" s="24">
        <v>103</v>
      </c>
      <c r="B104" s="24">
        <v>528145</v>
      </c>
      <c r="C104" s="24" t="s">
        <v>854</v>
      </c>
      <c r="D104" s="24">
        <v>79</v>
      </c>
      <c r="E104" s="24">
        <v>74</v>
      </c>
    </row>
    <row r="105" spans="1:5" x14ac:dyDescent="0.25">
      <c r="A105" s="24">
        <v>104</v>
      </c>
      <c r="B105" s="24">
        <v>502073</v>
      </c>
      <c r="C105" s="24" t="s">
        <v>855</v>
      </c>
      <c r="D105" s="24">
        <v>26</v>
      </c>
      <c r="E105" s="24">
        <v>22</v>
      </c>
    </row>
    <row r="106" spans="1:5" x14ac:dyDescent="0.25">
      <c r="A106" s="24">
        <v>105</v>
      </c>
      <c r="B106" s="24">
        <v>580473</v>
      </c>
      <c r="C106" s="24" t="s">
        <v>856</v>
      </c>
      <c r="D106" s="24">
        <v>15</v>
      </c>
      <c r="E106" s="24">
        <v>11</v>
      </c>
    </row>
    <row r="107" spans="1:5" x14ac:dyDescent="0.25">
      <c r="A107" s="24">
        <v>106</v>
      </c>
      <c r="B107" s="24">
        <v>526401</v>
      </c>
      <c r="C107" s="24" t="s">
        <v>857</v>
      </c>
      <c r="D107" s="24">
        <v>59</v>
      </c>
      <c r="E107" s="24">
        <v>55</v>
      </c>
    </row>
    <row r="108" spans="1:5" x14ac:dyDescent="0.25">
      <c r="A108" s="24">
        <v>107</v>
      </c>
      <c r="B108" s="24">
        <v>504211</v>
      </c>
      <c r="C108" s="24" t="s">
        <v>858</v>
      </c>
      <c r="D108" s="24">
        <v>13</v>
      </c>
      <c r="E108" s="24">
        <v>9</v>
      </c>
    </row>
    <row r="109" spans="1:5" x14ac:dyDescent="0.25">
      <c r="A109" s="24">
        <v>108</v>
      </c>
      <c r="B109" s="24">
        <v>503088</v>
      </c>
      <c r="C109" s="24" t="s">
        <v>859</v>
      </c>
      <c r="D109" s="24">
        <v>28</v>
      </c>
      <c r="E109" s="24">
        <v>24</v>
      </c>
    </row>
    <row r="110" spans="1:5" x14ac:dyDescent="0.25">
      <c r="A110" s="24">
        <v>109</v>
      </c>
      <c r="B110" s="24">
        <v>506788</v>
      </c>
      <c r="C110" s="24" t="s">
        <v>860</v>
      </c>
      <c r="D110" s="24">
        <v>15</v>
      </c>
      <c r="E110" s="24">
        <v>11</v>
      </c>
    </row>
    <row r="111" spans="1:5" x14ac:dyDescent="0.25">
      <c r="A111" s="24">
        <v>110</v>
      </c>
      <c r="B111" s="24">
        <v>557315</v>
      </c>
      <c r="C111" s="24" t="s">
        <v>861</v>
      </c>
      <c r="D111" s="24">
        <v>48</v>
      </c>
      <c r="E111" s="24">
        <v>44</v>
      </c>
    </row>
    <row r="112" spans="1:5" x14ac:dyDescent="0.25">
      <c r="A112" s="24">
        <v>111</v>
      </c>
      <c r="B112" s="24">
        <v>542695</v>
      </c>
      <c r="C112" s="24" t="s">
        <v>862</v>
      </c>
      <c r="D112" s="24">
        <v>30</v>
      </c>
      <c r="E112" s="24">
        <v>26</v>
      </c>
    </row>
    <row r="113" spans="1:5" x14ac:dyDescent="0.25">
      <c r="A113" s="24">
        <v>112</v>
      </c>
      <c r="B113" s="24">
        <v>547522</v>
      </c>
      <c r="C113" s="24" t="s">
        <v>863</v>
      </c>
      <c r="D113" s="24">
        <v>42</v>
      </c>
      <c r="E113" s="24">
        <v>38</v>
      </c>
    </row>
    <row r="114" spans="1:5" x14ac:dyDescent="0.25">
      <c r="A114" s="24">
        <v>113</v>
      </c>
      <c r="B114" s="24">
        <v>501484</v>
      </c>
      <c r="C114" s="24" t="s">
        <v>864</v>
      </c>
      <c r="D114" s="24">
        <v>9</v>
      </c>
      <c r="E114" s="24">
        <v>5</v>
      </c>
    </row>
    <row r="115" spans="1:5" x14ac:dyDescent="0.25">
      <c r="A115" s="24">
        <v>114</v>
      </c>
      <c r="B115" s="24">
        <v>501492</v>
      </c>
      <c r="C115" s="24" t="s">
        <v>865</v>
      </c>
      <c r="D115" s="24">
        <v>9</v>
      </c>
      <c r="E115" s="24">
        <v>5</v>
      </c>
    </row>
    <row r="116" spans="1:5" x14ac:dyDescent="0.25">
      <c r="A116" s="24">
        <v>115</v>
      </c>
      <c r="B116" s="24">
        <v>522333</v>
      </c>
      <c r="C116" s="24" t="s">
        <v>866</v>
      </c>
      <c r="D116" s="24">
        <v>77</v>
      </c>
      <c r="E116" s="24">
        <v>69</v>
      </c>
    </row>
    <row r="117" spans="1:5" x14ac:dyDescent="0.25">
      <c r="A117" s="24">
        <v>116</v>
      </c>
      <c r="B117" s="24">
        <v>507822</v>
      </c>
      <c r="C117" s="24" t="s">
        <v>867</v>
      </c>
      <c r="D117" s="24">
        <v>8</v>
      </c>
      <c r="E117" s="24">
        <v>3</v>
      </c>
    </row>
    <row r="118" spans="1:5" x14ac:dyDescent="0.25">
      <c r="A118" s="24">
        <v>117</v>
      </c>
      <c r="B118" s="24">
        <v>522341</v>
      </c>
      <c r="C118" s="24" t="s">
        <v>868</v>
      </c>
      <c r="D118" s="24">
        <v>77</v>
      </c>
      <c r="E118" s="24">
        <v>69</v>
      </c>
    </row>
    <row r="119" spans="1:5" x14ac:dyDescent="0.25">
      <c r="A119" s="24">
        <v>118</v>
      </c>
      <c r="B119" s="24">
        <v>522350</v>
      </c>
      <c r="C119" s="24" t="s">
        <v>869</v>
      </c>
      <c r="D119" s="24">
        <v>77</v>
      </c>
      <c r="E119" s="24">
        <v>69</v>
      </c>
    </row>
    <row r="120" spans="1:5" x14ac:dyDescent="0.25">
      <c r="A120" s="24">
        <v>119</v>
      </c>
      <c r="B120" s="24">
        <v>512079</v>
      </c>
      <c r="C120" s="24" t="s">
        <v>870</v>
      </c>
      <c r="D120" s="24">
        <v>37</v>
      </c>
      <c r="E120" s="24">
        <v>33</v>
      </c>
    </row>
    <row r="121" spans="1:5" x14ac:dyDescent="0.25">
      <c r="A121" s="24">
        <v>120</v>
      </c>
      <c r="B121" s="24">
        <v>521191</v>
      </c>
      <c r="C121" s="24" t="s">
        <v>871</v>
      </c>
      <c r="D121" s="24">
        <v>74</v>
      </c>
      <c r="E121" s="24">
        <v>66</v>
      </c>
    </row>
    <row r="122" spans="1:5" x14ac:dyDescent="0.25">
      <c r="A122" s="24">
        <v>121</v>
      </c>
      <c r="B122" s="24">
        <v>512087</v>
      </c>
      <c r="C122" s="24" t="s">
        <v>872</v>
      </c>
      <c r="D122" s="24">
        <v>40</v>
      </c>
      <c r="E122" s="24">
        <v>36</v>
      </c>
    </row>
    <row r="123" spans="1:5" x14ac:dyDescent="0.25">
      <c r="A123" s="24">
        <v>122</v>
      </c>
      <c r="B123" s="24">
        <v>542709</v>
      </c>
      <c r="C123" s="24" t="s">
        <v>873</v>
      </c>
      <c r="D123" s="24">
        <v>30</v>
      </c>
      <c r="E123" s="24">
        <v>26</v>
      </c>
    </row>
    <row r="124" spans="1:5" x14ac:dyDescent="0.25">
      <c r="A124" s="24">
        <v>123</v>
      </c>
      <c r="B124" s="24">
        <v>514543</v>
      </c>
      <c r="C124" s="24" t="s">
        <v>874</v>
      </c>
      <c r="D124" s="24">
        <v>51</v>
      </c>
      <c r="E124" s="24">
        <v>47</v>
      </c>
    </row>
    <row r="125" spans="1:5" x14ac:dyDescent="0.25">
      <c r="A125" s="24">
        <v>124</v>
      </c>
      <c r="B125" s="24">
        <v>505854</v>
      </c>
      <c r="C125" s="24" t="s">
        <v>875</v>
      </c>
      <c r="D125" s="24">
        <v>24</v>
      </c>
      <c r="E125" s="24">
        <v>20</v>
      </c>
    </row>
    <row r="126" spans="1:5" x14ac:dyDescent="0.25">
      <c r="A126" s="24">
        <v>125</v>
      </c>
      <c r="B126" s="24">
        <v>509582</v>
      </c>
      <c r="C126" s="24" t="s">
        <v>877</v>
      </c>
      <c r="D126" s="24">
        <v>38</v>
      </c>
      <c r="E126" s="24">
        <v>34</v>
      </c>
    </row>
    <row r="127" spans="1:5" x14ac:dyDescent="0.25">
      <c r="A127" s="24">
        <v>126</v>
      </c>
      <c r="B127" s="24">
        <v>510319</v>
      </c>
      <c r="C127" s="24" t="s">
        <v>878</v>
      </c>
      <c r="D127" s="24">
        <v>36</v>
      </c>
      <c r="E127" s="24">
        <v>32</v>
      </c>
    </row>
    <row r="128" spans="1:5" x14ac:dyDescent="0.25">
      <c r="A128" s="24">
        <v>127</v>
      </c>
      <c r="B128" s="24">
        <v>510327</v>
      </c>
      <c r="C128" s="24" t="s">
        <v>879</v>
      </c>
      <c r="D128" s="24">
        <v>36</v>
      </c>
      <c r="E128" s="24">
        <v>32</v>
      </c>
    </row>
    <row r="129" spans="1:5" x14ac:dyDescent="0.25">
      <c r="A129" s="24">
        <v>128</v>
      </c>
      <c r="B129" s="24">
        <v>510335</v>
      </c>
      <c r="C129" s="24" t="s">
        <v>880</v>
      </c>
      <c r="D129" s="24">
        <v>36</v>
      </c>
      <c r="E129" s="24">
        <v>32</v>
      </c>
    </row>
    <row r="130" spans="1:5" x14ac:dyDescent="0.25">
      <c r="A130" s="24">
        <v>129</v>
      </c>
      <c r="B130" s="24">
        <v>559831</v>
      </c>
      <c r="C130" s="24" t="s">
        <v>1645</v>
      </c>
      <c r="D130" s="24">
        <v>74</v>
      </c>
      <c r="E130" s="24">
        <v>66</v>
      </c>
    </row>
    <row r="131" spans="1:5" x14ac:dyDescent="0.25">
      <c r="A131" s="24">
        <v>130</v>
      </c>
      <c r="B131" s="24">
        <v>503461</v>
      </c>
      <c r="C131" s="24" t="s">
        <v>1542</v>
      </c>
      <c r="D131" s="24">
        <v>9</v>
      </c>
      <c r="E131" s="24">
        <v>5</v>
      </c>
    </row>
    <row r="132" spans="1:5" x14ac:dyDescent="0.25">
      <c r="A132" s="24">
        <v>131</v>
      </c>
      <c r="B132" s="24">
        <v>557633</v>
      </c>
      <c r="C132" s="24" t="s">
        <v>882</v>
      </c>
      <c r="D132" s="24">
        <v>21</v>
      </c>
      <c r="E132" s="24">
        <v>17</v>
      </c>
    </row>
    <row r="133" spans="1:5" x14ac:dyDescent="0.25">
      <c r="A133" s="24">
        <v>132</v>
      </c>
      <c r="B133" s="24">
        <v>512095</v>
      </c>
      <c r="C133" s="24" t="s">
        <v>883</v>
      </c>
      <c r="D133" s="24">
        <v>40</v>
      </c>
      <c r="E133" s="24">
        <v>36</v>
      </c>
    </row>
    <row r="134" spans="1:5" x14ac:dyDescent="0.25">
      <c r="A134" s="24">
        <v>133</v>
      </c>
      <c r="B134" s="24">
        <v>524204</v>
      </c>
      <c r="C134" s="24" t="s">
        <v>885</v>
      </c>
      <c r="D134" s="24">
        <v>63</v>
      </c>
      <c r="E134" s="24">
        <v>59</v>
      </c>
    </row>
    <row r="135" spans="1:5" x14ac:dyDescent="0.25">
      <c r="A135" s="24">
        <v>134</v>
      </c>
      <c r="B135" s="24">
        <v>527149</v>
      </c>
      <c r="C135" s="24" t="s">
        <v>887</v>
      </c>
      <c r="D135" s="24">
        <v>67</v>
      </c>
      <c r="E135" s="24">
        <v>63</v>
      </c>
    </row>
    <row r="136" spans="1:5" x14ac:dyDescent="0.25">
      <c r="A136" s="24">
        <v>135</v>
      </c>
      <c r="B136" s="24">
        <v>501042</v>
      </c>
      <c r="C136" s="24" t="s">
        <v>888</v>
      </c>
      <c r="D136" s="24">
        <v>25</v>
      </c>
      <c r="E136" s="24">
        <v>21</v>
      </c>
    </row>
    <row r="137" spans="1:5" x14ac:dyDescent="0.25">
      <c r="A137" s="24">
        <v>136</v>
      </c>
      <c r="B137" s="24">
        <v>555819</v>
      </c>
      <c r="C137" s="24" t="s">
        <v>889</v>
      </c>
      <c r="D137" s="24">
        <v>25</v>
      </c>
      <c r="E137" s="24">
        <v>21</v>
      </c>
    </row>
    <row r="138" spans="1:5" x14ac:dyDescent="0.25">
      <c r="A138" s="24">
        <v>137</v>
      </c>
      <c r="B138" s="24">
        <v>519073</v>
      </c>
      <c r="C138" s="24" t="s">
        <v>890</v>
      </c>
      <c r="D138" s="24">
        <v>56</v>
      </c>
      <c r="E138" s="24">
        <v>52</v>
      </c>
    </row>
    <row r="139" spans="1:5" x14ac:dyDescent="0.25">
      <c r="A139" s="24">
        <v>138</v>
      </c>
      <c r="B139" s="24">
        <v>521205</v>
      </c>
      <c r="C139" s="24" t="s">
        <v>892</v>
      </c>
      <c r="D139" s="24">
        <v>74</v>
      </c>
      <c r="E139" s="24">
        <v>66</v>
      </c>
    </row>
    <row r="140" spans="1:5" x14ac:dyDescent="0.25">
      <c r="A140" s="24">
        <v>139</v>
      </c>
      <c r="B140" s="24">
        <v>506796</v>
      </c>
      <c r="C140" s="24" t="s">
        <v>893</v>
      </c>
      <c r="D140" s="24">
        <v>15</v>
      </c>
      <c r="E140" s="24">
        <v>11</v>
      </c>
    </row>
    <row r="141" spans="1:5" x14ac:dyDescent="0.25">
      <c r="A141" s="24">
        <v>140</v>
      </c>
      <c r="B141" s="24">
        <v>501506</v>
      </c>
      <c r="C141" s="24" t="s">
        <v>894</v>
      </c>
      <c r="D141" s="24">
        <v>9</v>
      </c>
      <c r="E141" s="24">
        <v>5</v>
      </c>
    </row>
    <row r="142" spans="1:5" x14ac:dyDescent="0.25">
      <c r="A142" s="24">
        <v>141</v>
      </c>
      <c r="B142" s="24">
        <v>580937</v>
      </c>
      <c r="C142" s="24" t="s">
        <v>895</v>
      </c>
      <c r="D142" s="24">
        <v>26</v>
      </c>
      <c r="E142" s="24">
        <v>22</v>
      </c>
    </row>
    <row r="143" spans="1:5" x14ac:dyDescent="0.25">
      <c r="A143" s="24">
        <v>142</v>
      </c>
      <c r="B143" s="24">
        <v>582301</v>
      </c>
      <c r="C143" s="24" t="s">
        <v>895</v>
      </c>
      <c r="D143" s="24">
        <v>17</v>
      </c>
      <c r="E143" s="24">
        <v>13</v>
      </c>
    </row>
    <row r="144" spans="1:5" x14ac:dyDescent="0.25">
      <c r="A144" s="24">
        <v>143</v>
      </c>
      <c r="B144" s="24">
        <v>525553</v>
      </c>
      <c r="C144" s="24" t="s">
        <v>896</v>
      </c>
      <c r="D144" s="24">
        <v>76</v>
      </c>
      <c r="E144" s="24">
        <v>68</v>
      </c>
    </row>
    <row r="145" spans="1:5" x14ac:dyDescent="0.25">
      <c r="A145" s="24">
        <v>144</v>
      </c>
      <c r="B145" s="24">
        <v>542717</v>
      </c>
      <c r="C145" s="24" t="s">
        <v>898</v>
      </c>
      <c r="D145" s="24">
        <v>30</v>
      </c>
      <c r="E145" s="24">
        <v>26</v>
      </c>
    </row>
    <row r="146" spans="1:5" x14ac:dyDescent="0.25">
      <c r="A146" s="24">
        <v>145</v>
      </c>
      <c r="B146" s="24">
        <v>513903</v>
      </c>
      <c r="C146" s="24" t="s">
        <v>900</v>
      </c>
      <c r="D146" s="24">
        <v>22</v>
      </c>
      <c r="E146" s="24">
        <v>18</v>
      </c>
    </row>
    <row r="147" spans="1:5" x14ac:dyDescent="0.25">
      <c r="A147" s="24">
        <v>146</v>
      </c>
      <c r="B147" s="24">
        <v>506800</v>
      </c>
      <c r="C147" s="24" t="s">
        <v>902</v>
      </c>
      <c r="D147" s="24">
        <v>11</v>
      </c>
      <c r="E147" s="24">
        <v>7</v>
      </c>
    </row>
    <row r="148" spans="1:5" x14ac:dyDescent="0.25">
      <c r="A148" s="24">
        <v>147</v>
      </c>
      <c r="B148" s="24">
        <v>528161</v>
      </c>
      <c r="C148" s="24" t="s">
        <v>903</v>
      </c>
      <c r="D148" s="24">
        <v>79</v>
      </c>
      <c r="E148" s="24">
        <v>74</v>
      </c>
    </row>
    <row r="149" spans="1:5" x14ac:dyDescent="0.25">
      <c r="A149" s="24">
        <v>148</v>
      </c>
      <c r="B149" s="24">
        <v>503681</v>
      </c>
      <c r="C149" s="24" t="s">
        <v>904</v>
      </c>
      <c r="D149" s="24">
        <v>8</v>
      </c>
      <c r="E149" s="24">
        <v>3</v>
      </c>
    </row>
    <row r="150" spans="1:5" x14ac:dyDescent="0.25">
      <c r="A150" s="24">
        <v>149</v>
      </c>
      <c r="B150" s="24">
        <v>506818</v>
      </c>
      <c r="C150" s="24" t="s">
        <v>905</v>
      </c>
      <c r="D150" s="24">
        <v>15</v>
      </c>
      <c r="E150" s="24">
        <v>11</v>
      </c>
    </row>
    <row r="151" spans="1:5" x14ac:dyDescent="0.25">
      <c r="A151" s="24">
        <v>150</v>
      </c>
      <c r="B151" s="24">
        <v>512885</v>
      </c>
      <c r="C151" s="24" t="s">
        <v>907</v>
      </c>
      <c r="D151" s="24">
        <v>17</v>
      </c>
      <c r="E151" s="24">
        <v>13</v>
      </c>
    </row>
    <row r="152" spans="1:5" x14ac:dyDescent="0.25">
      <c r="A152" s="24">
        <v>151</v>
      </c>
      <c r="B152" s="24">
        <v>521213</v>
      </c>
      <c r="C152" s="24" t="s">
        <v>908</v>
      </c>
      <c r="D152" s="24">
        <v>74</v>
      </c>
      <c r="E152" s="24">
        <v>66</v>
      </c>
    </row>
    <row r="153" spans="1:5" x14ac:dyDescent="0.25">
      <c r="A153" s="24">
        <v>152</v>
      </c>
      <c r="B153" s="24">
        <v>511251</v>
      </c>
      <c r="C153" s="24" t="s">
        <v>909</v>
      </c>
      <c r="D153" s="24">
        <v>48</v>
      </c>
      <c r="E153" s="24">
        <v>44</v>
      </c>
    </row>
    <row r="154" spans="1:5" x14ac:dyDescent="0.25">
      <c r="A154" s="24">
        <v>153</v>
      </c>
      <c r="B154" s="24">
        <v>512109</v>
      </c>
      <c r="C154" s="24" t="s">
        <v>910</v>
      </c>
      <c r="D154" s="24">
        <v>40</v>
      </c>
      <c r="E154" s="24">
        <v>36</v>
      </c>
    </row>
    <row r="155" spans="1:5" x14ac:dyDescent="0.25">
      <c r="A155" s="24">
        <v>154</v>
      </c>
      <c r="B155" s="24">
        <v>556793</v>
      </c>
      <c r="C155" s="24" t="s">
        <v>911</v>
      </c>
      <c r="D155" s="24">
        <v>16</v>
      </c>
      <c r="E155" s="24">
        <v>12</v>
      </c>
    </row>
    <row r="156" spans="1:5" x14ac:dyDescent="0.25">
      <c r="A156" s="24">
        <v>155</v>
      </c>
      <c r="B156" s="24">
        <v>557391</v>
      </c>
      <c r="C156" s="24" t="s">
        <v>912</v>
      </c>
      <c r="D156" s="24">
        <v>17</v>
      </c>
      <c r="E156" s="24">
        <v>13</v>
      </c>
    </row>
    <row r="157" spans="1:5" x14ac:dyDescent="0.25">
      <c r="A157" s="24">
        <v>156</v>
      </c>
      <c r="B157" s="24">
        <v>507831</v>
      </c>
      <c r="C157" s="24" t="s">
        <v>913</v>
      </c>
      <c r="D157" s="24">
        <v>6</v>
      </c>
      <c r="E157" s="24">
        <v>1</v>
      </c>
    </row>
    <row r="158" spans="1:5" x14ac:dyDescent="0.25">
      <c r="A158" s="24">
        <v>157</v>
      </c>
      <c r="B158" s="24">
        <v>506826</v>
      </c>
      <c r="C158" s="24" t="s">
        <v>917</v>
      </c>
      <c r="D158" s="24">
        <v>15</v>
      </c>
      <c r="E158" s="24">
        <v>11</v>
      </c>
    </row>
    <row r="159" spans="1:5" x14ac:dyDescent="0.25">
      <c r="A159" s="24">
        <v>158</v>
      </c>
      <c r="B159" s="24">
        <v>506834</v>
      </c>
      <c r="C159" s="24" t="s">
        <v>918</v>
      </c>
      <c r="D159" s="24">
        <v>12</v>
      </c>
      <c r="E159" s="24">
        <v>8</v>
      </c>
    </row>
    <row r="160" spans="1:5" x14ac:dyDescent="0.25">
      <c r="A160" s="24">
        <v>159</v>
      </c>
      <c r="B160" s="24">
        <v>504238</v>
      </c>
      <c r="C160" s="24" t="s">
        <v>920</v>
      </c>
      <c r="D160" s="24">
        <v>13</v>
      </c>
      <c r="E160" s="24">
        <v>9</v>
      </c>
    </row>
    <row r="161" spans="1:5" x14ac:dyDescent="0.25">
      <c r="A161" s="24">
        <v>160</v>
      </c>
      <c r="B161" s="24">
        <v>504220</v>
      </c>
      <c r="C161" s="24" t="s">
        <v>919</v>
      </c>
      <c r="D161" s="24">
        <v>13</v>
      </c>
      <c r="E161" s="24">
        <v>9</v>
      </c>
    </row>
    <row r="162" spans="1:5" x14ac:dyDescent="0.25">
      <c r="A162" s="24">
        <v>161</v>
      </c>
      <c r="B162" s="24">
        <v>528170</v>
      </c>
      <c r="C162" s="24" t="s">
        <v>922</v>
      </c>
      <c r="D162" s="24">
        <v>79</v>
      </c>
      <c r="E162" s="24">
        <v>74</v>
      </c>
    </row>
    <row r="163" spans="1:5" x14ac:dyDescent="0.25">
      <c r="A163" s="24">
        <v>162</v>
      </c>
      <c r="B163" s="24">
        <v>502090</v>
      </c>
      <c r="C163" s="24" t="s">
        <v>923</v>
      </c>
      <c r="D163" s="24">
        <v>26</v>
      </c>
      <c r="E163" s="24">
        <v>22</v>
      </c>
    </row>
    <row r="164" spans="1:5" x14ac:dyDescent="0.25">
      <c r="A164" s="24">
        <v>163</v>
      </c>
      <c r="B164" s="24">
        <v>505871</v>
      </c>
      <c r="C164" s="24" t="s">
        <v>924</v>
      </c>
      <c r="D164" s="24">
        <v>19</v>
      </c>
      <c r="E164" s="24">
        <v>15</v>
      </c>
    </row>
    <row r="165" spans="1:5" x14ac:dyDescent="0.25">
      <c r="A165" s="24">
        <v>164</v>
      </c>
      <c r="B165" s="24">
        <v>542733</v>
      </c>
      <c r="C165" s="24" t="s">
        <v>4140</v>
      </c>
      <c r="D165" s="24">
        <v>20</v>
      </c>
      <c r="E165" s="24">
        <v>16</v>
      </c>
    </row>
    <row r="166" spans="1:5" x14ac:dyDescent="0.25">
      <c r="A166" s="24">
        <v>165</v>
      </c>
      <c r="B166" s="24">
        <v>528188</v>
      </c>
      <c r="C166" s="24" t="s">
        <v>929</v>
      </c>
      <c r="D166" s="24">
        <v>79</v>
      </c>
      <c r="E166" s="24">
        <v>74</v>
      </c>
    </row>
    <row r="167" spans="1:5" x14ac:dyDescent="0.25">
      <c r="A167" s="24">
        <v>166</v>
      </c>
      <c r="B167" s="24">
        <v>514551</v>
      </c>
      <c r="C167" s="24" t="s">
        <v>930</v>
      </c>
      <c r="D167" s="24">
        <v>51</v>
      </c>
      <c r="E167" s="24">
        <v>47</v>
      </c>
    </row>
    <row r="168" spans="1:5" x14ac:dyDescent="0.25">
      <c r="A168" s="24">
        <v>167</v>
      </c>
      <c r="B168" s="24">
        <v>525561</v>
      </c>
      <c r="C168" s="24" t="s">
        <v>915</v>
      </c>
      <c r="D168" s="24">
        <v>76</v>
      </c>
      <c r="E168" s="24">
        <v>68</v>
      </c>
    </row>
    <row r="169" spans="1:5" x14ac:dyDescent="0.25">
      <c r="A169" s="24">
        <v>168</v>
      </c>
      <c r="B169" s="24">
        <v>522368</v>
      </c>
      <c r="C169" s="24" t="s">
        <v>932</v>
      </c>
      <c r="D169" s="24">
        <v>75</v>
      </c>
      <c r="E169" s="24">
        <v>67</v>
      </c>
    </row>
    <row r="170" spans="1:5" x14ac:dyDescent="0.25">
      <c r="A170" s="24">
        <v>169</v>
      </c>
      <c r="B170" s="24">
        <v>500071</v>
      </c>
      <c r="C170" s="24" t="s">
        <v>934</v>
      </c>
      <c r="D170" s="24">
        <v>27</v>
      </c>
      <c r="E170" s="24">
        <v>23</v>
      </c>
    </row>
    <row r="171" spans="1:5" x14ac:dyDescent="0.25">
      <c r="A171" s="24">
        <v>170</v>
      </c>
      <c r="B171" s="24">
        <v>503096</v>
      </c>
      <c r="C171" s="24" t="s">
        <v>936</v>
      </c>
      <c r="D171" s="24">
        <v>28</v>
      </c>
      <c r="E171" s="24">
        <v>24</v>
      </c>
    </row>
    <row r="172" spans="1:5" x14ac:dyDescent="0.25">
      <c r="A172" s="24">
        <v>171</v>
      </c>
      <c r="B172" s="24">
        <v>529435</v>
      </c>
      <c r="C172" s="24" t="s">
        <v>4141</v>
      </c>
      <c r="D172" s="24">
        <v>5</v>
      </c>
      <c r="E172" s="24">
        <v>4</v>
      </c>
    </row>
    <row r="173" spans="1:5" x14ac:dyDescent="0.25">
      <c r="A173" s="24">
        <v>172</v>
      </c>
      <c r="B173" s="24">
        <v>529401</v>
      </c>
      <c r="C173" s="24" t="s">
        <v>4142</v>
      </c>
      <c r="D173" s="24">
        <v>4</v>
      </c>
      <c r="E173" s="24">
        <v>4</v>
      </c>
    </row>
    <row r="174" spans="1:5" x14ac:dyDescent="0.25">
      <c r="A174" s="24">
        <v>173</v>
      </c>
      <c r="B174" s="24">
        <v>529371</v>
      </c>
      <c r="C174" s="24" t="s">
        <v>4143</v>
      </c>
      <c r="D174" s="24">
        <v>4</v>
      </c>
      <c r="E174" s="24">
        <v>4</v>
      </c>
    </row>
    <row r="175" spans="1:5" x14ac:dyDescent="0.25">
      <c r="A175" s="24">
        <v>174</v>
      </c>
      <c r="B175" s="24">
        <v>529389</v>
      </c>
      <c r="C175" s="24" t="s">
        <v>4144</v>
      </c>
      <c r="D175" s="24">
        <v>4</v>
      </c>
      <c r="E175" s="24">
        <v>4</v>
      </c>
    </row>
    <row r="176" spans="1:5" x14ac:dyDescent="0.25">
      <c r="A176" s="24">
        <v>175</v>
      </c>
      <c r="B176" s="24">
        <v>529443</v>
      </c>
      <c r="C176" s="24" t="s">
        <v>4145</v>
      </c>
      <c r="D176" s="24">
        <v>5</v>
      </c>
      <c r="E176" s="24">
        <v>4</v>
      </c>
    </row>
    <row r="177" spans="1:5" x14ac:dyDescent="0.25">
      <c r="A177" s="24">
        <v>176</v>
      </c>
      <c r="B177" s="24">
        <v>529397</v>
      </c>
      <c r="C177" s="24" t="s">
        <v>4146</v>
      </c>
      <c r="D177" s="24">
        <v>4</v>
      </c>
      <c r="E177" s="24">
        <v>4</v>
      </c>
    </row>
    <row r="178" spans="1:5" x14ac:dyDescent="0.25">
      <c r="A178" s="24">
        <v>177</v>
      </c>
      <c r="B178" s="24">
        <v>529419</v>
      </c>
      <c r="C178" s="24" t="s">
        <v>4147</v>
      </c>
      <c r="D178" s="24">
        <v>4</v>
      </c>
      <c r="E178" s="24">
        <v>4</v>
      </c>
    </row>
    <row r="179" spans="1:5" x14ac:dyDescent="0.25">
      <c r="A179" s="24">
        <v>178</v>
      </c>
      <c r="B179" s="24">
        <v>529346</v>
      </c>
      <c r="C179" s="24" t="s">
        <v>4148</v>
      </c>
      <c r="D179" s="24">
        <v>3</v>
      </c>
      <c r="E179" s="24">
        <v>4</v>
      </c>
    </row>
    <row r="180" spans="1:5" x14ac:dyDescent="0.25">
      <c r="A180" s="24">
        <v>179</v>
      </c>
      <c r="B180" s="24">
        <v>529460</v>
      </c>
      <c r="C180" s="24" t="s">
        <v>4149</v>
      </c>
      <c r="D180" s="24">
        <v>5</v>
      </c>
      <c r="E180" s="24">
        <v>4</v>
      </c>
    </row>
    <row r="181" spans="1:5" x14ac:dyDescent="0.25">
      <c r="A181" s="24">
        <v>180</v>
      </c>
      <c r="B181" s="24">
        <v>529311</v>
      </c>
      <c r="C181" s="24" t="s">
        <v>4150</v>
      </c>
      <c r="D181" s="24">
        <v>2</v>
      </c>
      <c r="E181" s="24">
        <v>4</v>
      </c>
    </row>
    <row r="182" spans="1:5" x14ac:dyDescent="0.25">
      <c r="A182" s="24">
        <v>181</v>
      </c>
      <c r="B182" s="24">
        <v>529354</v>
      </c>
      <c r="C182" s="24" t="s">
        <v>4151</v>
      </c>
      <c r="D182" s="24">
        <v>3</v>
      </c>
      <c r="E182" s="24">
        <v>4</v>
      </c>
    </row>
    <row r="183" spans="1:5" x14ac:dyDescent="0.25">
      <c r="A183" s="24">
        <v>182</v>
      </c>
      <c r="B183" s="24">
        <v>529494</v>
      </c>
      <c r="C183" s="24" t="s">
        <v>4152</v>
      </c>
      <c r="D183" s="24">
        <v>5</v>
      </c>
      <c r="E183" s="24">
        <v>4</v>
      </c>
    </row>
    <row r="184" spans="1:5" x14ac:dyDescent="0.25">
      <c r="A184" s="24">
        <v>183</v>
      </c>
      <c r="B184" s="24">
        <v>529320</v>
      </c>
      <c r="C184" s="24" t="s">
        <v>4153</v>
      </c>
      <c r="D184" s="24">
        <v>2</v>
      </c>
      <c r="E184" s="24">
        <v>4</v>
      </c>
    </row>
    <row r="185" spans="1:5" x14ac:dyDescent="0.25">
      <c r="A185" s="24">
        <v>184</v>
      </c>
      <c r="B185" s="24">
        <v>528595</v>
      </c>
      <c r="C185" s="24" t="s">
        <v>4154</v>
      </c>
      <c r="D185" s="24">
        <v>1</v>
      </c>
      <c r="E185" s="24">
        <v>4</v>
      </c>
    </row>
    <row r="186" spans="1:5" x14ac:dyDescent="0.25">
      <c r="A186" s="24">
        <v>185</v>
      </c>
      <c r="B186" s="24">
        <v>529362</v>
      </c>
      <c r="C186" s="24" t="s">
        <v>4155</v>
      </c>
      <c r="D186" s="24">
        <v>3</v>
      </c>
      <c r="E186" s="24">
        <v>4</v>
      </c>
    </row>
    <row r="187" spans="1:5" x14ac:dyDescent="0.25">
      <c r="A187" s="24">
        <v>186</v>
      </c>
      <c r="B187" s="24">
        <v>529338</v>
      </c>
      <c r="C187" s="24" t="s">
        <v>4156</v>
      </c>
      <c r="D187" s="24">
        <v>2</v>
      </c>
      <c r="E187" s="24">
        <v>4</v>
      </c>
    </row>
    <row r="188" spans="1:5" x14ac:dyDescent="0.25">
      <c r="A188" s="24">
        <v>187</v>
      </c>
      <c r="B188" s="24">
        <v>529427</v>
      </c>
      <c r="C188" s="24" t="s">
        <v>206</v>
      </c>
      <c r="D188" s="24">
        <v>4</v>
      </c>
      <c r="E188" s="24">
        <v>4</v>
      </c>
    </row>
    <row r="189" spans="1:5" x14ac:dyDescent="0.25">
      <c r="A189" s="24">
        <v>188</v>
      </c>
      <c r="B189" s="24">
        <v>508489</v>
      </c>
      <c r="C189" s="24" t="s">
        <v>950</v>
      </c>
      <c r="D189" s="24">
        <v>45</v>
      </c>
      <c r="E189" s="24">
        <v>41</v>
      </c>
    </row>
    <row r="190" spans="1:5" x14ac:dyDescent="0.25">
      <c r="A190" s="24">
        <v>189</v>
      </c>
      <c r="B190" s="24">
        <v>525570</v>
      </c>
      <c r="C190" s="24" t="s">
        <v>951</v>
      </c>
      <c r="D190" s="24">
        <v>76</v>
      </c>
      <c r="E190" s="24">
        <v>68</v>
      </c>
    </row>
    <row r="191" spans="1:5" x14ac:dyDescent="0.25">
      <c r="A191" s="24">
        <v>190</v>
      </c>
      <c r="B191" s="24">
        <v>528200</v>
      </c>
      <c r="C191" s="24" t="s">
        <v>952</v>
      </c>
      <c r="D191" s="24">
        <v>79</v>
      </c>
      <c r="E191" s="24">
        <v>71</v>
      </c>
    </row>
    <row r="192" spans="1:5" x14ac:dyDescent="0.25">
      <c r="A192" s="24">
        <v>191</v>
      </c>
      <c r="B192" s="24">
        <v>581607</v>
      </c>
      <c r="C192" s="24" t="s">
        <v>953</v>
      </c>
      <c r="D192" s="24">
        <v>54</v>
      </c>
      <c r="E192" s="24">
        <v>50</v>
      </c>
    </row>
    <row r="193" spans="1:5" x14ac:dyDescent="0.25">
      <c r="A193" s="24">
        <v>192</v>
      </c>
      <c r="B193" s="24">
        <v>520055</v>
      </c>
      <c r="C193" s="24" t="s">
        <v>954</v>
      </c>
      <c r="D193" s="24">
        <v>57</v>
      </c>
      <c r="E193" s="24">
        <v>53</v>
      </c>
    </row>
    <row r="194" spans="1:5" x14ac:dyDescent="0.25">
      <c r="A194" s="24">
        <v>193</v>
      </c>
      <c r="B194" s="24">
        <v>520063</v>
      </c>
      <c r="C194" s="24" t="s">
        <v>955</v>
      </c>
      <c r="D194" s="24">
        <v>57</v>
      </c>
      <c r="E194" s="24">
        <v>53</v>
      </c>
    </row>
    <row r="195" spans="1:5" x14ac:dyDescent="0.25">
      <c r="A195" s="24">
        <v>194</v>
      </c>
      <c r="B195" s="24">
        <v>524212</v>
      </c>
      <c r="C195" s="24" t="s">
        <v>955</v>
      </c>
      <c r="D195" s="24">
        <v>62</v>
      </c>
      <c r="E195" s="24">
        <v>58</v>
      </c>
    </row>
    <row r="196" spans="1:5" x14ac:dyDescent="0.25">
      <c r="A196" s="24">
        <v>195</v>
      </c>
      <c r="B196" s="24">
        <v>520071</v>
      </c>
      <c r="C196" s="24" t="s">
        <v>956</v>
      </c>
      <c r="D196" s="24">
        <v>60</v>
      </c>
      <c r="E196" s="24">
        <v>56</v>
      </c>
    </row>
    <row r="197" spans="1:5" x14ac:dyDescent="0.25">
      <c r="A197" s="24">
        <v>196</v>
      </c>
      <c r="B197" s="24">
        <v>506842</v>
      </c>
      <c r="C197" s="24" t="s">
        <v>4157</v>
      </c>
      <c r="D197" s="24">
        <v>15</v>
      </c>
      <c r="E197" s="24">
        <v>11</v>
      </c>
    </row>
    <row r="198" spans="1:5" x14ac:dyDescent="0.25">
      <c r="A198" s="24">
        <v>197</v>
      </c>
      <c r="B198" s="24">
        <v>501069</v>
      </c>
      <c r="C198" s="24" t="s">
        <v>959</v>
      </c>
      <c r="D198" s="24">
        <v>25</v>
      </c>
      <c r="E198" s="24">
        <v>21</v>
      </c>
    </row>
    <row r="199" spans="1:5" x14ac:dyDescent="0.25">
      <c r="A199" s="24">
        <v>198</v>
      </c>
      <c r="B199" s="24">
        <v>504254</v>
      </c>
      <c r="C199" s="24" t="s">
        <v>959</v>
      </c>
      <c r="D199" s="24">
        <v>18</v>
      </c>
      <c r="E199" s="24">
        <v>14</v>
      </c>
    </row>
    <row r="200" spans="1:5" x14ac:dyDescent="0.25">
      <c r="A200" s="24">
        <v>199</v>
      </c>
      <c r="B200" s="24">
        <v>524221</v>
      </c>
      <c r="C200" s="24" t="s">
        <v>960</v>
      </c>
      <c r="D200" s="24">
        <v>62</v>
      </c>
      <c r="E200" s="24">
        <v>58</v>
      </c>
    </row>
    <row r="201" spans="1:5" x14ac:dyDescent="0.25">
      <c r="A201" s="24">
        <v>200</v>
      </c>
      <c r="B201" s="24">
        <v>514578</v>
      </c>
      <c r="C201" s="24" t="s">
        <v>961</v>
      </c>
      <c r="D201" s="24">
        <v>76</v>
      </c>
      <c r="E201" s="24">
        <v>68</v>
      </c>
    </row>
    <row r="202" spans="1:5" x14ac:dyDescent="0.25">
      <c r="A202" s="24">
        <v>201</v>
      </c>
      <c r="B202" s="24">
        <v>509591</v>
      </c>
      <c r="C202" s="24" t="s">
        <v>962</v>
      </c>
      <c r="D202" s="24">
        <v>38</v>
      </c>
      <c r="E202" s="24">
        <v>34</v>
      </c>
    </row>
    <row r="203" spans="1:5" x14ac:dyDescent="0.25">
      <c r="A203" s="24">
        <v>202</v>
      </c>
      <c r="B203" s="24">
        <v>547557</v>
      </c>
      <c r="C203" s="24" t="s">
        <v>963</v>
      </c>
      <c r="D203" s="24">
        <v>42</v>
      </c>
      <c r="E203" s="24">
        <v>38</v>
      </c>
    </row>
    <row r="204" spans="1:5" x14ac:dyDescent="0.25">
      <c r="A204" s="24">
        <v>203</v>
      </c>
      <c r="B204" s="24">
        <v>528218</v>
      </c>
      <c r="C204" s="24" t="s">
        <v>964</v>
      </c>
      <c r="D204" s="24">
        <v>79</v>
      </c>
      <c r="E204" s="24">
        <v>71</v>
      </c>
    </row>
    <row r="205" spans="1:5" x14ac:dyDescent="0.25">
      <c r="A205" s="24">
        <v>204</v>
      </c>
      <c r="B205" s="24">
        <v>518191</v>
      </c>
      <c r="C205" s="24" t="s">
        <v>965</v>
      </c>
      <c r="D205" s="24">
        <v>53</v>
      </c>
      <c r="E205" s="24">
        <v>49</v>
      </c>
    </row>
    <row r="206" spans="1:5" x14ac:dyDescent="0.25">
      <c r="A206" s="24">
        <v>205</v>
      </c>
      <c r="B206" s="24">
        <v>527157</v>
      </c>
      <c r="C206" s="24" t="s">
        <v>966</v>
      </c>
      <c r="D206" s="24">
        <v>66</v>
      </c>
      <c r="E206" s="24">
        <v>62</v>
      </c>
    </row>
    <row r="207" spans="1:5" x14ac:dyDescent="0.25">
      <c r="A207" s="24">
        <v>206</v>
      </c>
      <c r="B207" s="24">
        <v>511269</v>
      </c>
      <c r="C207" s="24" t="s">
        <v>967</v>
      </c>
      <c r="D207" s="24">
        <v>49</v>
      </c>
      <c r="E207" s="24">
        <v>45</v>
      </c>
    </row>
    <row r="208" spans="1:5" x14ac:dyDescent="0.25">
      <c r="A208" s="24">
        <v>207</v>
      </c>
      <c r="B208" s="24">
        <v>527165</v>
      </c>
      <c r="C208" s="24" t="s">
        <v>967</v>
      </c>
      <c r="D208" s="24">
        <v>66</v>
      </c>
      <c r="E208" s="24">
        <v>62</v>
      </c>
    </row>
    <row r="209" spans="1:5" x14ac:dyDescent="0.25">
      <c r="A209" s="24">
        <v>208</v>
      </c>
      <c r="B209" s="24">
        <v>508497</v>
      </c>
      <c r="C209" s="24" t="s">
        <v>968</v>
      </c>
      <c r="D209" s="24">
        <v>45</v>
      </c>
      <c r="E209" s="24">
        <v>41</v>
      </c>
    </row>
    <row r="210" spans="1:5" x14ac:dyDescent="0.25">
      <c r="A210" s="24">
        <v>209</v>
      </c>
      <c r="B210" s="24">
        <v>542741</v>
      </c>
      <c r="C210" s="24" t="s">
        <v>969</v>
      </c>
      <c r="D210" s="24">
        <v>16</v>
      </c>
      <c r="E210" s="24">
        <v>12</v>
      </c>
    </row>
    <row r="211" spans="1:5" x14ac:dyDescent="0.25">
      <c r="A211" s="24">
        <v>210</v>
      </c>
      <c r="B211" s="24">
        <v>519081</v>
      </c>
      <c r="C211" s="24" t="s">
        <v>970</v>
      </c>
      <c r="D211" s="24">
        <v>56</v>
      </c>
      <c r="E211" s="24">
        <v>52</v>
      </c>
    </row>
    <row r="212" spans="1:5" x14ac:dyDescent="0.25">
      <c r="A212" s="24">
        <v>211</v>
      </c>
      <c r="B212" s="24">
        <v>504262</v>
      </c>
      <c r="C212" s="24" t="s">
        <v>971</v>
      </c>
      <c r="D212" s="24">
        <v>18</v>
      </c>
      <c r="E212" s="24">
        <v>14</v>
      </c>
    </row>
    <row r="213" spans="1:5" x14ac:dyDescent="0.25">
      <c r="A213" s="24">
        <v>212</v>
      </c>
      <c r="B213" s="24">
        <v>520080</v>
      </c>
      <c r="C213" s="24" t="s">
        <v>972</v>
      </c>
      <c r="D213" s="24">
        <v>64</v>
      </c>
      <c r="E213" s="24">
        <v>60</v>
      </c>
    </row>
    <row r="214" spans="1:5" x14ac:dyDescent="0.25">
      <c r="A214" s="24">
        <v>213</v>
      </c>
      <c r="B214" s="24">
        <v>509604</v>
      </c>
      <c r="C214" s="24" t="s">
        <v>973</v>
      </c>
      <c r="D214" s="24">
        <v>41</v>
      </c>
      <c r="E214" s="24">
        <v>37</v>
      </c>
    </row>
    <row r="215" spans="1:5" x14ac:dyDescent="0.25">
      <c r="A215" s="24">
        <v>214</v>
      </c>
      <c r="B215" s="24">
        <v>524239</v>
      </c>
      <c r="C215" s="24" t="s">
        <v>973</v>
      </c>
      <c r="D215" s="24">
        <v>63</v>
      </c>
      <c r="E215" s="24">
        <v>59</v>
      </c>
    </row>
    <row r="216" spans="1:5" x14ac:dyDescent="0.25">
      <c r="A216" s="24">
        <v>215</v>
      </c>
      <c r="B216" s="24">
        <v>524247</v>
      </c>
      <c r="C216" s="24" t="s">
        <v>974</v>
      </c>
      <c r="D216" s="24">
        <v>63</v>
      </c>
      <c r="E216" s="24">
        <v>59</v>
      </c>
    </row>
    <row r="217" spans="1:5" x14ac:dyDescent="0.25">
      <c r="A217" s="24">
        <v>216</v>
      </c>
      <c r="B217" s="24">
        <v>519090</v>
      </c>
      <c r="C217" s="24" t="s">
        <v>975</v>
      </c>
      <c r="D217" s="24">
        <v>56</v>
      </c>
      <c r="E217" s="24">
        <v>52</v>
      </c>
    </row>
    <row r="218" spans="1:5" x14ac:dyDescent="0.25">
      <c r="A218" s="24">
        <v>217</v>
      </c>
      <c r="B218" s="24">
        <v>524255</v>
      </c>
      <c r="C218" s="24" t="s">
        <v>976</v>
      </c>
      <c r="D218" s="24">
        <v>62</v>
      </c>
      <c r="E218" s="24">
        <v>58</v>
      </c>
    </row>
    <row r="219" spans="1:5" x14ac:dyDescent="0.25">
      <c r="A219" s="24">
        <v>218</v>
      </c>
      <c r="B219" s="24">
        <v>502103</v>
      </c>
      <c r="C219" s="24" t="s">
        <v>4158</v>
      </c>
      <c r="D219" s="24">
        <v>26</v>
      </c>
      <c r="E219" s="24">
        <v>22</v>
      </c>
    </row>
    <row r="220" spans="1:5" x14ac:dyDescent="0.25">
      <c r="A220" s="24">
        <v>219</v>
      </c>
      <c r="B220" s="24">
        <v>512117</v>
      </c>
      <c r="C220" s="24" t="s">
        <v>980</v>
      </c>
      <c r="D220" s="24">
        <v>40</v>
      </c>
      <c r="E220" s="24">
        <v>36</v>
      </c>
    </row>
    <row r="221" spans="1:5" x14ac:dyDescent="0.25">
      <c r="A221" s="24">
        <v>220</v>
      </c>
      <c r="B221" s="24">
        <v>504271</v>
      </c>
      <c r="C221" s="24" t="s">
        <v>982</v>
      </c>
      <c r="D221" s="24">
        <v>14</v>
      </c>
      <c r="E221" s="24">
        <v>10</v>
      </c>
    </row>
    <row r="222" spans="1:5" x14ac:dyDescent="0.25">
      <c r="A222" s="24">
        <v>221</v>
      </c>
      <c r="B222" s="24">
        <v>580449</v>
      </c>
      <c r="C222" s="24" t="s">
        <v>983</v>
      </c>
      <c r="D222" s="24">
        <v>20</v>
      </c>
      <c r="E222" s="24">
        <v>16</v>
      </c>
    </row>
    <row r="223" spans="1:5" x14ac:dyDescent="0.25">
      <c r="A223" s="24">
        <v>222</v>
      </c>
      <c r="B223" s="24">
        <v>505889</v>
      </c>
      <c r="C223" s="24" t="s">
        <v>984</v>
      </c>
      <c r="D223" s="24">
        <v>19</v>
      </c>
      <c r="E223" s="24">
        <v>15</v>
      </c>
    </row>
    <row r="224" spans="1:5" x14ac:dyDescent="0.25">
      <c r="A224" s="24">
        <v>223</v>
      </c>
      <c r="B224" s="24">
        <v>527173</v>
      </c>
      <c r="C224" s="24" t="s">
        <v>985</v>
      </c>
      <c r="D224" s="24">
        <v>66</v>
      </c>
      <c r="E224" s="24">
        <v>62</v>
      </c>
    </row>
    <row r="225" spans="1:5" x14ac:dyDescent="0.25">
      <c r="A225" s="24">
        <v>224</v>
      </c>
      <c r="B225" s="24">
        <v>515884</v>
      </c>
      <c r="C225" s="24" t="s">
        <v>986</v>
      </c>
      <c r="D225" s="24">
        <v>52</v>
      </c>
      <c r="E225" s="24">
        <v>48</v>
      </c>
    </row>
    <row r="226" spans="1:5" x14ac:dyDescent="0.25">
      <c r="A226" s="24">
        <v>225</v>
      </c>
      <c r="B226" s="24">
        <v>508675</v>
      </c>
      <c r="C226" s="24" t="s">
        <v>1607</v>
      </c>
      <c r="D226" s="24">
        <v>43</v>
      </c>
      <c r="E226" s="24">
        <v>39</v>
      </c>
    </row>
    <row r="227" spans="1:5" x14ac:dyDescent="0.25">
      <c r="A227" s="24">
        <v>226</v>
      </c>
      <c r="B227" s="24">
        <v>526410</v>
      </c>
      <c r="C227" s="24" t="s">
        <v>987</v>
      </c>
      <c r="D227" s="24">
        <v>59</v>
      </c>
      <c r="E227" s="24">
        <v>55</v>
      </c>
    </row>
    <row r="228" spans="1:5" x14ac:dyDescent="0.25">
      <c r="A228" s="24">
        <v>227</v>
      </c>
      <c r="B228" s="24">
        <v>503100</v>
      </c>
      <c r="C228" s="24" t="s">
        <v>988</v>
      </c>
      <c r="D228" s="24">
        <v>28</v>
      </c>
      <c r="E228" s="24">
        <v>24</v>
      </c>
    </row>
    <row r="229" spans="1:5" x14ac:dyDescent="0.25">
      <c r="A229" s="24">
        <v>228</v>
      </c>
      <c r="B229" s="24">
        <v>512915</v>
      </c>
      <c r="C229" s="24" t="s">
        <v>989</v>
      </c>
      <c r="D229" s="24">
        <v>21</v>
      </c>
      <c r="E229" s="24">
        <v>17</v>
      </c>
    </row>
    <row r="230" spans="1:5" x14ac:dyDescent="0.25">
      <c r="A230" s="24">
        <v>229</v>
      </c>
      <c r="B230" s="24">
        <v>560022</v>
      </c>
      <c r="C230" s="24" t="s">
        <v>990</v>
      </c>
      <c r="D230" s="24">
        <v>76</v>
      </c>
      <c r="E230" s="24">
        <v>68</v>
      </c>
    </row>
    <row r="231" spans="1:5" x14ac:dyDescent="0.25">
      <c r="A231" s="24">
        <v>230</v>
      </c>
      <c r="B231" s="24">
        <v>519103</v>
      </c>
      <c r="C231" s="24" t="s">
        <v>991</v>
      </c>
      <c r="D231" s="24">
        <v>56</v>
      </c>
      <c r="E231" s="24">
        <v>52</v>
      </c>
    </row>
    <row r="232" spans="1:5" x14ac:dyDescent="0.25">
      <c r="A232" s="24">
        <v>231</v>
      </c>
      <c r="B232" s="24">
        <v>501077</v>
      </c>
      <c r="C232" s="24" t="s">
        <v>992</v>
      </c>
      <c r="D232" s="24">
        <v>25</v>
      </c>
      <c r="E232" s="24">
        <v>21</v>
      </c>
    </row>
    <row r="233" spans="1:5" x14ac:dyDescent="0.25">
      <c r="A233" s="24">
        <v>232</v>
      </c>
      <c r="B233" s="24">
        <v>506851</v>
      </c>
      <c r="C233" s="24" t="s">
        <v>993</v>
      </c>
      <c r="D233" s="24">
        <v>15</v>
      </c>
      <c r="E233" s="24">
        <v>11</v>
      </c>
    </row>
    <row r="234" spans="1:5" x14ac:dyDescent="0.25">
      <c r="A234" s="24">
        <v>233</v>
      </c>
      <c r="B234" s="24">
        <v>518204</v>
      </c>
      <c r="C234" s="24" t="s">
        <v>995</v>
      </c>
      <c r="D234" s="24">
        <v>53</v>
      </c>
      <c r="E234" s="24">
        <v>49</v>
      </c>
    </row>
    <row r="235" spans="1:5" x14ac:dyDescent="0.25">
      <c r="A235" s="24">
        <v>234</v>
      </c>
      <c r="B235" s="24">
        <v>514586</v>
      </c>
      <c r="C235" s="24" t="s">
        <v>996</v>
      </c>
      <c r="D235" s="24">
        <v>51</v>
      </c>
      <c r="E235" s="24">
        <v>47</v>
      </c>
    </row>
    <row r="236" spans="1:5" x14ac:dyDescent="0.25">
      <c r="A236" s="24">
        <v>235</v>
      </c>
      <c r="B236" s="24">
        <v>521221</v>
      </c>
      <c r="C236" s="24" t="s">
        <v>997</v>
      </c>
      <c r="D236" s="24">
        <v>74</v>
      </c>
      <c r="E236" s="24">
        <v>66</v>
      </c>
    </row>
    <row r="237" spans="1:5" x14ac:dyDescent="0.25">
      <c r="A237" s="24">
        <v>236</v>
      </c>
      <c r="B237" s="24">
        <v>511277</v>
      </c>
      <c r="C237" s="24" t="s">
        <v>998</v>
      </c>
      <c r="D237" s="24">
        <v>48</v>
      </c>
      <c r="E237" s="24">
        <v>44</v>
      </c>
    </row>
    <row r="238" spans="1:5" x14ac:dyDescent="0.25">
      <c r="A238" s="24">
        <v>237</v>
      </c>
      <c r="B238" s="24">
        <v>513857</v>
      </c>
      <c r="C238" s="24" t="s">
        <v>3122</v>
      </c>
      <c r="D238" s="24">
        <v>75</v>
      </c>
      <c r="E238" s="24">
        <v>73</v>
      </c>
    </row>
    <row r="239" spans="1:5" x14ac:dyDescent="0.25">
      <c r="A239" s="24">
        <v>238</v>
      </c>
      <c r="B239" s="24">
        <v>512125</v>
      </c>
      <c r="C239" s="24" t="s">
        <v>999</v>
      </c>
      <c r="D239" s="24">
        <v>40</v>
      </c>
      <c r="E239" s="24">
        <v>36</v>
      </c>
    </row>
    <row r="240" spans="1:5" x14ac:dyDescent="0.25">
      <c r="A240" s="24">
        <v>239</v>
      </c>
      <c r="B240" s="24">
        <v>522376</v>
      </c>
      <c r="C240" s="24" t="s">
        <v>1000</v>
      </c>
      <c r="D240" s="24">
        <v>75</v>
      </c>
      <c r="E240" s="24">
        <v>67</v>
      </c>
    </row>
    <row r="241" spans="1:5" x14ac:dyDescent="0.25">
      <c r="A241" s="24">
        <v>240</v>
      </c>
      <c r="B241" s="24">
        <v>507849</v>
      </c>
      <c r="C241" s="24" t="s">
        <v>1001</v>
      </c>
      <c r="D241" s="24">
        <v>7</v>
      </c>
      <c r="E241" s="24">
        <v>2</v>
      </c>
    </row>
    <row r="242" spans="1:5" x14ac:dyDescent="0.25">
      <c r="A242" s="24">
        <v>241</v>
      </c>
      <c r="B242" s="24">
        <v>526428</v>
      </c>
      <c r="C242" s="24" t="s">
        <v>1003</v>
      </c>
      <c r="D242" s="24">
        <v>59</v>
      </c>
      <c r="E242" s="24">
        <v>55</v>
      </c>
    </row>
    <row r="243" spans="1:5" x14ac:dyDescent="0.25">
      <c r="A243" s="24">
        <v>242</v>
      </c>
      <c r="B243" s="24">
        <v>506869</v>
      </c>
      <c r="C243" s="24" t="s">
        <v>1004</v>
      </c>
      <c r="D243" s="24">
        <v>15</v>
      </c>
      <c r="E243" s="24">
        <v>11</v>
      </c>
    </row>
    <row r="244" spans="1:5" x14ac:dyDescent="0.25">
      <c r="A244" s="24">
        <v>243</v>
      </c>
      <c r="B244" s="24">
        <v>527181</v>
      </c>
      <c r="C244" s="24" t="s">
        <v>1005</v>
      </c>
      <c r="D244" s="24">
        <v>66</v>
      </c>
      <c r="E244" s="24">
        <v>62</v>
      </c>
    </row>
    <row r="245" spans="1:5" x14ac:dyDescent="0.25">
      <c r="A245" s="24">
        <v>244</v>
      </c>
      <c r="B245" s="24">
        <v>504289</v>
      </c>
      <c r="C245" s="24" t="s">
        <v>1006</v>
      </c>
      <c r="D245" s="24">
        <v>18</v>
      </c>
      <c r="E245" s="24">
        <v>14</v>
      </c>
    </row>
    <row r="246" spans="1:5" x14ac:dyDescent="0.25">
      <c r="A246" s="24">
        <v>245</v>
      </c>
      <c r="B246" s="24">
        <v>521248</v>
      </c>
      <c r="C246" s="24" t="s">
        <v>1006</v>
      </c>
      <c r="D246" s="24">
        <v>74</v>
      </c>
      <c r="E246" s="24">
        <v>66</v>
      </c>
    </row>
    <row r="247" spans="1:5" x14ac:dyDescent="0.25">
      <c r="A247" s="24">
        <v>246</v>
      </c>
      <c r="B247" s="24">
        <v>510351</v>
      </c>
      <c r="C247" s="24" t="s">
        <v>1007</v>
      </c>
      <c r="D247" s="24">
        <v>36</v>
      </c>
      <c r="E247" s="24">
        <v>32</v>
      </c>
    </row>
    <row r="248" spans="1:5" x14ac:dyDescent="0.25">
      <c r="A248" s="24">
        <v>247</v>
      </c>
      <c r="B248" s="24">
        <v>558273</v>
      </c>
      <c r="C248" s="24" t="s">
        <v>1008</v>
      </c>
      <c r="D248" s="24">
        <v>48</v>
      </c>
      <c r="E248" s="24">
        <v>44</v>
      </c>
    </row>
    <row r="249" spans="1:5" x14ac:dyDescent="0.25">
      <c r="A249" s="24">
        <v>248</v>
      </c>
      <c r="B249" s="24">
        <v>521256</v>
      </c>
      <c r="C249" s="24" t="s">
        <v>1009</v>
      </c>
      <c r="D249" s="24">
        <v>74</v>
      </c>
      <c r="E249" s="24">
        <v>66</v>
      </c>
    </row>
    <row r="250" spans="1:5" x14ac:dyDescent="0.25">
      <c r="A250" s="24">
        <v>249</v>
      </c>
      <c r="B250" s="24">
        <v>522384</v>
      </c>
      <c r="C250" s="24" t="s">
        <v>1010</v>
      </c>
      <c r="D250" s="24">
        <v>77</v>
      </c>
      <c r="E250" s="24">
        <v>69</v>
      </c>
    </row>
    <row r="251" spans="1:5" x14ac:dyDescent="0.25">
      <c r="A251" s="24">
        <v>250</v>
      </c>
      <c r="B251" s="24">
        <v>515892</v>
      </c>
      <c r="C251" s="24" t="s">
        <v>1011</v>
      </c>
      <c r="D251" s="24">
        <v>52</v>
      </c>
      <c r="E251" s="24">
        <v>48</v>
      </c>
    </row>
    <row r="252" spans="1:5" x14ac:dyDescent="0.25">
      <c r="A252" s="24">
        <v>251</v>
      </c>
      <c r="B252" s="24">
        <v>523411</v>
      </c>
      <c r="C252" s="24" t="s">
        <v>1012</v>
      </c>
      <c r="D252" s="24">
        <v>58</v>
      </c>
      <c r="E252" s="24">
        <v>54</v>
      </c>
    </row>
    <row r="253" spans="1:5" x14ac:dyDescent="0.25">
      <c r="A253" s="24">
        <v>252</v>
      </c>
      <c r="B253" s="24">
        <v>521264</v>
      </c>
      <c r="C253" s="24" t="s">
        <v>1013</v>
      </c>
      <c r="D253" s="24">
        <v>74</v>
      </c>
      <c r="E253" s="24">
        <v>72</v>
      </c>
    </row>
    <row r="254" spans="1:5" x14ac:dyDescent="0.25">
      <c r="A254" s="24">
        <v>253</v>
      </c>
      <c r="B254" s="24">
        <v>511293</v>
      </c>
      <c r="C254" s="24" t="s">
        <v>1014</v>
      </c>
      <c r="D254" s="24">
        <v>48</v>
      </c>
      <c r="E254" s="24">
        <v>44</v>
      </c>
    </row>
    <row r="255" spans="1:5" x14ac:dyDescent="0.25">
      <c r="A255" s="24">
        <v>254</v>
      </c>
      <c r="B255" s="24">
        <v>527190</v>
      </c>
      <c r="C255" s="24" t="s">
        <v>1015</v>
      </c>
      <c r="D255" s="24">
        <v>66</v>
      </c>
      <c r="E255" s="24">
        <v>62</v>
      </c>
    </row>
    <row r="256" spans="1:5" x14ac:dyDescent="0.25">
      <c r="A256" s="24">
        <v>255</v>
      </c>
      <c r="B256" s="24">
        <v>557251</v>
      </c>
      <c r="C256" s="24" t="s">
        <v>1015</v>
      </c>
      <c r="D256" s="24">
        <v>45</v>
      </c>
      <c r="E256" s="24">
        <v>41</v>
      </c>
    </row>
    <row r="257" spans="1:5" x14ac:dyDescent="0.25">
      <c r="A257" s="24">
        <v>256</v>
      </c>
      <c r="B257" s="24">
        <v>526436</v>
      </c>
      <c r="C257" s="24" t="s">
        <v>1016</v>
      </c>
      <c r="D257" s="24">
        <v>78</v>
      </c>
      <c r="E257" s="24">
        <v>70</v>
      </c>
    </row>
    <row r="258" spans="1:5" x14ac:dyDescent="0.25">
      <c r="A258" s="24">
        <v>257</v>
      </c>
      <c r="B258" s="24">
        <v>544094</v>
      </c>
      <c r="C258" s="24" t="s">
        <v>1017</v>
      </c>
      <c r="D258" s="24">
        <v>68</v>
      </c>
      <c r="E258" s="24">
        <v>64</v>
      </c>
    </row>
    <row r="259" spans="1:5" x14ac:dyDescent="0.25">
      <c r="A259" s="24">
        <v>258</v>
      </c>
      <c r="B259" s="24">
        <v>513911</v>
      </c>
      <c r="C259" s="24" t="s">
        <v>1018</v>
      </c>
      <c r="D259" s="24">
        <v>22</v>
      </c>
      <c r="E259" s="24">
        <v>18</v>
      </c>
    </row>
    <row r="260" spans="1:5" x14ac:dyDescent="0.25">
      <c r="A260" s="24">
        <v>259</v>
      </c>
      <c r="B260" s="24">
        <v>512133</v>
      </c>
      <c r="C260" s="24" t="s">
        <v>1021</v>
      </c>
      <c r="D260" s="24">
        <v>37</v>
      </c>
      <c r="E260" s="24">
        <v>33</v>
      </c>
    </row>
    <row r="261" spans="1:5" x14ac:dyDescent="0.25">
      <c r="A261" s="24">
        <v>260</v>
      </c>
      <c r="B261" s="24">
        <v>528226</v>
      </c>
      <c r="C261" s="24" t="s">
        <v>1022</v>
      </c>
      <c r="D261" s="24">
        <v>79</v>
      </c>
      <c r="E261" s="24">
        <v>71</v>
      </c>
    </row>
    <row r="262" spans="1:5" x14ac:dyDescent="0.25">
      <c r="A262" s="24">
        <v>261</v>
      </c>
      <c r="B262" s="24">
        <v>517461</v>
      </c>
      <c r="C262" s="24" t="s">
        <v>4159</v>
      </c>
      <c r="D262" s="24">
        <v>32</v>
      </c>
      <c r="E262" s="24">
        <v>28</v>
      </c>
    </row>
    <row r="263" spans="1:5" x14ac:dyDescent="0.25">
      <c r="A263" s="24">
        <v>262</v>
      </c>
      <c r="B263" s="24">
        <v>516708</v>
      </c>
      <c r="C263" s="24" t="s">
        <v>1028</v>
      </c>
      <c r="D263" s="24">
        <v>55</v>
      </c>
      <c r="E263" s="24">
        <v>51</v>
      </c>
    </row>
    <row r="264" spans="1:5" x14ac:dyDescent="0.25">
      <c r="A264" s="24">
        <v>263</v>
      </c>
      <c r="B264" s="24">
        <v>524263</v>
      </c>
      <c r="C264" s="24" t="s">
        <v>1029</v>
      </c>
      <c r="D264" s="24">
        <v>62</v>
      </c>
      <c r="E264" s="24">
        <v>58</v>
      </c>
    </row>
    <row r="265" spans="1:5" x14ac:dyDescent="0.25">
      <c r="A265" s="24">
        <v>264</v>
      </c>
      <c r="B265" s="24">
        <v>505897</v>
      </c>
      <c r="C265" s="24" t="s">
        <v>4160</v>
      </c>
      <c r="D265" s="24">
        <v>19</v>
      </c>
      <c r="E265" s="24">
        <v>15</v>
      </c>
    </row>
    <row r="266" spans="1:5" x14ac:dyDescent="0.25">
      <c r="A266" s="24">
        <v>265</v>
      </c>
      <c r="B266" s="24">
        <v>580813</v>
      </c>
      <c r="C266" s="24" t="s">
        <v>1035</v>
      </c>
      <c r="D266" s="24">
        <v>34</v>
      </c>
      <c r="E266" s="24">
        <v>30</v>
      </c>
    </row>
    <row r="267" spans="1:5" x14ac:dyDescent="0.25">
      <c r="A267" s="24">
        <v>266</v>
      </c>
      <c r="B267" s="24">
        <v>518212</v>
      </c>
      <c r="C267" s="24" t="s">
        <v>1036</v>
      </c>
      <c r="D267" s="24">
        <v>47</v>
      </c>
      <c r="E267" s="24">
        <v>43</v>
      </c>
    </row>
    <row r="268" spans="1:5" x14ac:dyDescent="0.25">
      <c r="A268" s="24">
        <v>267</v>
      </c>
      <c r="B268" s="24">
        <v>518221</v>
      </c>
      <c r="C268" s="24" t="s">
        <v>1037</v>
      </c>
      <c r="D268" s="24">
        <v>53</v>
      </c>
      <c r="E268" s="24">
        <v>49</v>
      </c>
    </row>
    <row r="269" spans="1:5" x14ac:dyDescent="0.25">
      <c r="A269" s="24">
        <v>268</v>
      </c>
      <c r="B269" s="24">
        <v>527203</v>
      </c>
      <c r="C269" s="24" t="s">
        <v>1038</v>
      </c>
      <c r="D269" s="24">
        <v>66</v>
      </c>
      <c r="E269" s="24">
        <v>62</v>
      </c>
    </row>
    <row r="270" spans="1:5" x14ac:dyDescent="0.25">
      <c r="A270" s="24">
        <v>269</v>
      </c>
      <c r="B270" s="24">
        <v>545589</v>
      </c>
      <c r="C270" s="24" t="s">
        <v>4161</v>
      </c>
      <c r="D270" s="24">
        <v>27</v>
      </c>
      <c r="E270" s="24">
        <v>23</v>
      </c>
    </row>
    <row r="271" spans="1:5" x14ac:dyDescent="0.25">
      <c r="A271" s="24">
        <v>270</v>
      </c>
      <c r="B271" s="24">
        <v>544108</v>
      </c>
      <c r="C271" s="24" t="s">
        <v>1040</v>
      </c>
      <c r="D271" s="24">
        <v>68</v>
      </c>
      <c r="E271" s="24">
        <v>64</v>
      </c>
    </row>
    <row r="272" spans="1:5" x14ac:dyDescent="0.25">
      <c r="A272" s="24">
        <v>271</v>
      </c>
      <c r="B272" s="24">
        <v>514594</v>
      </c>
      <c r="C272" s="24" t="s">
        <v>1041</v>
      </c>
      <c r="D272" s="24">
        <v>51</v>
      </c>
      <c r="E272" s="24">
        <v>47</v>
      </c>
    </row>
    <row r="273" spans="1:5" x14ac:dyDescent="0.25">
      <c r="A273" s="24">
        <v>272</v>
      </c>
      <c r="B273" s="24">
        <v>528234</v>
      </c>
      <c r="C273" s="24" t="s">
        <v>1042</v>
      </c>
      <c r="D273" s="24">
        <v>79</v>
      </c>
      <c r="E273" s="24">
        <v>71</v>
      </c>
    </row>
    <row r="274" spans="1:5" x14ac:dyDescent="0.25">
      <c r="A274" s="24">
        <v>273</v>
      </c>
      <c r="B274" s="24">
        <v>527211</v>
      </c>
      <c r="C274" s="24" t="s">
        <v>1043</v>
      </c>
      <c r="D274" s="24">
        <v>67</v>
      </c>
      <c r="E274" s="24">
        <v>63</v>
      </c>
    </row>
    <row r="275" spans="1:5" x14ac:dyDescent="0.25">
      <c r="A275" s="24">
        <v>274</v>
      </c>
      <c r="B275" s="24">
        <v>504297</v>
      </c>
      <c r="C275" s="24" t="s">
        <v>4162</v>
      </c>
      <c r="D275" s="24">
        <v>13</v>
      </c>
      <c r="E275" s="24">
        <v>9</v>
      </c>
    </row>
    <row r="276" spans="1:5" x14ac:dyDescent="0.25">
      <c r="A276" s="24">
        <v>275</v>
      </c>
      <c r="B276" s="24">
        <v>518239</v>
      </c>
      <c r="C276" s="24" t="s">
        <v>1045</v>
      </c>
      <c r="D276" s="24">
        <v>47</v>
      </c>
      <c r="E276" s="24">
        <v>43</v>
      </c>
    </row>
    <row r="277" spans="1:5" x14ac:dyDescent="0.25">
      <c r="A277" s="24">
        <v>276</v>
      </c>
      <c r="B277" s="24">
        <v>521272</v>
      </c>
      <c r="C277" s="24" t="s">
        <v>1046</v>
      </c>
      <c r="D277" s="24">
        <v>74</v>
      </c>
      <c r="E277" s="24">
        <v>72</v>
      </c>
    </row>
    <row r="278" spans="1:5" x14ac:dyDescent="0.25">
      <c r="A278" s="24">
        <v>277</v>
      </c>
      <c r="B278" s="24">
        <v>506877</v>
      </c>
      <c r="C278" s="24" t="s">
        <v>1047</v>
      </c>
      <c r="D278" s="24">
        <v>15</v>
      </c>
      <c r="E278" s="24">
        <v>11</v>
      </c>
    </row>
    <row r="279" spans="1:5" x14ac:dyDescent="0.25">
      <c r="A279" s="24">
        <v>278</v>
      </c>
      <c r="B279" s="24">
        <v>513920</v>
      </c>
      <c r="C279" s="24" t="s">
        <v>1048</v>
      </c>
      <c r="D279" s="24">
        <v>22</v>
      </c>
      <c r="E279" s="24">
        <v>18</v>
      </c>
    </row>
    <row r="280" spans="1:5" x14ac:dyDescent="0.25">
      <c r="A280" s="24">
        <v>279</v>
      </c>
      <c r="B280" s="24">
        <v>519111</v>
      </c>
      <c r="C280" s="24" t="s">
        <v>1049</v>
      </c>
      <c r="D280" s="24">
        <v>56</v>
      </c>
      <c r="E280" s="24">
        <v>52</v>
      </c>
    </row>
    <row r="281" spans="1:5" x14ac:dyDescent="0.25">
      <c r="A281" s="24">
        <v>280</v>
      </c>
      <c r="B281" s="24">
        <v>527220</v>
      </c>
      <c r="C281" s="24" t="s">
        <v>1050</v>
      </c>
      <c r="D281" s="24">
        <v>67</v>
      </c>
      <c r="E281" s="24">
        <v>63</v>
      </c>
    </row>
    <row r="282" spans="1:5" x14ac:dyDescent="0.25">
      <c r="A282" s="24">
        <v>281</v>
      </c>
      <c r="B282" s="24">
        <v>542776</v>
      </c>
      <c r="C282" s="24" t="s">
        <v>1051</v>
      </c>
      <c r="D282" s="24">
        <v>16</v>
      </c>
      <c r="E282" s="24">
        <v>12</v>
      </c>
    </row>
    <row r="283" spans="1:5" x14ac:dyDescent="0.25">
      <c r="A283" s="24">
        <v>282</v>
      </c>
      <c r="B283" s="24">
        <v>511315</v>
      </c>
      <c r="C283" s="24" t="s">
        <v>1052</v>
      </c>
      <c r="D283" s="24">
        <v>49</v>
      </c>
      <c r="E283" s="24">
        <v>45</v>
      </c>
    </row>
    <row r="284" spans="1:5" x14ac:dyDescent="0.25">
      <c r="A284" s="24">
        <v>283</v>
      </c>
      <c r="B284" s="24">
        <v>582387</v>
      </c>
      <c r="C284" s="24" t="s">
        <v>1053</v>
      </c>
      <c r="D284" s="24">
        <v>27</v>
      </c>
      <c r="E284" s="24">
        <v>23</v>
      </c>
    </row>
    <row r="285" spans="1:5" x14ac:dyDescent="0.25">
      <c r="A285" s="24">
        <v>284</v>
      </c>
      <c r="B285" s="24">
        <v>520098</v>
      </c>
      <c r="C285" s="24" t="s">
        <v>1055</v>
      </c>
      <c r="D285" s="24">
        <v>60</v>
      </c>
      <c r="E285" s="24">
        <v>56</v>
      </c>
    </row>
    <row r="286" spans="1:5" x14ac:dyDescent="0.25">
      <c r="A286" s="24">
        <v>285</v>
      </c>
      <c r="B286" s="24">
        <v>520101</v>
      </c>
      <c r="C286" s="24" t="s">
        <v>1056</v>
      </c>
      <c r="D286" s="24">
        <v>60</v>
      </c>
      <c r="E286" s="24">
        <v>56</v>
      </c>
    </row>
    <row r="287" spans="1:5" x14ac:dyDescent="0.25">
      <c r="A287" s="24">
        <v>286</v>
      </c>
      <c r="B287" s="24">
        <v>518247</v>
      </c>
      <c r="C287" s="24" t="s">
        <v>1057</v>
      </c>
      <c r="D287" s="24">
        <v>47</v>
      </c>
      <c r="E287" s="24">
        <v>43</v>
      </c>
    </row>
    <row r="288" spans="1:5" x14ac:dyDescent="0.25">
      <c r="A288" s="24">
        <v>287</v>
      </c>
      <c r="B288" s="24">
        <v>509132</v>
      </c>
      <c r="C288" s="24" t="s">
        <v>1059</v>
      </c>
      <c r="D288" s="24">
        <v>33</v>
      </c>
      <c r="E288" s="24">
        <v>29</v>
      </c>
    </row>
    <row r="289" spans="1:5" x14ac:dyDescent="0.25">
      <c r="A289" s="24">
        <v>288</v>
      </c>
      <c r="B289" s="24">
        <v>505901</v>
      </c>
      <c r="C289" s="24" t="s">
        <v>1061</v>
      </c>
      <c r="D289" s="24">
        <v>19</v>
      </c>
      <c r="E289" s="24">
        <v>15</v>
      </c>
    </row>
    <row r="290" spans="1:5" x14ac:dyDescent="0.25">
      <c r="A290" s="24">
        <v>289</v>
      </c>
      <c r="B290" s="24">
        <v>502111</v>
      </c>
      <c r="C290" s="24" t="s">
        <v>1062</v>
      </c>
      <c r="D290" s="24">
        <v>26</v>
      </c>
      <c r="E290" s="24">
        <v>22</v>
      </c>
    </row>
    <row r="291" spans="1:5" x14ac:dyDescent="0.25">
      <c r="A291" s="24">
        <v>290</v>
      </c>
      <c r="B291" s="24">
        <v>502120</v>
      </c>
      <c r="C291" s="24" t="s">
        <v>1063</v>
      </c>
      <c r="D291" s="24">
        <v>26</v>
      </c>
      <c r="E291" s="24">
        <v>22</v>
      </c>
    </row>
    <row r="292" spans="1:5" x14ac:dyDescent="0.25">
      <c r="A292" s="24">
        <v>291</v>
      </c>
      <c r="B292" s="24">
        <v>500101</v>
      </c>
      <c r="C292" s="24" t="s">
        <v>1064</v>
      </c>
      <c r="D292" s="24">
        <v>27</v>
      </c>
      <c r="E292" s="24">
        <v>23</v>
      </c>
    </row>
    <row r="293" spans="1:5" x14ac:dyDescent="0.25">
      <c r="A293" s="24">
        <v>292</v>
      </c>
      <c r="B293" s="24">
        <v>511323</v>
      </c>
      <c r="C293" s="24" t="s">
        <v>1065</v>
      </c>
      <c r="D293" s="24">
        <v>48</v>
      </c>
      <c r="E293" s="24">
        <v>44</v>
      </c>
    </row>
    <row r="294" spans="1:5" x14ac:dyDescent="0.25">
      <c r="A294" s="24">
        <v>293</v>
      </c>
      <c r="B294" s="24">
        <v>521281</v>
      </c>
      <c r="C294" s="24" t="s">
        <v>1065</v>
      </c>
      <c r="D294" s="24">
        <v>74</v>
      </c>
      <c r="E294" s="24">
        <v>66</v>
      </c>
    </row>
    <row r="295" spans="1:5" x14ac:dyDescent="0.25">
      <c r="A295" s="24">
        <v>294</v>
      </c>
      <c r="B295" s="24">
        <v>501514</v>
      </c>
      <c r="C295" s="24" t="s">
        <v>1066</v>
      </c>
      <c r="D295" s="24">
        <v>9</v>
      </c>
      <c r="E295" s="24">
        <v>5</v>
      </c>
    </row>
    <row r="296" spans="1:5" x14ac:dyDescent="0.25">
      <c r="A296" s="24">
        <v>295</v>
      </c>
      <c r="B296" s="24">
        <v>544116</v>
      </c>
      <c r="C296" s="24" t="s">
        <v>1067</v>
      </c>
      <c r="D296" s="24">
        <v>68</v>
      </c>
      <c r="E296" s="24">
        <v>64</v>
      </c>
    </row>
    <row r="297" spans="1:5" x14ac:dyDescent="0.25">
      <c r="A297" s="24">
        <v>296</v>
      </c>
      <c r="B297" s="24">
        <v>501085</v>
      </c>
      <c r="C297" s="24" t="s">
        <v>1068</v>
      </c>
      <c r="D297" s="24">
        <v>25</v>
      </c>
      <c r="E297" s="24">
        <v>21</v>
      </c>
    </row>
    <row r="298" spans="1:5" x14ac:dyDescent="0.25">
      <c r="A298" s="24">
        <v>297</v>
      </c>
      <c r="B298" s="24">
        <v>511331</v>
      </c>
      <c r="C298" s="24" t="s">
        <v>1070</v>
      </c>
      <c r="D298" s="24">
        <v>48</v>
      </c>
      <c r="E298" s="24">
        <v>44</v>
      </c>
    </row>
    <row r="299" spans="1:5" x14ac:dyDescent="0.25">
      <c r="A299" s="24">
        <v>298</v>
      </c>
      <c r="B299" s="24">
        <v>521299</v>
      </c>
      <c r="C299" s="24" t="s">
        <v>1071</v>
      </c>
      <c r="D299" s="24">
        <v>74</v>
      </c>
      <c r="E299" s="24">
        <v>66</v>
      </c>
    </row>
    <row r="300" spans="1:5" x14ac:dyDescent="0.25">
      <c r="A300" s="24">
        <v>299</v>
      </c>
      <c r="B300" s="24">
        <v>500127</v>
      </c>
      <c r="C300" s="24" t="s">
        <v>1074</v>
      </c>
      <c r="D300" s="24">
        <v>31</v>
      </c>
      <c r="E300" s="24">
        <v>27</v>
      </c>
    </row>
    <row r="301" spans="1:5" x14ac:dyDescent="0.25">
      <c r="A301" s="24">
        <v>300</v>
      </c>
      <c r="B301" s="24">
        <v>504319</v>
      </c>
      <c r="C301" s="24" t="s">
        <v>1075</v>
      </c>
      <c r="D301" s="24">
        <v>13</v>
      </c>
      <c r="E301" s="24">
        <v>9</v>
      </c>
    </row>
    <row r="302" spans="1:5" x14ac:dyDescent="0.25">
      <c r="A302" s="24">
        <v>301</v>
      </c>
      <c r="B302" s="24">
        <v>507857</v>
      </c>
      <c r="C302" s="24" t="s">
        <v>1076</v>
      </c>
      <c r="D302" s="24">
        <v>7</v>
      </c>
      <c r="E302" s="24">
        <v>2</v>
      </c>
    </row>
    <row r="303" spans="1:5" x14ac:dyDescent="0.25">
      <c r="A303" s="24">
        <v>302</v>
      </c>
      <c r="B303" s="24">
        <v>504327</v>
      </c>
      <c r="C303" s="24" t="s">
        <v>1077</v>
      </c>
      <c r="D303" s="24">
        <v>13</v>
      </c>
      <c r="E303" s="24">
        <v>9</v>
      </c>
    </row>
    <row r="304" spans="1:5" x14ac:dyDescent="0.25">
      <c r="A304" s="24">
        <v>303</v>
      </c>
      <c r="B304" s="24">
        <v>505919</v>
      </c>
      <c r="C304" s="24" t="s">
        <v>1078</v>
      </c>
      <c r="D304" s="24">
        <v>19</v>
      </c>
      <c r="E304" s="24">
        <v>15</v>
      </c>
    </row>
    <row r="305" spans="1:5" x14ac:dyDescent="0.25">
      <c r="A305" s="24">
        <v>304</v>
      </c>
      <c r="B305" s="24">
        <v>555843</v>
      </c>
      <c r="C305" s="24" t="s">
        <v>1079</v>
      </c>
      <c r="D305" s="24">
        <v>26</v>
      </c>
      <c r="E305" s="24">
        <v>22</v>
      </c>
    </row>
    <row r="306" spans="1:5" x14ac:dyDescent="0.25">
      <c r="A306" s="24">
        <v>305</v>
      </c>
      <c r="B306" s="24">
        <v>507865</v>
      </c>
      <c r="C306" s="24" t="s">
        <v>1080</v>
      </c>
      <c r="D306" s="24">
        <v>8</v>
      </c>
      <c r="E306" s="24">
        <v>3</v>
      </c>
    </row>
    <row r="307" spans="1:5" x14ac:dyDescent="0.25">
      <c r="A307" s="24">
        <v>306</v>
      </c>
      <c r="B307" s="24">
        <v>513938</v>
      </c>
      <c r="C307" s="24" t="s">
        <v>1081</v>
      </c>
      <c r="D307" s="24">
        <v>22</v>
      </c>
      <c r="E307" s="24">
        <v>18</v>
      </c>
    </row>
    <row r="308" spans="1:5" x14ac:dyDescent="0.25">
      <c r="A308" s="24">
        <v>307</v>
      </c>
      <c r="B308" s="24">
        <v>515906</v>
      </c>
      <c r="C308" s="24" t="s">
        <v>1082</v>
      </c>
      <c r="D308" s="24">
        <v>52</v>
      </c>
      <c r="E308" s="24">
        <v>48</v>
      </c>
    </row>
    <row r="309" spans="1:5" x14ac:dyDescent="0.25">
      <c r="A309" s="24">
        <v>308</v>
      </c>
      <c r="B309" s="24">
        <v>522392</v>
      </c>
      <c r="C309" s="24" t="s">
        <v>1083</v>
      </c>
      <c r="D309" s="24">
        <v>75</v>
      </c>
      <c r="E309" s="24">
        <v>67</v>
      </c>
    </row>
    <row r="310" spans="1:5" x14ac:dyDescent="0.25">
      <c r="A310" s="24">
        <v>309</v>
      </c>
      <c r="B310" s="24">
        <v>521302</v>
      </c>
      <c r="C310" s="24" t="s">
        <v>1084</v>
      </c>
      <c r="D310" s="24">
        <v>74</v>
      </c>
      <c r="E310" s="24">
        <v>72</v>
      </c>
    </row>
    <row r="311" spans="1:5" x14ac:dyDescent="0.25">
      <c r="A311" s="24">
        <v>310</v>
      </c>
      <c r="B311" s="24">
        <v>503118</v>
      </c>
      <c r="C311" s="24" t="s">
        <v>1085</v>
      </c>
      <c r="D311" s="24">
        <v>28</v>
      </c>
      <c r="E311" s="24">
        <v>24</v>
      </c>
    </row>
    <row r="312" spans="1:5" x14ac:dyDescent="0.25">
      <c r="A312" s="24">
        <v>311</v>
      </c>
      <c r="B312" s="24">
        <v>555886</v>
      </c>
      <c r="C312" s="24" t="s">
        <v>2582</v>
      </c>
      <c r="D312" s="24">
        <v>27</v>
      </c>
      <c r="E312" s="24">
        <v>23</v>
      </c>
    </row>
    <row r="313" spans="1:5" x14ac:dyDescent="0.25">
      <c r="A313" s="24">
        <v>312</v>
      </c>
      <c r="B313" s="24">
        <v>518255</v>
      </c>
      <c r="C313" s="24" t="s">
        <v>1086</v>
      </c>
      <c r="D313" s="24">
        <v>47</v>
      </c>
      <c r="E313" s="24">
        <v>43</v>
      </c>
    </row>
    <row r="314" spans="1:5" x14ac:dyDescent="0.25">
      <c r="A314" s="24">
        <v>313</v>
      </c>
      <c r="B314" s="24">
        <v>500135</v>
      </c>
      <c r="C314" s="24" t="s">
        <v>1087</v>
      </c>
      <c r="D314" s="24">
        <v>27</v>
      </c>
      <c r="E314" s="24">
        <v>23</v>
      </c>
    </row>
    <row r="315" spans="1:5" x14ac:dyDescent="0.25">
      <c r="A315" s="24">
        <v>314</v>
      </c>
      <c r="B315" s="24">
        <v>556297</v>
      </c>
      <c r="C315" s="24" t="s">
        <v>1088</v>
      </c>
      <c r="D315" s="24">
        <v>30</v>
      </c>
      <c r="E315" s="24">
        <v>26</v>
      </c>
    </row>
    <row r="316" spans="1:5" x14ac:dyDescent="0.25">
      <c r="A316" s="24">
        <v>315</v>
      </c>
      <c r="B316" s="24">
        <v>515914</v>
      </c>
      <c r="C316" s="24" t="s">
        <v>1089</v>
      </c>
      <c r="D316" s="24">
        <v>52</v>
      </c>
      <c r="E316" s="24">
        <v>48</v>
      </c>
    </row>
    <row r="317" spans="1:5" x14ac:dyDescent="0.25">
      <c r="A317" s="24">
        <v>316</v>
      </c>
      <c r="B317" s="24">
        <v>557561</v>
      </c>
      <c r="C317" s="24" t="s">
        <v>1090</v>
      </c>
      <c r="D317" s="24">
        <v>21</v>
      </c>
      <c r="E317" s="24">
        <v>17</v>
      </c>
    </row>
    <row r="318" spans="1:5" x14ac:dyDescent="0.25">
      <c r="A318" s="24">
        <v>317</v>
      </c>
      <c r="B318" s="24">
        <v>515922</v>
      </c>
      <c r="C318" s="24" t="s">
        <v>1091</v>
      </c>
      <c r="D318" s="24">
        <v>52</v>
      </c>
      <c r="E318" s="24">
        <v>48</v>
      </c>
    </row>
    <row r="319" spans="1:5" x14ac:dyDescent="0.25">
      <c r="A319" s="24">
        <v>318</v>
      </c>
      <c r="B319" s="24">
        <v>524271</v>
      </c>
      <c r="C319" s="24" t="s">
        <v>1091</v>
      </c>
      <c r="D319" s="24">
        <v>62</v>
      </c>
      <c r="E319" s="24">
        <v>58</v>
      </c>
    </row>
    <row r="320" spans="1:5" x14ac:dyDescent="0.25">
      <c r="A320" s="24">
        <v>319</v>
      </c>
      <c r="B320" s="24">
        <v>528242</v>
      </c>
      <c r="C320" s="24" t="s">
        <v>1092</v>
      </c>
      <c r="D320" s="24">
        <v>79</v>
      </c>
      <c r="E320" s="24">
        <v>71</v>
      </c>
    </row>
    <row r="321" spans="1:5" x14ac:dyDescent="0.25">
      <c r="A321" s="24">
        <v>320</v>
      </c>
      <c r="B321" s="24">
        <v>580554</v>
      </c>
      <c r="C321" s="24" t="s">
        <v>4013</v>
      </c>
      <c r="D321" s="24">
        <v>9</v>
      </c>
      <c r="E321" s="24">
        <v>5</v>
      </c>
    </row>
    <row r="322" spans="1:5" x14ac:dyDescent="0.25">
      <c r="A322" s="24">
        <v>321</v>
      </c>
      <c r="B322" s="24">
        <v>513946</v>
      </c>
      <c r="C322" s="24" t="s">
        <v>1094</v>
      </c>
      <c r="D322" s="24">
        <v>22</v>
      </c>
      <c r="E322" s="24">
        <v>18</v>
      </c>
    </row>
    <row r="323" spans="1:5" x14ac:dyDescent="0.25">
      <c r="A323" s="24">
        <v>322</v>
      </c>
      <c r="B323" s="24">
        <v>514608</v>
      </c>
      <c r="C323" s="24" t="s">
        <v>1095</v>
      </c>
      <c r="D323" s="24">
        <v>51</v>
      </c>
      <c r="E323" s="24">
        <v>47</v>
      </c>
    </row>
    <row r="324" spans="1:5" x14ac:dyDescent="0.25">
      <c r="A324" s="24">
        <v>323</v>
      </c>
      <c r="B324" s="24">
        <v>528251</v>
      </c>
      <c r="C324" s="24" t="s">
        <v>1096</v>
      </c>
      <c r="D324" s="24">
        <v>79</v>
      </c>
      <c r="E324" s="24">
        <v>71</v>
      </c>
    </row>
    <row r="325" spans="1:5" x14ac:dyDescent="0.25">
      <c r="A325" s="24">
        <v>324</v>
      </c>
      <c r="B325" s="24">
        <v>508519</v>
      </c>
      <c r="C325" s="24" t="s">
        <v>1097</v>
      </c>
      <c r="D325" s="24">
        <v>43</v>
      </c>
      <c r="E325" s="24">
        <v>39</v>
      </c>
    </row>
    <row r="326" spans="1:5" x14ac:dyDescent="0.25">
      <c r="A326" s="24">
        <v>325</v>
      </c>
      <c r="B326" s="24">
        <v>542792</v>
      </c>
      <c r="C326" s="24" t="s">
        <v>1098</v>
      </c>
      <c r="D326" s="24">
        <v>30</v>
      </c>
      <c r="E326" s="24">
        <v>26</v>
      </c>
    </row>
    <row r="327" spans="1:5" x14ac:dyDescent="0.25">
      <c r="A327" s="24">
        <v>326</v>
      </c>
      <c r="B327" s="24">
        <v>503126</v>
      </c>
      <c r="C327" s="24" t="s">
        <v>1099</v>
      </c>
      <c r="D327" s="24">
        <v>28</v>
      </c>
      <c r="E327" s="24">
        <v>24</v>
      </c>
    </row>
    <row r="328" spans="1:5" x14ac:dyDescent="0.25">
      <c r="A328" s="24">
        <v>327</v>
      </c>
      <c r="B328" s="24">
        <v>520110</v>
      </c>
      <c r="C328" s="24" t="s">
        <v>1100</v>
      </c>
      <c r="D328" s="24">
        <v>57</v>
      </c>
      <c r="E328" s="24">
        <v>53</v>
      </c>
    </row>
    <row r="329" spans="1:5" x14ac:dyDescent="0.25">
      <c r="A329" s="24">
        <v>328</v>
      </c>
      <c r="B329" s="24">
        <v>528269</v>
      </c>
      <c r="C329" s="24" t="s">
        <v>1101</v>
      </c>
      <c r="D329" s="24">
        <v>79</v>
      </c>
      <c r="E329" s="24">
        <v>74</v>
      </c>
    </row>
    <row r="330" spans="1:5" x14ac:dyDescent="0.25">
      <c r="A330" s="24">
        <v>329</v>
      </c>
      <c r="B330" s="24">
        <v>520128</v>
      </c>
      <c r="C330" s="24" t="s">
        <v>1102</v>
      </c>
      <c r="D330" s="24">
        <v>60</v>
      </c>
      <c r="E330" s="24">
        <v>56</v>
      </c>
    </row>
    <row r="331" spans="1:5" x14ac:dyDescent="0.25">
      <c r="A331" s="24">
        <v>330</v>
      </c>
      <c r="B331" s="24">
        <v>524280</v>
      </c>
      <c r="C331" s="24" t="s">
        <v>1103</v>
      </c>
      <c r="D331" s="24">
        <v>63</v>
      </c>
      <c r="E331" s="24">
        <v>59</v>
      </c>
    </row>
    <row r="332" spans="1:5" x14ac:dyDescent="0.25">
      <c r="A332" s="24">
        <v>331</v>
      </c>
      <c r="B332" s="24">
        <v>515931</v>
      </c>
      <c r="C332" s="24" t="s">
        <v>1104</v>
      </c>
      <c r="D332" s="24">
        <v>52</v>
      </c>
      <c r="E332" s="24">
        <v>48</v>
      </c>
    </row>
    <row r="333" spans="1:5" x14ac:dyDescent="0.25">
      <c r="A333" s="24">
        <v>332</v>
      </c>
      <c r="B333" s="24">
        <v>524301</v>
      </c>
      <c r="C333" s="24" t="s">
        <v>1105</v>
      </c>
      <c r="D333" s="24">
        <v>62</v>
      </c>
      <c r="E333" s="24">
        <v>58</v>
      </c>
    </row>
    <row r="334" spans="1:5" x14ac:dyDescent="0.25">
      <c r="A334" s="24">
        <v>333</v>
      </c>
      <c r="B334" s="24">
        <v>524298</v>
      </c>
      <c r="C334" s="24" t="s">
        <v>1106</v>
      </c>
      <c r="D334" s="24">
        <v>63</v>
      </c>
      <c r="E334" s="24">
        <v>59</v>
      </c>
    </row>
    <row r="335" spans="1:5" x14ac:dyDescent="0.25">
      <c r="A335" s="24">
        <v>334</v>
      </c>
      <c r="B335" s="24">
        <v>506885</v>
      </c>
      <c r="C335" s="24" t="s">
        <v>1107</v>
      </c>
      <c r="D335" s="24">
        <v>11</v>
      </c>
      <c r="E335" s="24">
        <v>7</v>
      </c>
    </row>
    <row r="336" spans="1:5" x14ac:dyDescent="0.25">
      <c r="A336" s="24">
        <v>335</v>
      </c>
      <c r="B336" s="24">
        <v>555916</v>
      </c>
      <c r="C336" s="24" t="s">
        <v>1108</v>
      </c>
      <c r="D336" s="24">
        <v>31</v>
      </c>
      <c r="E336" s="24">
        <v>27</v>
      </c>
    </row>
    <row r="337" spans="1:5" x14ac:dyDescent="0.25">
      <c r="A337" s="24">
        <v>336</v>
      </c>
      <c r="B337" s="24">
        <v>512931</v>
      </c>
      <c r="C337" s="24" t="s">
        <v>1109</v>
      </c>
      <c r="D337" s="24">
        <v>17</v>
      </c>
      <c r="E337" s="24">
        <v>13</v>
      </c>
    </row>
    <row r="338" spans="1:5" x14ac:dyDescent="0.25">
      <c r="A338" s="24">
        <v>337</v>
      </c>
      <c r="B338" s="24">
        <v>523429</v>
      </c>
      <c r="C338" s="24" t="s">
        <v>1110</v>
      </c>
      <c r="D338" s="24">
        <v>58</v>
      </c>
      <c r="E338" s="24">
        <v>54</v>
      </c>
    </row>
    <row r="339" spans="1:5" x14ac:dyDescent="0.25">
      <c r="A339" s="24">
        <v>338</v>
      </c>
      <c r="B339" s="24">
        <v>511340</v>
      </c>
      <c r="C339" s="24" t="s">
        <v>1111</v>
      </c>
      <c r="D339" s="24">
        <v>49</v>
      </c>
      <c r="E339" s="24">
        <v>45</v>
      </c>
    </row>
    <row r="340" spans="1:5" x14ac:dyDescent="0.25">
      <c r="A340" s="24">
        <v>339</v>
      </c>
      <c r="B340" s="24">
        <v>528277</v>
      </c>
      <c r="C340" s="24" t="s">
        <v>1113</v>
      </c>
      <c r="D340" s="24">
        <v>75</v>
      </c>
      <c r="E340" s="24">
        <v>73</v>
      </c>
    </row>
    <row r="341" spans="1:5" x14ac:dyDescent="0.25">
      <c r="A341" s="24">
        <v>340</v>
      </c>
      <c r="B341" s="24">
        <v>544124</v>
      </c>
      <c r="C341" s="24" t="s">
        <v>1114</v>
      </c>
      <c r="D341" s="24">
        <v>68</v>
      </c>
      <c r="E341" s="24">
        <v>64</v>
      </c>
    </row>
    <row r="342" spans="1:5" x14ac:dyDescent="0.25">
      <c r="A342" s="24">
        <v>341</v>
      </c>
      <c r="B342" s="24">
        <v>517470</v>
      </c>
      <c r="C342" s="24" t="s">
        <v>1115</v>
      </c>
      <c r="D342" s="24">
        <v>42</v>
      </c>
      <c r="E342" s="24">
        <v>38</v>
      </c>
    </row>
    <row r="343" spans="1:5" x14ac:dyDescent="0.25">
      <c r="A343" s="24">
        <v>342</v>
      </c>
      <c r="B343" s="24">
        <v>501093</v>
      </c>
      <c r="C343" s="24" t="s">
        <v>1116</v>
      </c>
      <c r="D343" s="24">
        <v>25</v>
      </c>
      <c r="E343" s="24">
        <v>21</v>
      </c>
    </row>
    <row r="344" spans="1:5" x14ac:dyDescent="0.25">
      <c r="A344" s="24">
        <v>343</v>
      </c>
      <c r="B344" s="24">
        <v>528285</v>
      </c>
      <c r="C344" s="24" t="s">
        <v>1117</v>
      </c>
      <c r="D344" s="24">
        <v>79</v>
      </c>
      <c r="E344" s="24">
        <v>74</v>
      </c>
    </row>
    <row r="345" spans="1:5" x14ac:dyDescent="0.25">
      <c r="A345" s="24">
        <v>344</v>
      </c>
      <c r="B345" s="24">
        <v>525596</v>
      </c>
      <c r="C345" s="24" t="s">
        <v>1118</v>
      </c>
      <c r="D345" s="24">
        <v>76</v>
      </c>
      <c r="E345" s="24">
        <v>68</v>
      </c>
    </row>
    <row r="346" spans="1:5" x14ac:dyDescent="0.25">
      <c r="A346" s="24">
        <v>345</v>
      </c>
      <c r="B346" s="24">
        <v>542806</v>
      </c>
      <c r="C346" s="24" t="s">
        <v>1118</v>
      </c>
      <c r="D346" s="24">
        <v>16</v>
      </c>
      <c r="E346" s="24">
        <v>12</v>
      </c>
    </row>
    <row r="347" spans="1:5" x14ac:dyDescent="0.25">
      <c r="A347" s="24">
        <v>346</v>
      </c>
      <c r="B347" s="24">
        <v>528293</v>
      </c>
      <c r="C347" s="24" t="s">
        <v>1119</v>
      </c>
      <c r="D347" s="24">
        <v>79</v>
      </c>
      <c r="E347" s="24">
        <v>74</v>
      </c>
    </row>
    <row r="348" spans="1:5" x14ac:dyDescent="0.25">
      <c r="A348" s="24">
        <v>347</v>
      </c>
      <c r="B348" s="24">
        <v>503690</v>
      </c>
      <c r="C348" s="24" t="s">
        <v>1120</v>
      </c>
      <c r="D348" s="24">
        <v>10</v>
      </c>
      <c r="E348" s="24">
        <v>6</v>
      </c>
    </row>
    <row r="349" spans="1:5" x14ac:dyDescent="0.25">
      <c r="A349" s="24">
        <v>348</v>
      </c>
      <c r="B349" s="24">
        <v>509159</v>
      </c>
      <c r="C349" s="24" t="s">
        <v>1121</v>
      </c>
      <c r="D349" s="24">
        <v>33</v>
      </c>
      <c r="E349" s="24">
        <v>29</v>
      </c>
    </row>
    <row r="350" spans="1:5" x14ac:dyDescent="0.25">
      <c r="A350" s="24">
        <v>349</v>
      </c>
      <c r="B350" s="24">
        <v>500151</v>
      </c>
      <c r="C350" s="24" t="s">
        <v>1122</v>
      </c>
      <c r="D350" s="24">
        <v>31</v>
      </c>
      <c r="E350" s="24">
        <v>27</v>
      </c>
    </row>
    <row r="351" spans="1:5" x14ac:dyDescent="0.25">
      <c r="A351" s="24">
        <v>350</v>
      </c>
      <c r="B351" s="24">
        <v>544132</v>
      </c>
      <c r="C351" s="24" t="s">
        <v>1123</v>
      </c>
      <c r="D351" s="24">
        <v>68</v>
      </c>
      <c r="E351" s="24">
        <v>64</v>
      </c>
    </row>
    <row r="352" spans="1:5" x14ac:dyDescent="0.25">
      <c r="A352" s="24">
        <v>351</v>
      </c>
      <c r="B352" s="24">
        <v>528307</v>
      </c>
      <c r="C352" s="24" t="s">
        <v>1124</v>
      </c>
      <c r="D352" s="24">
        <v>75</v>
      </c>
      <c r="E352" s="24">
        <v>73</v>
      </c>
    </row>
    <row r="353" spans="1:5" x14ac:dyDescent="0.25">
      <c r="A353" s="24">
        <v>352</v>
      </c>
      <c r="B353" s="24">
        <v>508527</v>
      </c>
      <c r="C353" s="24" t="s">
        <v>1125</v>
      </c>
      <c r="D353" s="24">
        <v>45</v>
      </c>
      <c r="E353" s="24">
        <v>41</v>
      </c>
    </row>
    <row r="354" spans="1:5" x14ac:dyDescent="0.25">
      <c r="A354" s="24">
        <v>353</v>
      </c>
      <c r="B354" s="24">
        <v>503703</v>
      </c>
      <c r="C354" s="24" t="s">
        <v>1126</v>
      </c>
      <c r="D354" s="24">
        <v>10</v>
      </c>
      <c r="E354" s="24">
        <v>6</v>
      </c>
    </row>
    <row r="355" spans="1:5" x14ac:dyDescent="0.25">
      <c r="A355" s="24">
        <v>354</v>
      </c>
      <c r="B355" s="24">
        <v>514616</v>
      </c>
      <c r="C355" s="24" t="s">
        <v>1130</v>
      </c>
      <c r="D355" s="24">
        <v>51</v>
      </c>
      <c r="E355" s="24">
        <v>47</v>
      </c>
    </row>
    <row r="356" spans="1:5" x14ac:dyDescent="0.25">
      <c r="A356" s="24">
        <v>355</v>
      </c>
      <c r="B356" s="24">
        <v>500160</v>
      </c>
      <c r="C356" s="24" t="s">
        <v>1131</v>
      </c>
      <c r="D356" s="24">
        <v>27</v>
      </c>
      <c r="E356" s="24">
        <v>23</v>
      </c>
    </row>
    <row r="357" spans="1:5" x14ac:dyDescent="0.25">
      <c r="A357" s="24">
        <v>356</v>
      </c>
      <c r="B357" s="24">
        <v>501531</v>
      </c>
      <c r="C357" s="24" t="s">
        <v>1132</v>
      </c>
      <c r="D357" s="24">
        <v>9</v>
      </c>
      <c r="E357" s="24">
        <v>5</v>
      </c>
    </row>
    <row r="358" spans="1:5" x14ac:dyDescent="0.25">
      <c r="A358" s="24">
        <v>357</v>
      </c>
      <c r="B358" s="24">
        <v>518719</v>
      </c>
      <c r="C358" s="24" t="s">
        <v>1133</v>
      </c>
      <c r="D358" s="24">
        <v>41</v>
      </c>
      <c r="E358" s="24">
        <v>37</v>
      </c>
    </row>
    <row r="359" spans="1:5" x14ac:dyDescent="0.25">
      <c r="A359" s="24">
        <v>358</v>
      </c>
      <c r="B359" s="24">
        <v>526673</v>
      </c>
      <c r="C359" s="24" t="s">
        <v>1134</v>
      </c>
      <c r="D359" s="24">
        <v>65</v>
      </c>
      <c r="E359" s="24">
        <v>61</v>
      </c>
    </row>
    <row r="360" spans="1:5" x14ac:dyDescent="0.25">
      <c r="A360" s="24">
        <v>359</v>
      </c>
      <c r="B360" s="24">
        <v>514624</v>
      </c>
      <c r="C360" s="24" t="s">
        <v>1135</v>
      </c>
      <c r="D360" s="24">
        <v>51</v>
      </c>
      <c r="E360" s="24">
        <v>47</v>
      </c>
    </row>
    <row r="361" spans="1:5" x14ac:dyDescent="0.25">
      <c r="A361" s="24">
        <v>360</v>
      </c>
      <c r="B361" s="24">
        <v>521311</v>
      </c>
      <c r="C361" s="24" t="s">
        <v>1136</v>
      </c>
      <c r="D361" s="24">
        <v>74</v>
      </c>
      <c r="E361" s="24">
        <v>66</v>
      </c>
    </row>
    <row r="362" spans="1:5" x14ac:dyDescent="0.25">
      <c r="A362" s="24">
        <v>361</v>
      </c>
      <c r="B362" s="24">
        <v>525600</v>
      </c>
      <c r="C362" s="24" t="s">
        <v>1137</v>
      </c>
      <c r="D362" s="24">
        <v>76</v>
      </c>
      <c r="E362" s="24">
        <v>68</v>
      </c>
    </row>
    <row r="363" spans="1:5" x14ac:dyDescent="0.25">
      <c r="A363" s="24">
        <v>362</v>
      </c>
      <c r="B363" s="24">
        <v>512141</v>
      </c>
      <c r="C363" s="24" t="s">
        <v>1138</v>
      </c>
      <c r="D363" s="24">
        <v>40</v>
      </c>
      <c r="E363" s="24">
        <v>36</v>
      </c>
    </row>
    <row r="364" spans="1:5" x14ac:dyDescent="0.25">
      <c r="A364" s="24">
        <v>363</v>
      </c>
      <c r="B364" s="24">
        <v>560031</v>
      </c>
      <c r="C364" s="24" t="s">
        <v>3106</v>
      </c>
      <c r="D364" s="24">
        <v>76</v>
      </c>
      <c r="E364" s="24">
        <v>68</v>
      </c>
    </row>
    <row r="365" spans="1:5" x14ac:dyDescent="0.25">
      <c r="A365" s="24">
        <v>364</v>
      </c>
      <c r="B365" s="24">
        <v>520136</v>
      </c>
      <c r="C365" s="24" t="s">
        <v>1139</v>
      </c>
      <c r="D365" s="24">
        <v>64</v>
      </c>
      <c r="E365" s="24">
        <v>60</v>
      </c>
    </row>
    <row r="366" spans="1:5" x14ac:dyDescent="0.25">
      <c r="A366" s="24">
        <v>365</v>
      </c>
      <c r="B366" s="24">
        <v>524310</v>
      </c>
      <c r="C366" s="24" t="s">
        <v>1142</v>
      </c>
      <c r="D366" s="24">
        <v>63</v>
      </c>
      <c r="E366" s="24">
        <v>59</v>
      </c>
    </row>
    <row r="367" spans="1:5" x14ac:dyDescent="0.25">
      <c r="A367" s="24">
        <v>366</v>
      </c>
      <c r="B367" s="24">
        <v>515949</v>
      </c>
      <c r="C367" s="24" t="s">
        <v>4163</v>
      </c>
      <c r="D367" s="24">
        <v>52</v>
      </c>
      <c r="E367" s="24">
        <v>48</v>
      </c>
    </row>
    <row r="368" spans="1:5" x14ac:dyDescent="0.25">
      <c r="A368" s="24">
        <v>367</v>
      </c>
      <c r="B368" s="24">
        <v>524328</v>
      </c>
      <c r="C368" s="24" t="s">
        <v>1145</v>
      </c>
      <c r="D368" s="24">
        <v>63</v>
      </c>
      <c r="E368" s="24">
        <v>59</v>
      </c>
    </row>
    <row r="369" spans="1:5" x14ac:dyDescent="0.25">
      <c r="A369" s="24">
        <v>368</v>
      </c>
      <c r="B369" s="24">
        <v>526444</v>
      </c>
      <c r="C369" s="24" t="s">
        <v>1146</v>
      </c>
      <c r="D369" s="24">
        <v>78</v>
      </c>
      <c r="E369" s="24">
        <v>70</v>
      </c>
    </row>
    <row r="370" spans="1:5" x14ac:dyDescent="0.25">
      <c r="A370" s="24">
        <v>369</v>
      </c>
      <c r="B370" s="24">
        <v>512150</v>
      </c>
      <c r="C370" s="24" t="s">
        <v>1147</v>
      </c>
      <c r="D370" s="24">
        <v>37</v>
      </c>
      <c r="E370" s="24">
        <v>33</v>
      </c>
    </row>
    <row r="371" spans="1:5" x14ac:dyDescent="0.25">
      <c r="A371" s="24">
        <v>370</v>
      </c>
      <c r="B371" s="24">
        <v>544141</v>
      </c>
      <c r="C371" s="24" t="s">
        <v>1148</v>
      </c>
      <c r="D371" s="24">
        <v>68</v>
      </c>
      <c r="E371" s="24">
        <v>64</v>
      </c>
    </row>
    <row r="372" spans="1:5" x14ac:dyDescent="0.25">
      <c r="A372" s="24">
        <v>371</v>
      </c>
      <c r="B372" s="24">
        <v>528315</v>
      </c>
      <c r="C372" s="24" t="s">
        <v>1150</v>
      </c>
      <c r="D372" s="24">
        <v>79</v>
      </c>
      <c r="E372" s="24">
        <v>71</v>
      </c>
    </row>
    <row r="373" spans="1:5" x14ac:dyDescent="0.25">
      <c r="A373" s="24">
        <v>372</v>
      </c>
      <c r="B373" s="24">
        <v>544159</v>
      </c>
      <c r="C373" s="24" t="s">
        <v>1151</v>
      </c>
      <c r="D373" s="24">
        <v>68</v>
      </c>
      <c r="E373" s="24">
        <v>64</v>
      </c>
    </row>
    <row r="374" spans="1:5" x14ac:dyDescent="0.25">
      <c r="A374" s="24">
        <v>373</v>
      </c>
      <c r="B374" s="24">
        <v>521329</v>
      </c>
      <c r="C374" s="24" t="s">
        <v>1152</v>
      </c>
      <c r="D374" s="24">
        <v>74</v>
      </c>
      <c r="E374" s="24">
        <v>72</v>
      </c>
    </row>
    <row r="375" spans="1:5" x14ac:dyDescent="0.25">
      <c r="A375" s="24">
        <v>374</v>
      </c>
      <c r="B375" s="24">
        <v>520152</v>
      </c>
      <c r="C375" s="24" t="s">
        <v>1153</v>
      </c>
      <c r="D375" s="24">
        <v>57</v>
      </c>
      <c r="E375" s="24">
        <v>53</v>
      </c>
    </row>
    <row r="376" spans="1:5" x14ac:dyDescent="0.25">
      <c r="A376" s="24">
        <v>375</v>
      </c>
      <c r="B376" s="24">
        <v>501107</v>
      </c>
      <c r="C376" s="24" t="s">
        <v>1154</v>
      </c>
      <c r="D376" s="24">
        <v>25</v>
      </c>
      <c r="E376" s="24">
        <v>21</v>
      </c>
    </row>
    <row r="377" spans="1:5" x14ac:dyDescent="0.25">
      <c r="A377" s="24">
        <v>376</v>
      </c>
      <c r="B377" s="24">
        <v>503134</v>
      </c>
      <c r="C377" s="24" t="s">
        <v>1155</v>
      </c>
      <c r="D377" s="24">
        <v>28</v>
      </c>
      <c r="E377" s="24">
        <v>24</v>
      </c>
    </row>
    <row r="378" spans="1:5" x14ac:dyDescent="0.25">
      <c r="A378" s="24">
        <v>377</v>
      </c>
      <c r="B378" s="24">
        <v>525618</v>
      </c>
      <c r="C378" s="24" t="s">
        <v>1156</v>
      </c>
      <c r="D378" s="24">
        <v>76</v>
      </c>
      <c r="E378" s="24">
        <v>68</v>
      </c>
    </row>
    <row r="379" spans="1:5" x14ac:dyDescent="0.25">
      <c r="A379" s="24">
        <v>378</v>
      </c>
      <c r="B379" s="24">
        <v>506893</v>
      </c>
      <c r="C379" s="24" t="s">
        <v>1157</v>
      </c>
      <c r="D379" s="24">
        <v>15</v>
      </c>
      <c r="E379" s="24">
        <v>11</v>
      </c>
    </row>
    <row r="380" spans="1:5" x14ac:dyDescent="0.25">
      <c r="A380" s="24">
        <v>379</v>
      </c>
      <c r="B380" s="24">
        <v>516716</v>
      </c>
      <c r="C380" s="24" t="s">
        <v>1158</v>
      </c>
      <c r="D380" s="24">
        <v>44</v>
      </c>
      <c r="E380" s="24">
        <v>40</v>
      </c>
    </row>
    <row r="381" spans="1:5" x14ac:dyDescent="0.25">
      <c r="A381" s="24">
        <v>380</v>
      </c>
      <c r="B381" s="24">
        <v>502154</v>
      </c>
      <c r="C381" s="24" t="s">
        <v>1159</v>
      </c>
      <c r="D381" s="24">
        <v>26</v>
      </c>
      <c r="E381" s="24">
        <v>22</v>
      </c>
    </row>
    <row r="382" spans="1:5" x14ac:dyDescent="0.25">
      <c r="A382" s="24">
        <v>381</v>
      </c>
      <c r="B382" s="24">
        <v>510386</v>
      </c>
      <c r="C382" s="24" t="s">
        <v>1161</v>
      </c>
      <c r="D382" s="24">
        <v>36</v>
      </c>
      <c r="E382" s="24">
        <v>32</v>
      </c>
    </row>
    <row r="383" spans="1:5" x14ac:dyDescent="0.25">
      <c r="A383" s="24">
        <v>382</v>
      </c>
      <c r="B383" s="24">
        <v>524336</v>
      </c>
      <c r="C383" s="24" t="s">
        <v>1162</v>
      </c>
      <c r="D383" s="24">
        <v>62</v>
      </c>
      <c r="E383" s="24">
        <v>58</v>
      </c>
    </row>
    <row r="384" spans="1:5" x14ac:dyDescent="0.25">
      <c r="A384" s="24">
        <v>383</v>
      </c>
      <c r="B384" s="24">
        <v>544167</v>
      </c>
      <c r="C384" s="24" t="s">
        <v>1163</v>
      </c>
      <c r="D384" s="24">
        <v>68</v>
      </c>
      <c r="E384" s="24">
        <v>64</v>
      </c>
    </row>
    <row r="385" spans="1:5" x14ac:dyDescent="0.25">
      <c r="A385" s="24">
        <v>384</v>
      </c>
      <c r="B385" s="24">
        <v>518263</v>
      </c>
      <c r="C385" s="24" t="s">
        <v>1164</v>
      </c>
      <c r="D385" s="24">
        <v>46</v>
      </c>
      <c r="E385" s="24">
        <v>42</v>
      </c>
    </row>
    <row r="386" spans="1:5" x14ac:dyDescent="0.25">
      <c r="A386" s="24">
        <v>385</v>
      </c>
      <c r="B386" s="24">
        <v>518271</v>
      </c>
      <c r="C386" s="24" t="s">
        <v>1165</v>
      </c>
      <c r="D386" s="24">
        <v>46</v>
      </c>
      <c r="E386" s="24">
        <v>42</v>
      </c>
    </row>
    <row r="387" spans="1:5" x14ac:dyDescent="0.25">
      <c r="A387" s="24">
        <v>386</v>
      </c>
      <c r="B387" s="24">
        <v>502162</v>
      </c>
      <c r="C387" s="24" t="s">
        <v>4164</v>
      </c>
      <c r="D387" s="24">
        <v>26</v>
      </c>
      <c r="E387" s="24">
        <v>22</v>
      </c>
    </row>
    <row r="388" spans="1:5" x14ac:dyDescent="0.25">
      <c r="A388" s="24">
        <v>387</v>
      </c>
      <c r="B388" s="24">
        <v>518280</v>
      </c>
      <c r="C388" s="24" t="s">
        <v>1168</v>
      </c>
      <c r="D388" s="24">
        <v>47</v>
      </c>
      <c r="E388" s="24">
        <v>43</v>
      </c>
    </row>
    <row r="389" spans="1:5" x14ac:dyDescent="0.25">
      <c r="A389" s="24">
        <v>388</v>
      </c>
      <c r="B389" s="24">
        <v>542822</v>
      </c>
      <c r="C389" s="24" t="s">
        <v>1170</v>
      </c>
      <c r="D389" s="24">
        <v>16</v>
      </c>
      <c r="E389" s="24">
        <v>12</v>
      </c>
    </row>
    <row r="390" spans="1:5" x14ac:dyDescent="0.25">
      <c r="A390" s="24">
        <v>389</v>
      </c>
      <c r="B390" s="24">
        <v>512168</v>
      </c>
      <c r="C390" s="24" t="s">
        <v>1172</v>
      </c>
      <c r="D390" s="24">
        <v>37</v>
      </c>
      <c r="E390" s="24">
        <v>33</v>
      </c>
    </row>
    <row r="391" spans="1:5" x14ac:dyDescent="0.25">
      <c r="A391" s="24">
        <v>390</v>
      </c>
      <c r="B391" s="24">
        <v>503711</v>
      </c>
      <c r="C391" s="24" t="s">
        <v>1173</v>
      </c>
      <c r="D391" s="24">
        <v>29</v>
      </c>
      <c r="E391" s="24">
        <v>25</v>
      </c>
    </row>
    <row r="392" spans="1:5" x14ac:dyDescent="0.25">
      <c r="A392" s="24">
        <v>391</v>
      </c>
      <c r="B392" s="24">
        <v>513954</v>
      </c>
      <c r="C392" s="24" t="s">
        <v>1175</v>
      </c>
      <c r="D392" s="24">
        <v>22</v>
      </c>
      <c r="E392" s="24">
        <v>18</v>
      </c>
    </row>
    <row r="393" spans="1:5" x14ac:dyDescent="0.25">
      <c r="A393" s="24">
        <v>392</v>
      </c>
      <c r="B393" s="24">
        <v>513962</v>
      </c>
      <c r="C393" s="24" t="s">
        <v>1178</v>
      </c>
      <c r="D393" s="24">
        <v>22</v>
      </c>
      <c r="E393" s="24">
        <v>18</v>
      </c>
    </row>
    <row r="394" spans="1:5" x14ac:dyDescent="0.25">
      <c r="A394" s="24">
        <v>393</v>
      </c>
      <c r="B394" s="24">
        <v>511358</v>
      </c>
      <c r="C394" s="24" t="s">
        <v>1179</v>
      </c>
      <c r="D394" s="24">
        <v>48</v>
      </c>
      <c r="E394" s="24">
        <v>44</v>
      </c>
    </row>
    <row r="395" spans="1:5" x14ac:dyDescent="0.25">
      <c r="A395" s="24">
        <v>394</v>
      </c>
      <c r="B395" s="24">
        <v>517488</v>
      </c>
      <c r="C395" s="24" t="s">
        <v>1180</v>
      </c>
      <c r="D395" s="24">
        <v>42</v>
      </c>
      <c r="E395" s="24">
        <v>38</v>
      </c>
    </row>
    <row r="396" spans="1:5" x14ac:dyDescent="0.25">
      <c r="A396" s="24">
        <v>395</v>
      </c>
      <c r="B396" s="24">
        <v>517496</v>
      </c>
      <c r="C396" s="24" t="s">
        <v>1181</v>
      </c>
      <c r="D396" s="24">
        <v>42</v>
      </c>
      <c r="E396" s="24">
        <v>38</v>
      </c>
    </row>
    <row r="397" spans="1:5" x14ac:dyDescent="0.25">
      <c r="A397" s="24">
        <v>396</v>
      </c>
      <c r="B397" s="24">
        <v>556599</v>
      </c>
      <c r="C397" s="24" t="s">
        <v>1182</v>
      </c>
      <c r="D397" s="24">
        <v>15</v>
      </c>
      <c r="E397" s="24">
        <v>11</v>
      </c>
    </row>
    <row r="398" spans="1:5" x14ac:dyDescent="0.25">
      <c r="A398" s="24">
        <v>397</v>
      </c>
      <c r="B398" s="24">
        <v>509167</v>
      </c>
      <c r="C398" s="24" t="s">
        <v>1184</v>
      </c>
      <c r="D398" s="24">
        <v>33</v>
      </c>
      <c r="E398" s="24">
        <v>29</v>
      </c>
    </row>
    <row r="399" spans="1:5" x14ac:dyDescent="0.25">
      <c r="A399" s="24">
        <v>398</v>
      </c>
      <c r="B399" s="24">
        <v>509639</v>
      </c>
      <c r="C399" s="24" t="s">
        <v>1185</v>
      </c>
      <c r="D399" s="24">
        <v>34</v>
      </c>
      <c r="E399" s="24">
        <v>30</v>
      </c>
    </row>
    <row r="400" spans="1:5" x14ac:dyDescent="0.25">
      <c r="A400" s="24">
        <v>399</v>
      </c>
      <c r="B400" s="24">
        <v>503720</v>
      </c>
      <c r="C400" s="24" t="s">
        <v>1186</v>
      </c>
      <c r="D400" s="24">
        <v>29</v>
      </c>
      <c r="E400" s="24">
        <v>25</v>
      </c>
    </row>
    <row r="401" spans="1:5" x14ac:dyDescent="0.25">
      <c r="A401" s="24">
        <v>400</v>
      </c>
      <c r="B401" s="24">
        <v>525626</v>
      </c>
      <c r="C401" s="24" t="s">
        <v>1187</v>
      </c>
      <c r="D401" s="24">
        <v>76</v>
      </c>
      <c r="E401" s="24">
        <v>68</v>
      </c>
    </row>
    <row r="402" spans="1:5" x14ac:dyDescent="0.25">
      <c r="A402" s="24">
        <v>401</v>
      </c>
      <c r="B402" s="24">
        <v>544175</v>
      </c>
      <c r="C402" s="24" t="s">
        <v>1188</v>
      </c>
      <c r="D402" s="24">
        <v>68</v>
      </c>
      <c r="E402" s="24">
        <v>64</v>
      </c>
    </row>
    <row r="403" spans="1:5" x14ac:dyDescent="0.25">
      <c r="A403" s="24">
        <v>402</v>
      </c>
      <c r="B403" s="24">
        <v>520161</v>
      </c>
      <c r="C403" s="24" t="s">
        <v>1189</v>
      </c>
      <c r="D403" s="24">
        <v>64</v>
      </c>
      <c r="E403" s="24">
        <v>60</v>
      </c>
    </row>
    <row r="404" spans="1:5" x14ac:dyDescent="0.25">
      <c r="A404" s="24">
        <v>403</v>
      </c>
      <c r="B404" s="24">
        <v>517500</v>
      </c>
      <c r="C404" s="24" t="s">
        <v>1190</v>
      </c>
      <c r="D404" s="24">
        <v>42</v>
      </c>
      <c r="E404" s="24">
        <v>38</v>
      </c>
    </row>
    <row r="405" spans="1:5" x14ac:dyDescent="0.25">
      <c r="A405" s="24">
        <v>404</v>
      </c>
      <c r="B405" s="24">
        <v>526452</v>
      </c>
      <c r="C405" s="24" t="s">
        <v>1191</v>
      </c>
      <c r="D405" s="24">
        <v>59</v>
      </c>
      <c r="E405" s="24">
        <v>55</v>
      </c>
    </row>
    <row r="406" spans="1:5" x14ac:dyDescent="0.25">
      <c r="A406" s="24">
        <v>405</v>
      </c>
      <c r="B406" s="24">
        <v>527238</v>
      </c>
      <c r="C406" s="24" t="s">
        <v>1192</v>
      </c>
      <c r="D406" s="24">
        <v>67</v>
      </c>
      <c r="E406" s="24">
        <v>63</v>
      </c>
    </row>
    <row r="407" spans="1:5" x14ac:dyDescent="0.25">
      <c r="A407" s="24">
        <v>406</v>
      </c>
      <c r="B407" s="24">
        <v>513971</v>
      </c>
      <c r="C407" s="24" t="s">
        <v>1193</v>
      </c>
      <c r="D407" s="24">
        <v>22</v>
      </c>
      <c r="E407" s="24">
        <v>18</v>
      </c>
    </row>
    <row r="408" spans="1:5" x14ac:dyDescent="0.25">
      <c r="A408" s="24">
        <v>407</v>
      </c>
      <c r="B408" s="24">
        <v>528323</v>
      </c>
      <c r="C408" s="24" t="s">
        <v>1194</v>
      </c>
      <c r="D408" s="24">
        <v>79</v>
      </c>
      <c r="E408" s="24">
        <v>74</v>
      </c>
    </row>
    <row r="409" spans="1:5" x14ac:dyDescent="0.25">
      <c r="A409" s="24">
        <v>408</v>
      </c>
      <c r="B409" s="24">
        <v>518298</v>
      </c>
      <c r="C409" s="24" t="s">
        <v>1195</v>
      </c>
      <c r="D409" s="24">
        <v>53</v>
      </c>
      <c r="E409" s="24">
        <v>49</v>
      </c>
    </row>
    <row r="410" spans="1:5" x14ac:dyDescent="0.25">
      <c r="A410" s="24">
        <v>409</v>
      </c>
      <c r="B410" s="24">
        <v>506915</v>
      </c>
      <c r="C410" s="24" t="s">
        <v>1196</v>
      </c>
      <c r="D410" s="24">
        <v>15</v>
      </c>
      <c r="E410" s="24">
        <v>11</v>
      </c>
    </row>
    <row r="411" spans="1:5" x14ac:dyDescent="0.25">
      <c r="A411" s="24">
        <v>410</v>
      </c>
      <c r="B411" s="24">
        <v>511366</v>
      </c>
      <c r="C411" s="24" t="s">
        <v>1197</v>
      </c>
      <c r="D411" s="24">
        <v>48</v>
      </c>
      <c r="E411" s="24">
        <v>44</v>
      </c>
    </row>
    <row r="412" spans="1:5" x14ac:dyDescent="0.25">
      <c r="A412" s="24">
        <v>411</v>
      </c>
      <c r="B412" s="24">
        <v>501549</v>
      </c>
      <c r="C412" s="24" t="s">
        <v>1199</v>
      </c>
      <c r="D412" s="24">
        <v>9</v>
      </c>
      <c r="E412" s="24">
        <v>5</v>
      </c>
    </row>
    <row r="413" spans="1:5" x14ac:dyDescent="0.25">
      <c r="A413" s="24">
        <v>412</v>
      </c>
      <c r="B413" s="24">
        <v>527246</v>
      </c>
      <c r="C413" s="24" t="s">
        <v>1200</v>
      </c>
      <c r="D413" s="24">
        <v>67</v>
      </c>
      <c r="E413" s="24">
        <v>63</v>
      </c>
    </row>
    <row r="414" spans="1:5" x14ac:dyDescent="0.25">
      <c r="A414" s="24">
        <v>413</v>
      </c>
      <c r="B414" s="24">
        <v>525634</v>
      </c>
      <c r="C414" s="24" t="s">
        <v>1201</v>
      </c>
      <c r="D414" s="24">
        <v>76</v>
      </c>
      <c r="E414" s="24">
        <v>68</v>
      </c>
    </row>
    <row r="415" spans="1:5" x14ac:dyDescent="0.25">
      <c r="A415" s="24">
        <v>414</v>
      </c>
      <c r="B415" s="24">
        <v>512940</v>
      </c>
      <c r="C415" s="24" t="s">
        <v>1202</v>
      </c>
      <c r="D415" s="24">
        <v>23</v>
      </c>
      <c r="E415" s="24">
        <v>19</v>
      </c>
    </row>
    <row r="416" spans="1:5" x14ac:dyDescent="0.25">
      <c r="A416" s="24">
        <v>415</v>
      </c>
      <c r="B416" s="24">
        <v>504335</v>
      </c>
      <c r="C416" s="24" t="s">
        <v>1203</v>
      </c>
      <c r="D416" s="24">
        <v>13</v>
      </c>
      <c r="E416" s="24">
        <v>9</v>
      </c>
    </row>
    <row r="417" spans="1:5" x14ac:dyDescent="0.25">
      <c r="A417" s="24">
        <v>416</v>
      </c>
      <c r="B417" s="24">
        <v>507873</v>
      </c>
      <c r="C417" s="24" t="s">
        <v>1204</v>
      </c>
      <c r="D417" s="24">
        <v>7</v>
      </c>
      <c r="E417" s="24">
        <v>2</v>
      </c>
    </row>
    <row r="418" spans="1:5" x14ac:dyDescent="0.25">
      <c r="A418" s="24">
        <v>417</v>
      </c>
      <c r="B418" s="24">
        <v>526461</v>
      </c>
      <c r="C418" s="24" t="s">
        <v>1204</v>
      </c>
      <c r="D418" s="24">
        <v>59</v>
      </c>
      <c r="E418" s="24">
        <v>55</v>
      </c>
    </row>
    <row r="419" spans="1:5" x14ac:dyDescent="0.25">
      <c r="A419" s="24">
        <v>418</v>
      </c>
      <c r="B419" s="24">
        <v>515957</v>
      </c>
      <c r="C419" s="24" t="s">
        <v>1205</v>
      </c>
      <c r="D419" s="24">
        <v>52</v>
      </c>
      <c r="E419" s="24">
        <v>48</v>
      </c>
    </row>
    <row r="420" spans="1:5" x14ac:dyDescent="0.25">
      <c r="A420" s="24">
        <v>419</v>
      </c>
      <c r="B420" s="24">
        <v>512958</v>
      </c>
      <c r="C420" s="24" t="s">
        <v>1206</v>
      </c>
      <c r="D420" s="24">
        <v>23</v>
      </c>
      <c r="E420" s="24">
        <v>19</v>
      </c>
    </row>
    <row r="421" spans="1:5" x14ac:dyDescent="0.25">
      <c r="A421" s="24">
        <v>420</v>
      </c>
      <c r="B421" s="24">
        <v>506923</v>
      </c>
      <c r="C421" s="24" t="s">
        <v>1207</v>
      </c>
      <c r="D421" s="24">
        <v>15</v>
      </c>
      <c r="E421" s="24">
        <v>11</v>
      </c>
    </row>
    <row r="422" spans="1:5" x14ac:dyDescent="0.25">
      <c r="A422" s="24">
        <v>421</v>
      </c>
      <c r="B422" s="24">
        <v>508535</v>
      </c>
      <c r="C422" s="24" t="s">
        <v>1208</v>
      </c>
      <c r="D422" s="24">
        <v>45</v>
      </c>
      <c r="E422" s="24">
        <v>41</v>
      </c>
    </row>
    <row r="423" spans="1:5" x14ac:dyDescent="0.25">
      <c r="A423" s="24">
        <v>422</v>
      </c>
      <c r="B423" s="24">
        <v>512966</v>
      </c>
      <c r="C423" s="24" t="s">
        <v>1209</v>
      </c>
      <c r="D423" s="24">
        <v>21</v>
      </c>
      <c r="E423" s="24">
        <v>17</v>
      </c>
    </row>
    <row r="424" spans="1:5" x14ac:dyDescent="0.25">
      <c r="A424" s="24">
        <v>423</v>
      </c>
      <c r="B424" s="24">
        <v>508543</v>
      </c>
      <c r="C424" s="24" t="s">
        <v>1210</v>
      </c>
      <c r="D424" s="24">
        <v>43</v>
      </c>
      <c r="E424" s="24">
        <v>39</v>
      </c>
    </row>
    <row r="425" spans="1:5" x14ac:dyDescent="0.25">
      <c r="A425" s="24">
        <v>424</v>
      </c>
      <c r="B425" s="24">
        <v>505935</v>
      </c>
      <c r="C425" s="24" t="s">
        <v>1211</v>
      </c>
      <c r="D425" s="24">
        <v>24</v>
      </c>
      <c r="E425" s="24">
        <v>20</v>
      </c>
    </row>
    <row r="426" spans="1:5" x14ac:dyDescent="0.25">
      <c r="A426" s="24">
        <v>425</v>
      </c>
      <c r="B426" s="24">
        <v>502171</v>
      </c>
      <c r="C426" s="24" t="s">
        <v>1212</v>
      </c>
      <c r="D426" s="24">
        <v>26</v>
      </c>
      <c r="E426" s="24">
        <v>22</v>
      </c>
    </row>
    <row r="427" spans="1:5" x14ac:dyDescent="0.25">
      <c r="A427" s="24">
        <v>426</v>
      </c>
      <c r="B427" s="24">
        <v>555789</v>
      </c>
      <c r="C427" s="24" t="s">
        <v>1213</v>
      </c>
      <c r="D427" s="24">
        <v>10</v>
      </c>
      <c r="E427" s="24">
        <v>6</v>
      </c>
    </row>
    <row r="428" spans="1:5" x14ac:dyDescent="0.25">
      <c r="A428" s="24">
        <v>427</v>
      </c>
      <c r="B428" s="24">
        <v>515965</v>
      </c>
      <c r="C428" s="24" t="s">
        <v>1214</v>
      </c>
      <c r="D428" s="24">
        <v>52</v>
      </c>
      <c r="E428" s="24">
        <v>48</v>
      </c>
    </row>
    <row r="429" spans="1:5" x14ac:dyDescent="0.25">
      <c r="A429" s="24">
        <v>428</v>
      </c>
      <c r="B429" s="24">
        <v>505943</v>
      </c>
      <c r="C429" s="24" t="s">
        <v>1215</v>
      </c>
      <c r="D429" s="24">
        <v>24</v>
      </c>
      <c r="E429" s="24">
        <v>20</v>
      </c>
    </row>
    <row r="430" spans="1:5" x14ac:dyDescent="0.25">
      <c r="A430" s="24">
        <v>429</v>
      </c>
      <c r="B430" s="24">
        <v>517518</v>
      </c>
      <c r="C430" s="24" t="s">
        <v>1217</v>
      </c>
      <c r="D430" s="24">
        <v>42</v>
      </c>
      <c r="E430" s="24">
        <v>38</v>
      </c>
    </row>
    <row r="431" spans="1:5" x14ac:dyDescent="0.25">
      <c r="A431" s="24">
        <v>430</v>
      </c>
      <c r="B431" s="24">
        <v>516724</v>
      </c>
      <c r="C431" s="24" t="s">
        <v>1218</v>
      </c>
      <c r="D431" s="24">
        <v>55</v>
      </c>
      <c r="E431" s="24">
        <v>51</v>
      </c>
    </row>
    <row r="432" spans="1:5" x14ac:dyDescent="0.25">
      <c r="A432" s="24">
        <v>431</v>
      </c>
      <c r="B432" s="24">
        <v>516732</v>
      </c>
      <c r="C432" s="24" t="s">
        <v>1219</v>
      </c>
      <c r="D432" s="24">
        <v>55</v>
      </c>
      <c r="E432" s="24">
        <v>51</v>
      </c>
    </row>
    <row r="433" spans="1:5" x14ac:dyDescent="0.25">
      <c r="A433" s="24">
        <v>432</v>
      </c>
      <c r="B433" s="24">
        <v>516741</v>
      </c>
      <c r="C433" s="24" t="s">
        <v>1220</v>
      </c>
      <c r="D433" s="24">
        <v>55</v>
      </c>
      <c r="E433" s="24">
        <v>51</v>
      </c>
    </row>
    <row r="434" spans="1:5" x14ac:dyDescent="0.25">
      <c r="A434" s="24">
        <v>433</v>
      </c>
      <c r="B434" s="24">
        <v>506931</v>
      </c>
      <c r="C434" s="24" t="s">
        <v>1222</v>
      </c>
      <c r="D434" s="24">
        <v>15</v>
      </c>
      <c r="E434" s="24">
        <v>11</v>
      </c>
    </row>
    <row r="435" spans="1:5" x14ac:dyDescent="0.25">
      <c r="A435" s="24">
        <v>434</v>
      </c>
      <c r="B435" s="24">
        <v>557439</v>
      </c>
      <c r="C435" s="24" t="s">
        <v>1224</v>
      </c>
      <c r="D435" s="24">
        <v>23</v>
      </c>
      <c r="E435" s="24">
        <v>19</v>
      </c>
    </row>
    <row r="436" spans="1:5" x14ac:dyDescent="0.25">
      <c r="A436" s="24">
        <v>435</v>
      </c>
      <c r="B436" s="24">
        <v>582425</v>
      </c>
      <c r="C436" s="24" t="s">
        <v>1226</v>
      </c>
      <c r="D436" s="24">
        <v>27</v>
      </c>
      <c r="E436" s="24">
        <v>23</v>
      </c>
    </row>
    <row r="437" spans="1:5" x14ac:dyDescent="0.25">
      <c r="A437" s="24">
        <v>436</v>
      </c>
      <c r="B437" s="24">
        <v>556661</v>
      </c>
      <c r="C437" s="24" t="s">
        <v>2259</v>
      </c>
      <c r="D437" s="24">
        <v>15</v>
      </c>
      <c r="E437" s="24">
        <v>11</v>
      </c>
    </row>
    <row r="438" spans="1:5" x14ac:dyDescent="0.25">
      <c r="A438" s="24">
        <v>437</v>
      </c>
      <c r="B438" s="24">
        <v>518301</v>
      </c>
      <c r="C438" s="24" t="s">
        <v>1227</v>
      </c>
      <c r="D438" s="24">
        <v>47</v>
      </c>
      <c r="E438" s="24">
        <v>43</v>
      </c>
    </row>
    <row r="439" spans="1:5" x14ac:dyDescent="0.25">
      <c r="A439" s="24">
        <v>438</v>
      </c>
      <c r="B439" s="24">
        <v>542849</v>
      </c>
      <c r="C439" s="24" t="s">
        <v>1228</v>
      </c>
      <c r="D439" s="24">
        <v>16</v>
      </c>
      <c r="E439" s="24">
        <v>12</v>
      </c>
    </row>
    <row r="440" spans="1:5" x14ac:dyDescent="0.25">
      <c r="A440" s="24">
        <v>439</v>
      </c>
      <c r="B440" s="24">
        <v>500194</v>
      </c>
      <c r="C440" s="24" t="s">
        <v>1229</v>
      </c>
      <c r="D440" s="24">
        <v>27</v>
      </c>
      <c r="E440" s="24">
        <v>23</v>
      </c>
    </row>
    <row r="441" spans="1:5" x14ac:dyDescent="0.25">
      <c r="A441" s="24">
        <v>440</v>
      </c>
      <c r="B441" s="24">
        <v>506940</v>
      </c>
      <c r="C441" s="24" t="s">
        <v>1230</v>
      </c>
      <c r="D441" s="24">
        <v>15</v>
      </c>
      <c r="E441" s="24">
        <v>11</v>
      </c>
    </row>
    <row r="442" spans="1:5" x14ac:dyDescent="0.25">
      <c r="A442" s="24">
        <v>441</v>
      </c>
      <c r="B442" s="24">
        <v>506958</v>
      </c>
      <c r="C442" s="24" t="s">
        <v>1231</v>
      </c>
      <c r="D442" s="24">
        <v>11</v>
      </c>
      <c r="E442" s="24">
        <v>7</v>
      </c>
    </row>
    <row r="443" spans="1:5" x14ac:dyDescent="0.25">
      <c r="A443" s="24">
        <v>442</v>
      </c>
      <c r="B443" s="24">
        <v>515973</v>
      </c>
      <c r="C443" s="24" t="s">
        <v>1232</v>
      </c>
      <c r="D443" s="24">
        <v>52</v>
      </c>
      <c r="E443" s="24">
        <v>48</v>
      </c>
    </row>
    <row r="444" spans="1:5" x14ac:dyDescent="0.25">
      <c r="A444" s="24">
        <v>443</v>
      </c>
      <c r="B444" s="24">
        <v>503746</v>
      </c>
      <c r="C444" s="24" t="s">
        <v>1233</v>
      </c>
      <c r="D444" s="24">
        <v>10</v>
      </c>
      <c r="E444" s="24">
        <v>6</v>
      </c>
    </row>
    <row r="445" spans="1:5" x14ac:dyDescent="0.25">
      <c r="A445" s="24">
        <v>444</v>
      </c>
      <c r="B445" s="24">
        <v>502189</v>
      </c>
      <c r="C445" s="24" t="s">
        <v>1234</v>
      </c>
      <c r="D445" s="24">
        <v>26</v>
      </c>
      <c r="E445" s="24">
        <v>22</v>
      </c>
    </row>
    <row r="446" spans="1:5" x14ac:dyDescent="0.25">
      <c r="A446" s="24">
        <v>445</v>
      </c>
      <c r="B446" s="24">
        <v>505951</v>
      </c>
      <c r="C446" s="24" t="s">
        <v>1235</v>
      </c>
      <c r="D446" s="24">
        <v>19</v>
      </c>
      <c r="E446" s="24">
        <v>15</v>
      </c>
    </row>
    <row r="447" spans="1:5" x14ac:dyDescent="0.25">
      <c r="A447" s="24">
        <v>446</v>
      </c>
      <c r="B447" s="24">
        <v>515981</v>
      </c>
      <c r="C447" s="24" t="s">
        <v>1236</v>
      </c>
      <c r="D447" s="24">
        <v>52</v>
      </c>
      <c r="E447" s="24">
        <v>48</v>
      </c>
    </row>
    <row r="448" spans="1:5" x14ac:dyDescent="0.25">
      <c r="A448" s="24">
        <v>447</v>
      </c>
      <c r="B448" s="24">
        <v>506966</v>
      </c>
      <c r="C448" s="24" t="s">
        <v>1238</v>
      </c>
      <c r="D448" s="24">
        <v>11</v>
      </c>
      <c r="E448" s="24">
        <v>7</v>
      </c>
    </row>
    <row r="449" spans="1:5" x14ac:dyDescent="0.25">
      <c r="A449" s="24">
        <v>448</v>
      </c>
      <c r="B449" s="24">
        <v>513989</v>
      </c>
      <c r="C449" s="24" t="s">
        <v>1239</v>
      </c>
      <c r="D449" s="24">
        <v>22</v>
      </c>
      <c r="E449" s="24">
        <v>18</v>
      </c>
    </row>
    <row r="450" spans="1:5" x14ac:dyDescent="0.25">
      <c r="A450" s="24">
        <v>449</v>
      </c>
      <c r="B450" s="24">
        <v>514632</v>
      </c>
      <c r="C450" s="24" t="s">
        <v>1240</v>
      </c>
      <c r="D450" s="24">
        <v>51</v>
      </c>
      <c r="E450" s="24">
        <v>47</v>
      </c>
    </row>
    <row r="451" spans="1:5" x14ac:dyDescent="0.25">
      <c r="A451" s="24">
        <v>450</v>
      </c>
      <c r="B451" s="24">
        <v>556521</v>
      </c>
      <c r="C451" s="24" t="s">
        <v>1241</v>
      </c>
      <c r="D451" s="24">
        <v>11</v>
      </c>
      <c r="E451" s="24">
        <v>7</v>
      </c>
    </row>
    <row r="452" spans="1:5" x14ac:dyDescent="0.25">
      <c r="A452" s="24">
        <v>451</v>
      </c>
      <c r="B452" s="24">
        <v>518310</v>
      </c>
      <c r="C452" s="24" t="s">
        <v>1242</v>
      </c>
      <c r="D452" s="24">
        <v>47</v>
      </c>
      <c r="E452" s="24">
        <v>43</v>
      </c>
    </row>
    <row r="453" spans="1:5" x14ac:dyDescent="0.25">
      <c r="A453" s="24">
        <v>452</v>
      </c>
      <c r="B453" s="24">
        <v>501557</v>
      </c>
      <c r="C453" s="24" t="s">
        <v>1243</v>
      </c>
      <c r="D453" s="24">
        <v>9</v>
      </c>
      <c r="E453" s="24">
        <v>5</v>
      </c>
    </row>
    <row r="454" spans="1:5" x14ac:dyDescent="0.25">
      <c r="A454" s="24">
        <v>453</v>
      </c>
      <c r="B454" s="24">
        <v>508551</v>
      </c>
      <c r="C454" s="24" t="s">
        <v>1245</v>
      </c>
      <c r="D454" s="24">
        <v>43</v>
      </c>
      <c r="E454" s="24">
        <v>39</v>
      </c>
    </row>
    <row r="455" spans="1:5" x14ac:dyDescent="0.25">
      <c r="A455" s="24">
        <v>454</v>
      </c>
      <c r="B455" s="24">
        <v>517526</v>
      </c>
      <c r="C455" s="24" t="s">
        <v>1246</v>
      </c>
      <c r="D455" s="24">
        <v>42</v>
      </c>
      <c r="E455" s="24">
        <v>38</v>
      </c>
    </row>
    <row r="456" spans="1:5" x14ac:dyDescent="0.25">
      <c r="A456" s="24">
        <v>455</v>
      </c>
      <c r="B456" s="24">
        <v>503754</v>
      </c>
      <c r="C456" s="24" t="s">
        <v>1247</v>
      </c>
      <c r="D456" s="24">
        <v>10</v>
      </c>
      <c r="E456" s="24">
        <v>6</v>
      </c>
    </row>
    <row r="457" spans="1:5" x14ac:dyDescent="0.25">
      <c r="A457" s="24">
        <v>456</v>
      </c>
      <c r="B457" s="24">
        <v>512206</v>
      </c>
      <c r="C457" s="24" t="s">
        <v>1248</v>
      </c>
      <c r="D457" s="24">
        <v>37</v>
      </c>
      <c r="E457" s="24">
        <v>33</v>
      </c>
    </row>
    <row r="458" spans="1:5" x14ac:dyDescent="0.25">
      <c r="A458" s="24">
        <v>457</v>
      </c>
      <c r="B458" s="24">
        <v>509540</v>
      </c>
      <c r="C458" s="24" t="s">
        <v>1249</v>
      </c>
      <c r="D458" s="24">
        <v>34</v>
      </c>
      <c r="E458" s="24">
        <v>30</v>
      </c>
    </row>
    <row r="459" spans="1:5" x14ac:dyDescent="0.25">
      <c r="A459" s="24">
        <v>458</v>
      </c>
      <c r="B459" s="24">
        <v>546640</v>
      </c>
      <c r="C459" s="24" t="s">
        <v>1255</v>
      </c>
      <c r="D459" s="24">
        <v>21</v>
      </c>
      <c r="E459" s="24">
        <v>17</v>
      </c>
    </row>
    <row r="460" spans="1:5" x14ac:dyDescent="0.25">
      <c r="A460" s="24">
        <v>459</v>
      </c>
      <c r="B460" s="24">
        <v>506982</v>
      </c>
      <c r="C460" s="24" t="s">
        <v>1256</v>
      </c>
      <c r="D460" s="24">
        <v>12</v>
      </c>
      <c r="E460" s="24">
        <v>8</v>
      </c>
    </row>
    <row r="461" spans="1:5" x14ac:dyDescent="0.25">
      <c r="A461" s="24">
        <v>460</v>
      </c>
      <c r="B461" s="24">
        <v>503151</v>
      </c>
      <c r="C461" s="24" t="s">
        <v>1258</v>
      </c>
      <c r="D461" s="24">
        <v>28</v>
      </c>
      <c r="E461" s="24">
        <v>24</v>
      </c>
    </row>
    <row r="462" spans="1:5" x14ac:dyDescent="0.25">
      <c r="A462" s="24">
        <v>461</v>
      </c>
      <c r="B462" s="24">
        <v>502197</v>
      </c>
      <c r="C462" s="24" t="s">
        <v>1260</v>
      </c>
      <c r="D462" s="24">
        <v>26</v>
      </c>
      <c r="E462" s="24">
        <v>22</v>
      </c>
    </row>
    <row r="463" spans="1:5" x14ac:dyDescent="0.25">
      <c r="A463" s="24">
        <v>462</v>
      </c>
      <c r="B463" s="24">
        <v>501611</v>
      </c>
      <c r="C463" s="24" t="s">
        <v>1601</v>
      </c>
      <c r="D463" s="24">
        <v>9</v>
      </c>
      <c r="E463" s="24">
        <v>5</v>
      </c>
    </row>
    <row r="464" spans="1:5" x14ac:dyDescent="0.25">
      <c r="A464" s="24">
        <v>463</v>
      </c>
      <c r="B464" s="24">
        <v>509175</v>
      </c>
      <c r="C464" s="24" t="s">
        <v>1262</v>
      </c>
      <c r="D464" s="24">
        <v>35</v>
      </c>
      <c r="E464" s="24">
        <v>31</v>
      </c>
    </row>
    <row r="465" spans="1:5" x14ac:dyDescent="0.25">
      <c r="A465" s="24">
        <v>464</v>
      </c>
      <c r="B465" s="24">
        <v>502201</v>
      </c>
      <c r="C465" s="24" t="s">
        <v>1263</v>
      </c>
      <c r="D465" s="24">
        <v>26</v>
      </c>
      <c r="E465" s="24">
        <v>22</v>
      </c>
    </row>
    <row r="466" spans="1:5" x14ac:dyDescent="0.25">
      <c r="A466" s="24">
        <v>465</v>
      </c>
      <c r="B466" s="24">
        <v>518336</v>
      </c>
      <c r="C466" s="24" t="s">
        <v>1264</v>
      </c>
      <c r="D466" s="24">
        <v>47</v>
      </c>
      <c r="E466" s="24">
        <v>43</v>
      </c>
    </row>
    <row r="467" spans="1:5" x14ac:dyDescent="0.25">
      <c r="A467" s="24">
        <v>466</v>
      </c>
      <c r="B467" s="24">
        <v>513008</v>
      </c>
      <c r="C467" s="24" t="s">
        <v>1265</v>
      </c>
      <c r="D467" s="24">
        <v>21</v>
      </c>
      <c r="E467" s="24">
        <v>17</v>
      </c>
    </row>
    <row r="468" spans="1:5" x14ac:dyDescent="0.25">
      <c r="A468" s="24">
        <v>467</v>
      </c>
      <c r="B468" s="24">
        <v>526479</v>
      </c>
      <c r="C468" s="24" t="s">
        <v>1266</v>
      </c>
      <c r="D468" s="24">
        <v>59</v>
      </c>
      <c r="E468" s="24">
        <v>55</v>
      </c>
    </row>
    <row r="469" spans="1:5" x14ac:dyDescent="0.25">
      <c r="A469" s="24">
        <v>468</v>
      </c>
      <c r="B469" s="24">
        <v>508560</v>
      </c>
      <c r="C469" s="24" t="s">
        <v>1267</v>
      </c>
      <c r="D469" s="24">
        <v>43</v>
      </c>
      <c r="E469" s="24">
        <v>39</v>
      </c>
    </row>
    <row r="470" spans="1:5" x14ac:dyDescent="0.25">
      <c r="A470" s="24">
        <v>469</v>
      </c>
      <c r="B470" s="24">
        <v>508578</v>
      </c>
      <c r="C470" s="24" t="s">
        <v>1269</v>
      </c>
      <c r="D470" s="24">
        <v>45</v>
      </c>
      <c r="E470" s="24">
        <v>41</v>
      </c>
    </row>
    <row r="471" spans="1:5" x14ac:dyDescent="0.25">
      <c r="A471" s="24">
        <v>470</v>
      </c>
      <c r="B471" s="24">
        <v>528331</v>
      </c>
      <c r="C471" s="24" t="s">
        <v>1270</v>
      </c>
      <c r="D471" s="24">
        <v>75</v>
      </c>
      <c r="E471" s="24">
        <v>73</v>
      </c>
    </row>
    <row r="472" spans="1:5" x14ac:dyDescent="0.25">
      <c r="A472" s="24">
        <v>471</v>
      </c>
      <c r="B472" s="24">
        <v>506991</v>
      </c>
      <c r="C472" s="24" t="s">
        <v>1271</v>
      </c>
      <c r="D472" s="24">
        <v>12</v>
      </c>
      <c r="E472" s="24">
        <v>8</v>
      </c>
    </row>
    <row r="473" spans="1:5" x14ac:dyDescent="0.25">
      <c r="A473" s="24">
        <v>472</v>
      </c>
      <c r="B473" s="24">
        <v>526487</v>
      </c>
      <c r="C473" s="24" t="s">
        <v>1272</v>
      </c>
      <c r="D473" s="24">
        <v>59</v>
      </c>
      <c r="E473" s="24">
        <v>55</v>
      </c>
    </row>
    <row r="474" spans="1:5" x14ac:dyDescent="0.25">
      <c r="A474" s="24">
        <v>473</v>
      </c>
      <c r="B474" s="24">
        <v>514641</v>
      </c>
      <c r="C474" s="24" t="s">
        <v>1273</v>
      </c>
      <c r="D474" s="24">
        <v>51</v>
      </c>
      <c r="E474" s="24">
        <v>47</v>
      </c>
    </row>
    <row r="475" spans="1:5" x14ac:dyDescent="0.25">
      <c r="A475" s="24">
        <v>474</v>
      </c>
      <c r="B475" s="24">
        <v>512214</v>
      </c>
      <c r="C475" s="24" t="s">
        <v>1274</v>
      </c>
      <c r="D475" s="24">
        <v>37</v>
      </c>
      <c r="E475" s="24">
        <v>33</v>
      </c>
    </row>
    <row r="476" spans="1:5" x14ac:dyDescent="0.25">
      <c r="A476" s="24">
        <v>475</v>
      </c>
      <c r="B476" s="24">
        <v>518344</v>
      </c>
      <c r="C476" s="24" t="s">
        <v>1276</v>
      </c>
      <c r="D476" s="24">
        <v>47</v>
      </c>
      <c r="E476" s="24">
        <v>43</v>
      </c>
    </row>
    <row r="477" spans="1:5" x14ac:dyDescent="0.25">
      <c r="A477" s="24">
        <v>476</v>
      </c>
      <c r="B477" s="24">
        <v>514659</v>
      </c>
      <c r="C477" s="24" t="s">
        <v>1277</v>
      </c>
      <c r="D477" s="24">
        <v>51</v>
      </c>
      <c r="E477" s="24">
        <v>47</v>
      </c>
    </row>
    <row r="478" spans="1:5" x14ac:dyDescent="0.25">
      <c r="A478" s="24">
        <v>477</v>
      </c>
      <c r="B478" s="24">
        <v>524344</v>
      </c>
      <c r="C478" s="24" t="s">
        <v>1279</v>
      </c>
      <c r="D478" s="24">
        <v>63</v>
      </c>
      <c r="E478" s="24">
        <v>59</v>
      </c>
    </row>
    <row r="479" spans="1:5" x14ac:dyDescent="0.25">
      <c r="A479" s="24">
        <v>478</v>
      </c>
      <c r="B479" s="24">
        <v>524352</v>
      </c>
      <c r="C479" s="24" t="s">
        <v>1280</v>
      </c>
      <c r="D479" s="24">
        <v>62</v>
      </c>
      <c r="E479" s="24">
        <v>58</v>
      </c>
    </row>
    <row r="480" spans="1:5" x14ac:dyDescent="0.25">
      <c r="A480" s="24">
        <v>479</v>
      </c>
      <c r="B480" s="24">
        <v>521337</v>
      </c>
      <c r="C480" s="24" t="s">
        <v>1281</v>
      </c>
      <c r="D480" s="24">
        <v>74</v>
      </c>
      <c r="E480" s="24">
        <v>72</v>
      </c>
    </row>
    <row r="481" spans="1:5" x14ac:dyDescent="0.25">
      <c r="A481" s="24">
        <v>480</v>
      </c>
      <c r="B481" s="24">
        <v>518352</v>
      </c>
      <c r="C481" s="24" t="s">
        <v>1282</v>
      </c>
      <c r="D481" s="24">
        <v>47</v>
      </c>
      <c r="E481" s="24">
        <v>43</v>
      </c>
    </row>
    <row r="482" spans="1:5" x14ac:dyDescent="0.25">
      <c r="A482" s="24">
        <v>481</v>
      </c>
      <c r="B482" s="24">
        <v>524361</v>
      </c>
      <c r="C482" s="24" t="s">
        <v>1283</v>
      </c>
      <c r="D482" s="24">
        <v>62</v>
      </c>
      <c r="E482" s="24">
        <v>58</v>
      </c>
    </row>
    <row r="483" spans="1:5" x14ac:dyDescent="0.25">
      <c r="A483" s="24">
        <v>482</v>
      </c>
      <c r="B483" s="24">
        <v>505960</v>
      </c>
      <c r="C483" s="24" t="s">
        <v>1284</v>
      </c>
      <c r="D483" s="24">
        <v>24</v>
      </c>
      <c r="E483" s="24">
        <v>20</v>
      </c>
    </row>
    <row r="484" spans="1:5" x14ac:dyDescent="0.25">
      <c r="A484" s="24">
        <v>483</v>
      </c>
      <c r="B484" s="24">
        <v>514667</v>
      </c>
      <c r="C484" s="24" t="s">
        <v>1285</v>
      </c>
      <c r="D484" s="24">
        <v>51</v>
      </c>
      <c r="E484" s="24">
        <v>47</v>
      </c>
    </row>
    <row r="485" spans="1:5" x14ac:dyDescent="0.25">
      <c r="A485" s="24">
        <v>484</v>
      </c>
      <c r="B485" s="24">
        <v>525642</v>
      </c>
      <c r="C485" s="24" t="s">
        <v>1286</v>
      </c>
      <c r="D485" s="24">
        <v>76</v>
      </c>
      <c r="E485" s="24">
        <v>68</v>
      </c>
    </row>
    <row r="486" spans="1:5" x14ac:dyDescent="0.25">
      <c r="A486" s="24">
        <v>485</v>
      </c>
      <c r="B486" s="24">
        <v>521345</v>
      </c>
      <c r="C486" s="24" t="s">
        <v>4165</v>
      </c>
      <c r="D486" s="24">
        <v>74</v>
      </c>
      <c r="E486" s="24">
        <v>66</v>
      </c>
    </row>
    <row r="487" spans="1:5" x14ac:dyDescent="0.25">
      <c r="A487" s="24">
        <v>486</v>
      </c>
      <c r="B487" s="24">
        <v>502219</v>
      </c>
      <c r="C487" s="24" t="s">
        <v>1290</v>
      </c>
      <c r="D487" s="24">
        <v>26</v>
      </c>
      <c r="E487" s="24">
        <v>22</v>
      </c>
    </row>
    <row r="488" spans="1:5" x14ac:dyDescent="0.25">
      <c r="A488" s="24">
        <v>487</v>
      </c>
      <c r="B488" s="24">
        <v>514675</v>
      </c>
      <c r="C488" s="24" t="s">
        <v>1291</v>
      </c>
      <c r="D488" s="24">
        <v>50</v>
      </c>
      <c r="E488" s="24">
        <v>46</v>
      </c>
    </row>
    <row r="489" spans="1:5" x14ac:dyDescent="0.25">
      <c r="A489" s="24">
        <v>488</v>
      </c>
      <c r="B489" s="24">
        <v>557323</v>
      </c>
      <c r="C489" s="24" t="s">
        <v>1292</v>
      </c>
      <c r="D489" s="24">
        <v>49</v>
      </c>
      <c r="E489" s="24">
        <v>45</v>
      </c>
    </row>
    <row r="490" spans="1:5" x14ac:dyDescent="0.25">
      <c r="A490" s="24">
        <v>489</v>
      </c>
      <c r="B490" s="24">
        <v>519138</v>
      </c>
      <c r="C490" s="24" t="s">
        <v>1293</v>
      </c>
      <c r="D490" s="24">
        <v>56</v>
      </c>
      <c r="E490" s="24">
        <v>52</v>
      </c>
    </row>
    <row r="491" spans="1:5" x14ac:dyDescent="0.25">
      <c r="A491" s="24">
        <v>490</v>
      </c>
      <c r="B491" s="24">
        <v>513016</v>
      </c>
      <c r="C491" s="24" t="s">
        <v>1294</v>
      </c>
      <c r="D491" s="24">
        <v>17</v>
      </c>
      <c r="E491" s="24">
        <v>13</v>
      </c>
    </row>
    <row r="492" spans="1:5" x14ac:dyDescent="0.25">
      <c r="A492" s="24">
        <v>491</v>
      </c>
      <c r="B492" s="24">
        <v>542857</v>
      </c>
      <c r="C492" s="24" t="s">
        <v>1295</v>
      </c>
      <c r="D492" s="24">
        <v>16</v>
      </c>
      <c r="E492" s="24">
        <v>12</v>
      </c>
    </row>
    <row r="493" spans="1:5" x14ac:dyDescent="0.25">
      <c r="A493" s="24">
        <v>492</v>
      </c>
      <c r="B493" s="24">
        <v>503169</v>
      </c>
      <c r="C493" s="24" t="s">
        <v>1296</v>
      </c>
      <c r="D493" s="24">
        <v>28</v>
      </c>
      <c r="E493" s="24">
        <v>24</v>
      </c>
    </row>
    <row r="494" spans="1:5" x14ac:dyDescent="0.25">
      <c r="A494" s="24">
        <v>493</v>
      </c>
      <c r="B494" s="24">
        <v>514683</v>
      </c>
      <c r="C494" s="24" t="s">
        <v>1298</v>
      </c>
      <c r="D494" s="24">
        <v>51</v>
      </c>
      <c r="E494" s="24">
        <v>47</v>
      </c>
    </row>
    <row r="495" spans="1:5" x14ac:dyDescent="0.25">
      <c r="A495" s="24">
        <v>494</v>
      </c>
      <c r="B495" s="24">
        <v>505978</v>
      </c>
      <c r="C495" s="24" t="s">
        <v>1299</v>
      </c>
      <c r="D495" s="24">
        <v>24</v>
      </c>
      <c r="E495" s="24">
        <v>20</v>
      </c>
    </row>
    <row r="496" spans="1:5" x14ac:dyDescent="0.25">
      <c r="A496" s="24">
        <v>495</v>
      </c>
      <c r="B496" s="24">
        <v>507881</v>
      </c>
      <c r="C496" s="24" t="s">
        <v>1300</v>
      </c>
      <c r="D496" s="24">
        <v>7</v>
      </c>
      <c r="E496" s="24">
        <v>2</v>
      </c>
    </row>
    <row r="497" spans="1:5" x14ac:dyDescent="0.25">
      <c r="A497" s="24">
        <v>496</v>
      </c>
      <c r="B497" s="24">
        <v>527254</v>
      </c>
      <c r="C497" s="24" t="s">
        <v>1300</v>
      </c>
      <c r="D497" s="24">
        <v>67</v>
      </c>
      <c r="E497" s="24">
        <v>63</v>
      </c>
    </row>
    <row r="498" spans="1:5" x14ac:dyDescent="0.25">
      <c r="A498" s="24">
        <v>497</v>
      </c>
      <c r="B498" s="24">
        <v>507008</v>
      </c>
      <c r="C498" s="24" t="s">
        <v>4166</v>
      </c>
      <c r="D498" s="24">
        <v>12</v>
      </c>
      <c r="E498" s="24">
        <v>8</v>
      </c>
    </row>
    <row r="499" spans="1:5" x14ac:dyDescent="0.25">
      <c r="A499" s="24">
        <v>498</v>
      </c>
      <c r="B499" s="24">
        <v>504343</v>
      </c>
      <c r="C499" s="24" t="s">
        <v>4167</v>
      </c>
      <c r="D499" s="24">
        <v>14</v>
      </c>
      <c r="E499" s="24">
        <v>10</v>
      </c>
    </row>
    <row r="500" spans="1:5" x14ac:dyDescent="0.25">
      <c r="A500" s="24">
        <v>499</v>
      </c>
      <c r="B500" s="24">
        <v>512222</v>
      </c>
      <c r="C500" s="24" t="s">
        <v>1305</v>
      </c>
      <c r="D500" s="24">
        <v>40</v>
      </c>
      <c r="E500" s="24">
        <v>36</v>
      </c>
    </row>
    <row r="501" spans="1:5" x14ac:dyDescent="0.25">
      <c r="A501" s="24">
        <v>500</v>
      </c>
      <c r="B501" s="24">
        <v>518361</v>
      </c>
      <c r="C501" s="24" t="s">
        <v>1305</v>
      </c>
      <c r="D501" s="24">
        <v>53</v>
      </c>
      <c r="E501" s="24">
        <v>49</v>
      </c>
    </row>
    <row r="502" spans="1:5" x14ac:dyDescent="0.25">
      <c r="A502" s="24">
        <v>501</v>
      </c>
      <c r="B502" s="24">
        <v>514691</v>
      </c>
      <c r="C502" s="24" t="s">
        <v>1306</v>
      </c>
      <c r="D502" s="24">
        <v>51</v>
      </c>
      <c r="E502" s="24">
        <v>47</v>
      </c>
    </row>
    <row r="503" spans="1:5" x14ac:dyDescent="0.25">
      <c r="A503" s="24">
        <v>502</v>
      </c>
      <c r="B503" s="24">
        <v>524379</v>
      </c>
      <c r="C503" s="24" t="s">
        <v>1307</v>
      </c>
      <c r="D503" s="24">
        <v>63</v>
      </c>
      <c r="E503" s="24">
        <v>59</v>
      </c>
    </row>
    <row r="504" spans="1:5" x14ac:dyDescent="0.25">
      <c r="A504" s="24">
        <v>503</v>
      </c>
      <c r="B504" s="24">
        <v>510408</v>
      </c>
      <c r="C504" s="24" t="s">
        <v>1308</v>
      </c>
      <c r="D504" s="24">
        <v>36</v>
      </c>
      <c r="E504" s="24">
        <v>32</v>
      </c>
    </row>
    <row r="505" spans="1:5" x14ac:dyDescent="0.25">
      <c r="A505" s="24">
        <v>504</v>
      </c>
      <c r="B505" s="24">
        <v>520179</v>
      </c>
      <c r="C505" s="24" t="s">
        <v>1308</v>
      </c>
      <c r="D505" s="24">
        <v>64</v>
      </c>
      <c r="E505" s="24">
        <v>60</v>
      </c>
    </row>
    <row r="506" spans="1:5" x14ac:dyDescent="0.25">
      <c r="A506" s="24">
        <v>505</v>
      </c>
      <c r="B506" s="24">
        <v>526495</v>
      </c>
      <c r="C506" s="24" t="s">
        <v>1308</v>
      </c>
      <c r="D506" s="24">
        <v>59</v>
      </c>
      <c r="E506" s="24">
        <v>55</v>
      </c>
    </row>
    <row r="507" spans="1:5" x14ac:dyDescent="0.25">
      <c r="A507" s="24">
        <v>506</v>
      </c>
      <c r="B507" s="24">
        <v>508586</v>
      </c>
      <c r="C507" s="24" t="s">
        <v>1309</v>
      </c>
      <c r="D507" s="24">
        <v>43</v>
      </c>
      <c r="E507" s="24">
        <v>39</v>
      </c>
    </row>
    <row r="508" spans="1:5" x14ac:dyDescent="0.25">
      <c r="A508" s="24">
        <v>507</v>
      </c>
      <c r="B508" s="24">
        <v>522406</v>
      </c>
      <c r="C508" s="24" t="s">
        <v>949</v>
      </c>
      <c r="D508" s="24">
        <v>75</v>
      </c>
      <c r="E508" s="24">
        <v>67</v>
      </c>
    </row>
    <row r="509" spans="1:5" x14ac:dyDescent="0.25">
      <c r="A509" s="24">
        <v>508</v>
      </c>
      <c r="B509" s="24">
        <v>518379</v>
      </c>
      <c r="C509" s="24" t="s">
        <v>1310</v>
      </c>
      <c r="D509" s="24">
        <v>46</v>
      </c>
      <c r="E509" s="24">
        <v>42</v>
      </c>
    </row>
    <row r="510" spans="1:5" x14ac:dyDescent="0.25">
      <c r="A510" s="24">
        <v>509</v>
      </c>
      <c r="B510" s="24">
        <v>558338</v>
      </c>
      <c r="C510" s="24" t="s">
        <v>1311</v>
      </c>
      <c r="D510" s="24">
        <v>12</v>
      </c>
      <c r="E510" s="24">
        <v>8</v>
      </c>
    </row>
    <row r="511" spans="1:5" x14ac:dyDescent="0.25">
      <c r="A511" s="24">
        <v>510</v>
      </c>
      <c r="B511" s="24">
        <v>518387</v>
      </c>
      <c r="C511" s="24" t="s">
        <v>1312</v>
      </c>
      <c r="D511" s="24">
        <v>47</v>
      </c>
      <c r="E511" s="24">
        <v>43</v>
      </c>
    </row>
    <row r="512" spans="1:5" x14ac:dyDescent="0.25">
      <c r="A512" s="24">
        <v>511</v>
      </c>
      <c r="B512" s="24">
        <v>580601</v>
      </c>
      <c r="C512" s="24" t="s">
        <v>1314</v>
      </c>
      <c r="D512" s="24">
        <v>67</v>
      </c>
      <c r="E512" s="24">
        <v>63</v>
      </c>
    </row>
    <row r="513" spans="1:5" x14ac:dyDescent="0.25">
      <c r="A513" s="24">
        <v>512</v>
      </c>
      <c r="B513" s="24">
        <v>513024</v>
      </c>
      <c r="C513" s="24" t="s">
        <v>1316</v>
      </c>
      <c r="D513" s="24">
        <v>17</v>
      </c>
      <c r="E513" s="24">
        <v>13</v>
      </c>
    </row>
    <row r="514" spans="1:5" x14ac:dyDescent="0.25">
      <c r="A514" s="24">
        <v>513</v>
      </c>
      <c r="B514" s="24">
        <v>524387</v>
      </c>
      <c r="C514" s="24" t="s">
        <v>1317</v>
      </c>
      <c r="D514" s="24">
        <v>62</v>
      </c>
      <c r="E514" s="24">
        <v>58</v>
      </c>
    </row>
    <row r="515" spans="1:5" x14ac:dyDescent="0.25">
      <c r="A515" s="24">
        <v>514</v>
      </c>
      <c r="B515" s="24">
        <v>501123</v>
      </c>
      <c r="C515" s="24" t="s">
        <v>1318</v>
      </c>
      <c r="D515" s="24">
        <v>25</v>
      </c>
      <c r="E515" s="24">
        <v>21</v>
      </c>
    </row>
    <row r="516" spans="1:5" x14ac:dyDescent="0.25">
      <c r="A516" s="24">
        <v>515</v>
      </c>
      <c r="B516" s="24">
        <v>557919</v>
      </c>
      <c r="C516" s="24" t="s">
        <v>812</v>
      </c>
      <c r="D516" s="24">
        <v>51</v>
      </c>
      <c r="E516" s="24">
        <v>47</v>
      </c>
    </row>
    <row r="517" spans="1:5" x14ac:dyDescent="0.25">
      <c r="A517" s="24">
        <v>516</v>
      </c>
      <c r="B517" s="24">
        <v>509183</v>
      </c>
      <c r="C517" s="24" t="s">
        <v>1319</v>
      </c>
      <c r="D517" s="24">
        <v>33</v>
      </c>
      <c r="E517" s="24">
        <v>29</v>
      </c>
    </row>
    <row r="518" spans="1:5" x14ac:dyDescent="0.25">
      <c r="A518" s="24">
        <v>517</v>
      </c>
      <c r="B518" s="24">
        <v>545333</v>
      </c>
      <c r="C518" s="24" t="s">
        <v>4168</v>
      </c>
      <c r="D518" s="24">
        <v>8</v>
      </c>
      <c r="E518" s="24">
        <v>3</v>
      </c>
    </row>
    <row r="519" spans="1:5" x14ac:dyDescent="0.25">
      <c r="A519" s="24">
        <v>518</v>
      </c>
      <c r="B519" s="24">
        <v>501433</v>
      </c>
      <c r="C519" s="24" t="s">
        <v>1320</v>
      </c>
      <c r="D519" s="24">
        <v>9</v>
      </c>
      <c r="E519" s="24">
        <v>5</v>
      </c>
    </row>
    <row r="520" spans="1:5" x14ac:dyDescent="0.25">
      <c r="A520" s="24">
        <v>519</v>
      </c>
      <c r="B520" s="24">
        <v>555541</v>
      </c>
      <c r="C520" s="24" t="s">
        <v>1724</v>
      </c>
      <c r="D520" s="24">
        <v>9</v>
      </c>
      <c r="E520" s="24">
        <v>5</v>
      </c>
    </row>
    <row r="521" spans="1:5" x14ac:dyDescent="0.25">
      <c r="A521" s="24">
        <v>520</v>
      </c>
      <c r="B521" s="24">
        <v>527262</v>
      </c>
      <c r="C521" s="24" t="s">
        <v>1323</v>
      </c>
      <c r="D521" s="24">
        <v>66</v>
      </c>
      <c r="E521" s="24">
        <v>62</v>
      </c>
    </row>
    <row r="522" spans="1:5" x14ac:dyDescent="0.25">
      <c r="A522" s="24">
        <v>521</v>
      </c>
      <c r="B522" s="24">
        <v>557986</v>
      </c>
      <c r="C522" s="24" t="s">
        <v>1324</v>
      </c>
      <c r="D522" s="24">
        <v>42</v>
      </c>
      <c r="E522" s="24">
        <v>38</v>
      </c>
    </row>
    <row r="523" spans="1:5" x14ac:dyDescent="0.25">
      <c r="A523" s="24">
        <v>522</v>
      </c>
      <c r="B523" s="24">
        <v>544183</v>
      </c>
      <c r="C523" s="24" t="s">
        <v>1325</v>
      </c>
      <c r="D523" s="24">
        <v>68</v>
      </c>
      <c r="E523" s="24">
        <v>64</v>
      </c>
    </row>
    <row r="524" spans="1:5" x14ac:dyDescent="0.25">
      <c r="A524" s="24">
        <v>523</v>
      </c>
      <c r="B524" s="24">
        <v>521353</v>
      </c>
      <c r="C524" s="24" t="s">
        <v>1326</v>
      </c>
      <c r="D524" s="24">
        <v>74</v>
      </c>
      <c r="E524" s="24">
        <v>66</v>
      </c>
    </row>
    <row r="525" spans="1:5" x14ac:dyDescent="0.25">
      <c r="A525" s="24">
        <v>524</v>
      </c>
      <c r="B525" s="24">
        <v>557609</v>
      </c>
      <c r="C525" s="24" t="s">
        <v>1327</v>
      </c>
      <c r="D525" s="24">
        <v>21</v>
      </c>
      <c r="E525" s="24">
        <v>17</v>
      </c>
    </row>
    <row r="526" spans="1:5" x14ac:dyDescent="0.25">
      <c r="A526" s="24">
        <v>525</v>
      </c>
      <c r="B526" s="24">
        <v>521361</v>
      </c>
      <c r="C526" s="24" t="s">
        <v>1328</v>
      </c>
      <c r="D526" s="24">
        <v>74</v>
      </c>
      <c r="E526" s="24">
        <v>66</v>
      </c>
    </row>
    <row r="527" spans="1:5" x14ac:dyDescent="0.25">
      <c r="A527" s="24">
        <v>526</v>
      </c>
      <c r="B527" s="24">
        <v>526681</v>
      </c>
      <c r="C527" s="24" t="s">
        <v>1329</v>
      </c>
      <c r="D527" s="24">
        <v>65</v>
      </c>
      <c r="E527" s="24">
        <v>61</v>
      </c>
    </row>
    <row r="528" spans="1:5" x14ac:dyDescent="0.25">
      <c r="A528" s="24">
        <v>527</v>
      </c>
      <c r="B528" s="24">
        <v>515990</v>
      </c>
      <c r="C528" s="24" t="s">
        <v>1330</v>
      </c>
      <c r="D528" s="24">
        <v>52</v>
      </c>
      <c r="E528" s="24">
        <v>48</v>
      </c>
    </row>
    <row r="529" spans="1:5" x14ac:dyDescent="0.25">
      <c r="A529" s="24">
        <v>528</v>
      </c>
      <c r="B529" s="24">
        <v>556262</v>
      </c>
      <c r="C529" s="24" t="s">
        <v>1332</v>
      </c>
      <c r="D529" s="24">
        <v>30</v>
      </c>
      <c r="E529" s="24">
        <v>26</v>
      </c>
    </row>
    <row r="530" spans="1:5" x14ac:dyDescent="0.25">
      <c r="A530" s="24">
        <v>529</v>
      </c>
      <c r="B530" s="24">
        <v>542873</v>
      </c>
      <c r="C530" s="24" t="s">
        <v>1333</v>
      </c>
      <c r="D530" s="24">
        <v>16</v>
      </c>
      <c r="E530" s="24">
        <v>12</v>
      </c>
    </row>
    <row r="531" spans="1:5" x14ac:dyDescent="0.25">
      <c r="A531" s="24">
        <v>530</v>
      </c>
      <c r="B531" s="24">
        <v>528340</v>
      </c>
      <c r="C531" s="24" t="s">
        <v>1335</v>
      </c>
      <c r="D531" s="24">
        <v>79</v>
      </c>
      <c r="E531" s="24">
        <v>71</v>
      </c>
    </row>
    <row r="532" spans="1:5" x14ac:dyDescent="0.25">
      <c r="A532" s="24">
        <v>531</v>
      </c>
      <c r="B532" s="24">
        <v>507024</v>
      </c>
      <c r="C532" s="24" t="s">
        <v>1336</v>
      </c>
      <c r="D532" s="24">
        <v>11</v>
      </c>
      <c r="E532" s="24">
        <v>7</v>
      </c>
    </row>
    <row r="533" spans="1:5" x14ac:dyDescent="0.25">
      <c r="A533" s="24">
        <v>532</v>
      </c>
      <c r="B533" s="24">
        <v>559873</v>
      </c>
      <c r="C533" s="24" t="s">
        <v>4169</v>
      </c>
      <c r="D533" s="24">
        <v>74</v>
      </c>
      <c r="E533" s="24">
        <v>72</v>
      </c>
    </row>
    <row r="534" spans="1:5" x14ac:dyDescent="0.25">
      <c r="A534" s="24">
        <v>533</v>
      </c>
      <c r="B534" s="24">
        <v>503177</v>
      </c>
      <c r="C534" s="24" t="s">
        <v>1339</v>
      </c>
      <c r="D534" s="24">
        <v>28</v>
      </c>
      <c r="E534" s="24">
        <v>24</v>
      </c>
    </row>
    <row r="535" spans="1:5" x14ac:dyDescent="0.25">
      <c r="A535" s="24">
        <v>534</v>
      </c>
      <c r="B535" s="24">
        <v>528358</v>
      </c>
      <c r="C535" s="24" t="s">
        <v>1341</v>
      </c>
      <c r="D535" s="24">
        <v>79</v>
      </c>
      <c r="E535" s="24">
        <v>71</v>
      </c>
    </row>
    <row r="536" spans="1:5" x14ac:dyDescent="0.25">
      <c r="A536" s="24">
        <v>535</v>
      </c>
      <c r="B536" s="24">
        <v>517542</v>
      </c>
      <c r="C536" s="24" t="s">
        <v>1342</v>
      </c>
      <c r="D536" s="24">
        <v>42</v>
      </c>
      <c r="E536" s="24">
        <v>38</v>
      </c>
    </row>
    <row r="537" spans="1:5" x14ac:dyDescent="0.25">
      <c r="A537" s="24">
        <v>536</v>
      </c>
      <c r="B537" s="24">
        <v>522414</v>
      </c>
      <c r="C537" s="24" t="s">
        <v>1343</v>
      </c>
      <c r="D537" s="24">
        <v>75</v>
      </c>
      <c r="E537" s="24">
        <v>67</v>
      </c>
    </row>
    <row r="538" spans="1:5" x14ac:dyDescent="0.25">
      <c r="A538" s="24">
        <v>537</v>
      </c>
      <c r="B538" s="24">
        <v>502227</v>
      </c>
      <c r="C538" s="24" t="s">
        <v>1344</v>
      </c>
      <c r="D538" s="24">
        <v>26</v>
      </c>
      <c r="E538" s="24">
        <v>22</v>
      </c>
    </row>
    <row r="539" spans="1:5" x14ac:dyDescent="0.25">
      <c r="A539" s="24">
        <v>538</v>
      </c>
      <c r="B539" s="24">
        <v>522422</v>
      </c>
      <c r="C539" s="24" t="s">
        <v>1345</v>
      </c>
      <c r="D539" s="24">
        <v>77</v>
      </c>
      <c r="E539" s="24">
        <v>69</v>
      </c>
    </row>
    <row r="540" spans="1:5" x14ac:dyDescent="0.25">
      <c r="A540" s="24">
        <v>539</v>
      </c>
      <c r="B540" s="24">
        <v>514713</v>
      </c>
      <c r="C540" s="24" t="s">
        <v>1346</v>
      </c>
      <c r="D540" s="24">
        <v>51</v>
      </c>
      <c r="E540" s="24">
        <v>47</v>
      </c>
    </row>
    <row r="541" spans="1:5" x14ac:dyDescent="0.25">
      <c r="A541" s="24">
        <v>540</v>
      </c>
      <c r="B541" s="24">
        <v>527271</v>
      </c>
      <c r="C541" s="24" t="s">
        <v>1347</v>
      </c>
      <c r="D541" s="24">
        <v>67</v>
      </c>
      <c r="E541" s="24">
        <v>63</v>
      </c>
    </row>
    <row r="542" spans="1:5" x14ac:dyDescent="0.25">
      <c r="A542" s="24">
        <v>541</v>
      </c>
      <c r="B542" s="24">
        <v>511391</v>
      </c>
      <c r="C542" s="24" t="s">
        <v>1348</v>
      </c>
      <c r="D542" s="24">
        <v>48</v>
      </c>
      <c r="E542" s="24">
        <v>44</v>
      </c>
    </row>
    <row r="543" spans="1:5" x14ac:dyDescent="0.25">
      <c r="A543" s="24">
        <v>542</v>
      </c>
      <c r="B543" s="24">
        <v>511404</v>
      </c>
      <c r="C543" s="24" t="s">
        <v>1349</v>
      </c>
      <c r="D543" s="24">
        <v>48</v>
      </c>
      <c r="E543" s="24">
        <v>44</v>
      </c>
    </row>
    <row r="544" spans="1:5" x14ac:dyDescent="0.25">
      <c r="A544" s="24">
        <v>543</v>
      </c>
      <c r="B544" s="24">
        <v>524395</v>
      </c>
      <c r="C544" s="24" t="s">
        <v>1350</v>
      </c>
      <c r="D544" s="24">
        <v>62</v>
      </c>
      <c r="E544" s="24">
        <v>58</v>
      </c>
    </row>
    <row r="545" spans="1:5" x14ac:dyDescent="0.25">
      <c r="A545" s="24">
        <v>544</v>
      </c>
      <c r="B545" s="24">
        <v>512257</v>
      </c>
      <c r="C545" s="24" t="s">
        <v>1351</v>
      </c>
      <c r="D545" s="24">
        <v>37</v>
      </c>
      <c r="E545" s="24">
        <v>33</v>
      </c>
    </row>
    <row r="546" spans="1:5" x14ac:dyDescent="0.25">
      <c r="A546" s="24">
        <v>545</v>
      </c>
      <c r="B546" s="24">
        <v>526690</v>
      </c>
      <c r="C546" s="24" t="s">
        <v>1352</v>
      </c>
      <c r="D546" s="24">
        <v>65</v>
      </c>
      <c r="E546" s="24">
        <v>61</v>
      </c>
    </row>
    <row r="547" spans="1:5" x14ac:dyDescent="0.25">
      <c r="A547" s="24">
        <v>546</v>
      </c>
      <c r="B547" s="24">
        <v>519154</v>
      </c>
      <c r="C547" s="24" t="s">
        <v>1353</v>
      </c>
      <c r="D547" s="24">
        <v>56</v>
      </c>
      <c r="E547" s="24">
        <v>52</v>
      </c>
    </row>
    <row r="548" spans="1:5" x14ac:dyDescent="0.25">
      <c r="A548" s="24">
        <v>547</v>
      </c>
      <c r="B548" s="24">
        <v>519162</v>
      </c>
      <c r="C548" s="24" t="s">
        <v>1354</v>
      </c>
      <c r="D548" s="24">
        <v>56</v>
      </c>
      <c r="E548" s="24">
        <v>52</v>
      </c>
    </row>
    <row r="549" spans="1:5" x14ac:dyDescent="0.25">
      <c r="A549" s="24">
        <v>548</v>
      </c>
      <c r="B549" s="24">
        <v>524409</v>
      </c>
      <c r="C549" s="24" t="s">
        <v>1355</v>
      </c>
      <c r="D549" s="24">
        <v>62</v>
      </c>
      <c r="E549" s="24">
        <v>58</v>
      </c>
    </row>
    <row r="550" spans="1:5" x14ac:dyDescent="0.25">
      <c r="A550" s="24">
        <v>549</v>
      </c>
      <c r="B550" s="24">
        <v>524417</v>
      </c>
      <c r="C550" s="24" t="s">
        <v>1356</v>
      </c>
      <c r="D550" s="24">
        <v>62</v>
      </c>
      <c r="E550" s="24">
        <v>58</v>
      </c>
    </row>
    <row r="551" spans="1:5" x14ac:dyDescent="0.25">
      <c r="A551" s="24">
        <v>550</v>
      </c>
      <c r="B551" s="24">
        <v>501573</v>
      </c>
      <c r="C551" s="24" t="s">
        <v>1357</v>
      </c>
      <c r="D551" s="24">
        <v>9</v>
      </c>
      <c r="E551" s="24">
        <v>5</v>
      </c>
    </row>
    <row r="552" spans="1:5" x14ac:dyDescent="0.25">
      <c r="A552" s="24">
        <v>551</v>
      </c>
      <c r="B552" s="24">
        <v>519171</v>
      </c>
      <c r="C552" s="24" t="s">
        <v>1358</v>
      </c>
      <c r="D552" s="24">
        <v>56</v>
      </c>
      <c r="E552" s="24">
        <v>52</v>
      </c>
    </row>
    <row r="553" spans="1:5" x14ac:dyDescent="0.25">
      <c r="A553" s="24">
        <v>552</v>
      </c>
      <c r="B553" s="24">
        <v>507890</v>
      </c>
      <c r="C553" s="24" t="s">
        <v>1359</v>
      </c>
      <c r="D553" s="24">
        <v>6</v>
      </c>
      <c r="E553" s="24">
        <v>1</v>
      </c>
    </row>
    <row r="554" spans="1:5" x14ac:dyDescent="0.25">
      <c r="A554" s="24">
        <v>553</v>
      </c>
      <c r="B554" s="24">
        <v>503665</v>
      </c>
      <c r="C554" s="24" t="s">
        <v>1360</v>
      </c>
      <c r="D554" s="24">
        <v>10</v>
      </c>
      <c r="E554" s="24">
        <v>6</v>
      </c>
    </row>
    <row r="555" spans="1:5" x14ac:dyDescent="0.25">
      <c r="A555" s="24">
        <v>554</v>
      </c>
      <c r="B555" s="24">
        <v>510416</v>
      </c>
      <c r="C555" s="24" t="s">
        <v>1363</v>
      </c>
      <c r="D555" s="24">
        <v>36</v>
      </c>
      <c r="E555" s="24">
        <v>32</v>
      </c>
    </row>
    <row r="556" spans="1:5" x14ac:dyDescent="0.25">
      <c r="A556" s="24">
        <v>555</v>
      </c>
      <c r="B556" s="24">
        <v>503762</v>
      </c>
      <c r="C556" s="24" t="s">
        <v>1365</v>
      </c>
      <c r="D556" s="24">
        <v>10</v>
      </c>
      <c r="E556" s="24">
        <v>6</v>
      </c>
    </row>
    <row r="557" spans="1:5" x14ac:dyDescent="0.25">
      <c r="A557" s="24">
        <v>556</v>
      </c>
      <c r="B557" s="24">
        <v>523437</v>
      </c>
      <c r="C557" s="24" t="s">
        <v>1367</v>
      </c>
      <c r="D557" s="24">
        <v>61</v>
      </c>
      <c r="E557" s="24">
        <v>57</v>
      </c>
    </row>
    <row r="558" spans="1:5" x14ac:dyDescent="0.25">
      <c r="A558" s="24">
        <v>557</v>
      </c>
      <c r="B558" s="24">
        <v>517551</v>
      </c>
      <c r="C558" s="24" t="s">
        <v>1368</v>
      </c>
      <c r="D558" s="24">
        <v>42</v>
      </c>
      <c r="E558" s="24">
        <v>38</v>
      </c>
    </row>
    <row r="559" spans="1:5" x14ac:dyDescent="0.25">
      <c r="A559" s="24">
        <v>558</v>
      </c>
      <c r="B559" s="24">
        <v>503185</v>
      </c>
      <c r="C559" s="24" t="s">
        <v>1369</v>
      </c>
      <c r="D559" s="24">
        <v>28</v>
      </c>
      <c r="E559" s="24">
        <v>24</v>
      </c>
    </row>
    <row r="560" spans="1:5" x14ac:dyDescent="0.25">
      <c r="A560" s="24">
        <v>559</v>
      </c>
      <c r="B560" s="24">
        <v>504351</v>
      </c>
      <c r="C560" s="24" t="s">
        <v>1370</v>
      </c>
      <c r="D560" s="24">
        <v>14</v>
      </c>
      <c r="E560" s="24">
        <v>10</v>
      </c>
    </row>
    <row r="561" spans="1:5" x14ac:dyDescent="0.25">
      <c r="A561" s="24">
        <v>560</v>
      </c>
      <c r="B561" s="24">
        <v>521370</v>
      </c>
      <c r="C561" s="24" t="s">
        <v>1371</v>
      </c>
      <c r="D561" s="24">
        <v>74</v>
      </c>
      <c r="E561" s="24">
        <v>66</v>
      </c>
    </row>
    <row r="562" spans="1:5" x14ac:dyDescent="0.25">
      <c r="A562" s="24">
        <v>561</v>
      </c>
      <c r="B562" s="24">
        <v>526509</v>
      </c>
      <c r="C562" s="24" t="s">
        <v>1372</v>
      </c>
      <c r="D562" s="24">
        <v>69</v>
      </c>
      <c r="E562" s="24">
        <v>65</v>
      </c>
    </row>
    <row r="563" spans="1:5" x14ac:dyDescent="0.25">
      <c r="A563" s="24">
        <v>562</v>
      </c>
      <c r="B563" s="24">
        <v>514721</v>
      </c>
      <c r="C563" s="24" t="s">
        <v>1373</v>
      </c>
      <c r="D563" s="24">
        <v>50</v>
      </c>
      <c r="E563" s="24">
        <v>46</v>
      </c>
    </row>
    <row r="564" spans="1:5" x14ac:dyDescent="0.25">
      <c r="A564" s="24">
        <v>563</v>
      </c>
      <c r="B564" s="24">
        <v>514730</v>
      </c>
      <c r="C564" s="24" t="s">
        <v>1374</v>
      </c>
      <c r="D564" s="24">
        <v>51</v>
      </c>
      <c r="E564" s="24">
        <v>47</v>
      </c>
    </row>
    <row r="565" spans="1:5" x14ac:dyDescent="0.25">
      <c r="A565" s="24">
        <v>564</v>
      </c>
      <c r="B565" s="24">
        <v>525651</v>
      </c>
      <c r="C565" s="24" t="s">
        <v>1375</v>
      </c>
      <c r="D565" s="24">
        <v>76</v>
      </c>
      <c r="E565" s="24">
        <v>68</v>
      </c>
    </row>
    <row r="566" spans="1:5" x14ac:dyDescent="0.25">
      <c r="A566" s="24">
        <v>565</v>
      </c>
      <c r="B566" s="24">
        <v>514748</v>
      </c>
      <c r="C566" s="24" t="s">
        <v>1376</v>
      </c>
      <c r="D566" s="24">
        <v>76</v>
      </c>
      <c r="E566" s="24">
        <v>68</v>
      </c>
    </row>
    <row r="567" spans="1:5" x14ac:dyDescent="0.25">
      <c r="A567" s="24">
        <v>566</v>
      </c>
      <c r="B567" s="24">
        <v>525669</v>
      </c>
      <c r="C567" s="24" t="s">
        <v>1377</v>
      </c>
      <c r="D567" s="24">
        <v>76</v>
      </c>
      <c r="E567" s="24">
        <v>68</v>
      </c>
    </row>
    <row r="568" spans="1:5" x14ac:dyDescent="0.25">
      <c r="A568" s="24">
        <v>567</v>
      </c>
      <c r="B568" s="24">
        <v>514756</v>
      </c>
      <c r="C568" s="24" t="s">
        <v>1378</v>
      </c>
      <c r="D568" s="24">
        <v>50</v>
      </c>
      <c r="E568" s="24">
        <v>46</v>
      </c>
    </row>
    <row r="569" spans="1:5" x14ac:dyDescent="0.25">
      <c r="A569" s="24">
        <v>568</v>
      </c>
      <c r="B569" s="24">
        <v>514764</v>
      </c>
      <c r="C569" s="24" t="s">
        <v>1379</v>
      </c>
      <c r="D569" s="24">
        <v>51</v>
      </c>
      <c r="E569" s="24">
        <v>47</v>
      </c>
    </row>
    <row r="570" spans="1:5" x14ac:dyDescent="0.25">
      <c r="A570" s="24">
        <v>569</v>
      </c>
      <c r="B570" s="24">
        <v>557889</v>
      </c>
      <c r="C570" s="24" t="s">
        <v>1380</v>
      </c>
      <c r="D570" s="24">
        <v>51</v>
      </c>
      <c r="E570" s="24">
        <v>47</v>
      </c>
    </row>
    <row r="571" spans="1:5" x14ac:dyDescent="0.25">
      <c r="A571" s="24">
        <v>570</v>
      </c>
      <c r="B571" s="24">
        <v>525677</v>
      </c>
      <c r="C571" s="24" t="s">
        <v>4170</v>
      </c>
      <c r="D571" s="24">
        <v>50</v>
      </c>
      <c r="E571" s="24">
        <v>46</v>
      </c>
    </row>
    <row r="572" spans="1:5" x14ac:dyDescent="0.25">
      <c r="A572" s="24">
        <v>571</v>
      </c>
      <c r="B572" s="24">
        <v>514781</v>
      </c>
      <c r="C572" s="24" t="s">
        <v>1383</v>
      </c>
      <c r="D572" s="24">
        <v>51</v>
      </c>
      <c r="E572" s="24">
        <v>47</v>
      </c>
    </row>
    <row r="573" spans="1:5" x14ac:dyDescent="0.25">
      <c r="A573" s="24">
        <v>572</v>
      </c>
      <c r="B573" s="24">
        <v>525685</v>
      </c>
      <c r="C573" s="24" t="s">
        <v>4171</v>
      </c>
      <c r="D573" s="24">
        <v>50</v>
      </c>
      <c r="E573" s="24">
        <v>46</v>
      </c>
    </row>
    <row r="574" spans="1:5" x14ac:dyDescent="0.25">
      <c r="A574" s="24">
        <v>573</v>
      </c>
      <c r="B574" s="24">
        <v>524425</v>
      </c>
      <c r="C574" s="24" t="s">
        <v>1386</v>
      </c>
      <c r="D574" s="24">
        <v>62</v>
      </c>
      <c r="E574" s="24">
        <v>58</v>
      </c>
    </row>
    <row r="575" spans="1:5" x14ac:dyDescent="0.25">
      <c r="A575" s="24">
        <v>574</v>
      </c>
      <c r="B575" s="24">
        <v>519189</v>
      </c>
      <c r="C575" s="24" t="s">
        <v>1387</v>
      </c>
      <c r="D575" s="24">
        <v>56</v>
      </c>
      <c r="E575" s="24">
        <v>52</v>
      </c>
    </row>
    <row r="576" spans="1:5" x14ac:dyDescent="0.25">
      <c r="A576" s="24">
        <v>575</v>
      </c>
      <c r="B576" s="24">
        <v>523445</v>
      </c>
      <c r="C576" s="24" t="s">
        <v>1387</v>
      </c>
      <c r="D576" s="24">
        <v>61</v>
      </c>
      <c r="E576" s="24">
        <v>57</v>
      </c>
    </row>
    <row r="577" spans="1:5" x14ac:dyDescent="0.25">
      <c r="A577" s="24">
        <v>576</v>
      </c>
      <c r="B577" s="24">
        <v>544191</v>
      </c>
      <c r="C577" s="24" t="s">
        <v>1388</v>
      </c>
      <c r="D577" s="24">
        <v>68</v>
      </c>
      <c r="E577" s="24">
        <v>64</v>
      </c>
    </row>
    <row r="578" spans="1:5" x14ac:dyDescent="0.25">
      <c r="A578" s="24">
        <v>577</v>
      </c>
      <c r="B578" s="24">
        <v>519197</v>
      </c>
      <c r="C578" s="24" t="s">
        <v>1389</v>
      </c>
      <c r="D578" s="24">
        <v>67</v>
      </c>
      <c r="E578" s="24">
        <v>63</v>
      </c>
    </row>
    <row r="579" spans="1:5" x14ac:dyDescent="0.25">
      <c r="A579" s="24">
        <v>578</v>
      </c>
      <c r="B579" s="24">
        <v>544205</v>
      </c>
      <c r="C579" s="24" t="s">
        <v>1390</v>
      </c>
      <c r="D579" s="24">
        <v>68</v>
      </c>
      <c r="E579" s="24">
        <v>64</v>
      </c>
    </row>
    <row r="580" spans="1:5" x14ac:dyDescent="0.25">
      <c r="A580" s="24">
        <v>579</v>
      </c>
      <c r="B580" s="24">
        <v>516007</v>
      </c>
      <c r="C580" s="24" t="s">
        <v>1391</v>
      </c>
      <c r="D580" s="24">
        <v>52</v>
      </c>
      <c r="E580" s="24">
        <v>48</v>
      </c>
    </row>
    <row r="581" spans="1:5" x14ac:dyDescent="0.25">
      <c r="A581" s="24">
        <v>580</v>
      </c>
      <c r="B581" s="24">
        <v>525693</v>
      </c>
      <c r="C581" s="24" t="s">
        <v>1392</v>
      </c>
      <c r="D581" s="24">
        <v>76</v>
      </c>
      <c r="E581" s="24">
        <v>68</v>
      </c>
    </row>
    <row r="582" spans="1:5" x14ac:dyDescent="0.25">
      <c r="A582" s="24">
        <v>581</v>
      </c>
      <c r="B582" s="24">
        <v>525707</v>
      </c>
      <c r="C582" s="24" t="s">
        <v>1393</v>
      </c>
      <c r="D582" s="24">
        <v>76</v>
      </c>
      <c r="E582" s="24">
        <v>68</v>
      </c>
    </row>
    <row r="583" spans="1:5" x14ac:dyDescent="0.25">
      <c r="A583" s="24">
        <v>582</v>
      </c>
      <c r="B583" s="24">
        <v>500232</v>
      </c>
      <c r="C583" s="24" t="s">
        <v>1394</v>
      </c>
      <c r="D583" s="24">
        <v>27</v>
      </c>
      <c r="E583" s="24">
        <v>23</v>
      </c>
    </row>
    <row r="584" spans="1:5" x14ac:dyDescent="0.25">
      <c r="A584" s="24">
        <v>583</v>
      </c>
      <c r="B584" s="24">
        <v>514799</v>
      </c>
      <c r="C584" s="24" t="s">
        <v>1396</v>
      </c>
      <c r="D584" s="24">
        <v>51</v>
      </c>
      <c r="E584" s="24">
        <v>47</v>
      </c>
    </row>
    <row r="585" spans="1:5" x14ac:dyDescent="0.25">
      <c r="A585" s="24">
        <v>584</v>
      </c>
      <c r="B585" s="24">
        <v>510424</v>
      </c>
      <c r="C585" s="24" t="s">
        <v>1399</v>
      </c>
      <c r="D585" s="24">
        <v>36</v>
      </c>
      <c r="E585" s="24">
        <v>32</v>
      </c>
    </row>
    <row r="586" spans="1:5" x14ac:dyDescent="0.25">
      <c r="A586" s="24">
        <v>585</v>
      </c>
      <c r="B586" s="24">
        <v>526517</v>
      </c>
      <c r="C586" s="24" t="s">
        <v>1400</v>
      </c>
      <c r="D586" s="24">
        <v>59</v>
      </c>
      <c r="E586" s="24">
        <v>55</v>
      </c>
    </row>
    <row r="587" spans="1:5" x14ac:dyDescent="0.25">
      <c r="A587" s="24">
        <v>586</v>
      </c>
      <c r="B587" s="24">
        <v>557331</v>
      </c>
      <c r="C587" s="24" t="s">
        <v>1401</v>
      </c>
      <c r="D587" s="24">
        <v>48</v>
      </c>
      <c r="E587" s="24">
        <v>44</v>
      </c>
    </row>
    <row r="588" spans="1:5" x14ac:dyDescent="0.25">
      <c r="A588" s="24">
        <v>587</v>
      </c>
      <c r="B588" s="24">
        <v>524433</v>
      </c>
      <c r="C588" s="24" t="s">
        <v>1402</v>
      </c>
      <c r="D588" s="24">
        <v>62</v>
      </c>
      <c r="E588" s="24">
        <v>58</v>
      </c>
    </row>
    <row r="589" spans="1:5" x14ac:dyDescent="0.25">
      <c r="A589" s="24">
        <v>588</v>
      </c>
      <c r="B589" s="24">
        <v>527289</v>
      </c>
      <c r="C589" s="24" t="s">
        <v>1403</v>
      </c>
      <c r="D589" s="24">
        <v>66</v>
      </c>
      <c r="E589" s="24">
        <v>62</v>
      </c>
    </row>
    <row r="590" spans="1:5" x14ac:dyDescent="0.25">
      <c r="A590" s="24">
        <v>589</v>
      </c>
      <c r="B590" s="24">
        <v>559644</v>
      </c>
      <c r="C590" s="24" t="s">
        <v>3251</v>
      </c>
      <c r="D590" s="24">
        <v>57</v>
      </c>
      <c r="E590" s="24">
        <v>53</v>
      </c>
    </row>
    <row r="591" spans="1:5" x14ac:dyDescent="0.25">
      <c r="A591" s="24">
        <v>590</v>
      </c>
      <c r="B591" s="24">
        <v>521388</v>
      </c>
      <c r="C591" s="24" t="s">
        <v>1404</v>
      </c>
      <c r="D591" s="24">
        <v>74</v>
      </c>
      <c r="E591" s="24">
        <v>66</v>
      </c>
    </row>
    <row r="592" spans="1:5" x14ac:dyDescent="0.25">
      <c r="A592" s="24">
        <v>591</v>
      </c>
      <c r="B592" s="24">
        <v>509655</v>
      </c>
      <c r="C592" s="24" t="s">
        <v>1405</v>
      </c>
      <c r="D592" s="24">
        <v>41</v>
      </c>
      <c r="E592" s="24">
        <v>37</v>
      </c>
    </row>
    <row r="593" spans="1:5" x14ac:dyDescent="0.25">
      <c r="A593" s="24">
        <v>592</v>
      </c>
      <c r="B593" s="24">
        <v>520187</v>
      </c>
      <c r="C593" s="24" t="s">
        <v>1406</v>
      </c>
      <c r="D593" s="24">
        <v>60</v>
      </c>
      <c r="E593" s="24">
        <v>56</v>
      </c>
    </row>
    <row r="594" spans="1:5" x14ac:dyDescent="0.25">
      <c r="A594" s="24">
        <v>593</v>
      </c>
      <c r="B594" s="24">
        <v>521396</v>
      </c>
      <c r="C594" s="24" t="s">
        <v>1407</v>
      </c>
      <c r="D594" s="24">
        <v>74</v>
      </c>
      <c r="E594" s="24">
        <v>72</v>
      </c>
    </row>
    <row r="595" spans="1:5" x14ac:dyDescent="0.25">
      <c r="A595" s="24">
        <v>594</v>
      </c>
      <c r="B595" s="24">
        <v>512265</v>
      </c>
      <c r="C595" s="24" t="s">
        <v>1409</v>
      </c>
      <c r="D595" s="24">
        <v>40</v>
      </c>
      <c r="E595" s="24">
        <v>36</v>
      </c>
    </row>
    <row r="596" spans="1:5" x14ac:dyDescent="0.25">
      <c r="A596" s="24">
        <v>595</v>
      </c>
      <c r="B596" s="24">
        <v>518123</v>
      </c>
      <c r="C596" s="24" t="s">
        <v>1409</v>
      </c>
      <c r="D596" s="24">
        <v>74</v>
      </c>
      <c r="E596" s="24">
        <v>72</v>
      </c>
    </row>
    <row r="597" spans="1:5" x14ac:dyDescent="0.25">
      <c r="A597" s="24">
        <v>596</v>
      </c>
      <c r="B597" s="24">
        <v>542881</v>
      </c>
      <c r="C597" s="24" t="s">
        <v>1410</v>
      </c>
      <c r="D597" s="24">
        <v>30</v>
      </c>
      <c r="E597" s="24">
        <v>26</v>
      </c>
    </row>
    <row r="598" spans="1:5" x14ac:dyDescent="0.25">
      <c r="A598" s="24">
        <v>597</v>
      </c>
      <c r="B598" s="24">
        <v>514811</v>
      </c>
      <c r="C598" s="24" t="s">
        <v>1411</v>
      </c>
      <c r="D598" s="24">
        <v>51</v>
      </c>
      <c r="E598" s="24">
        <v>47</v>
      </c>
    </row>
    <row r="599" spans="1:5" x14ac:dyDescent="0.25">
      <c r="A599" s="24">
        <v>598</v>
      </c>
      <c r="B599" s="24">
        <v>500241</v>
      </c>
      <c r="C599" s="24" t="s">
        <v>1412</v>
      </c>
      <c r="D599" s="24">
        <v>29</v>
      </c>
      <c r="E599" s="24">
        <v>25</v>
      </c>
    </row>
    <row r="600" spans="1:5" x14ac:dyDescent="0.25">
      <c r="A600" s="24">
        <v>599</v>
      </c>
      <c r="B600" s="24">
        <v>526703</v>
      </c>
      <c r="C600" s="24" t="s">
        <v>1413</v>
      </c>
      <c r="D600" s="24">
        <v>65</v>
      </c>
      <c r="E600" s="24">
        <v>61</v>
      </c>
    </row>
    <row r="601" spans="1:5" x14ac:dyDescent="0.25">
      <c r="A601" s="24">
        <v>600</v>
      </c>
      <c r="B601" s="24">
        <v>542890</v>
      </c>
      <c r="C601" s="24" t="s">
        <v>1414</v>
      </c>
      <c r="D601" s="24">
        <v>16</v>
      </c>
      <c r="E601" s="24">
        <v>12</v>
      </c>
    </row>
    <row r="602" spans="1:5" x14ac:dyDescent="0.25">
      <c r="A602" s="24">
        <v>601</v>
      </c>
      <c r="B602" s="24">
        <v>511421</v>
      </c>
      <c r="C602" s="24" t="s">
        <v>1416</v>
      </c>
      <c r="D602" s="24">
        <v>48</v>
      </c>
      <c r="E602" s="24">
        <v>44</v>
      </c>
    </row>
    <row r="603" spans="1:5" x14ac:dyDescent="0.25">
      <c r="A603" s="24">
        <v>602</v>
      </c>
      <c r="B603" s="24">
        <v>526711</v>
      </c>
      <c r="C603" s="24" t="s">
        <v>1417</v>
      </c>
      <c r="D603" s="24">
        <v>65</v>
      </c>
      <c r="E603" s="24">
        <v>61</v>
      </c>
    </row>
    <row r="604" spans="1:5" x14ac:dyDescent="0.25">
      <c r="A604" s="24">
        <v>603</v>
      </c>
      <c r="B604" s="24">
        <v>556424</v>
      </c>
      <c r="C604" s="24" t="s">
        <v>925</v>
      </c>
      <c r="D604" s="24">
        <v>19</v>
      </c>
      <c r="E604" s="24">
        <v>15</v>
      </c>
    </row>
    <row r="605" spans="1:5" x14ac:dyDescent="0.25">
      <c r="A605" s="24">
        <v>604</v>
      </c>
      <c r="B605" s="24">
        <v>507903</v>
      </c>
      <c r="C605" s="24" t="s">
        <v>1419</v>
      </c>
      <c r="D605" s="24">
        <v>8</v>
      </c>
      <c r="E605" s="24">
        <v>3</v>
      </c>
    </row>
    <row r="606" spans="1:5" x14ac:dyDescent="0.25">
      <c r="A606" s="24">
        <v>605</v>
      </c>
      <c r="B606" s="24">
        <v>513997</v>
      </c>
      <c r="C606" s="24" t="s">
        <v>1420</v>
      </c>
      <c r="D606" s="24">
        <v>22</v>
      </c>
      <c r="E606" s="24">
        <v>18</v>
      </c>
    </row>
    <row r="607" spans="1:5" x14ac:dyDescent="0.25">
      <c r="A607" s="24">
        <v>606</v>
      </c>
      <c r="B607" s="24">
        <v>524441</v>
      </c>
      <c r="C607" s="24" t="s">
        <v>1421</v>
      </c>
      <c r="D607" s="24">
        <v>63</v>
      </c>
      <c r="E607" s="24">
        <v>59</v>
      </c>
    </row>
    <row r="608" spans="1:5" x14ac:dyDescent="0.25">
      <c r="A608" s="24">
        <v>607</v>
      </c>
      <c r="B608" s="24">
        <v>518522</v>
      </c>
      <c r="C608" s="24" t="s">
        <v>1422</v>
      </c>
      <c r="D608" s="24">
        <v>62</v>
      </c>
      <c r="E608" s="24">
        <v>58</v>
      </c>
    </row>
    <row r="609" spans="1:5" x14ac:dyDescent="0.25">
      <c r="A609" s="24">
        <v>608</v>
      </c>
      <c r="B609" s="24">
        <v>521400</v>
      </c>
      <c r="C609" s="24" t="s">
        <v>1422</v>
      </c>
      <c r="D609" s="24">
        <v>74</v>
      </c>
      <c r="E609" s="24">
        <v>66</v>
      </c>
    </row>
    <row r="610" spans="1:5" x14ac:dyDescent="0.25">
      <c r="A610" s="24">
        <v>609</v>
      </c>
      <c r="B610" s="24">
        <v>525715</v>
      </c>
      <c r="C610" s="24" t="s">
        <v>1423</v>
      </c>
      <c r="D610" s="24">
        <v>76</v>
      </c>
      <c r="E610" s="24">
        <v>68</v>
      </c>
    </row>
    <row r="611" spans="1:5" x14ac:dyDescent="0.25">
      <c r="A611" s="24">
        <v>610</v>
      </c>
      <c r="B611" s="24">
        <v>519201</v>
      </c>
      <c r="C611" s="24" t="s">
        <v>1424</v>
      </c>
      <c r="D611" s="24">
        <v>56</v>
      </c>
      <c r="E611" s="24">
        <v>52</v>
      </c>
    </row>
    <row r="612" spans="1:5" x14ac:dyDescent="0.25">
      <c r="A612" s="24">
        <v>611</v>
      </c>
      <c r="B612" s="24">
        <v>520195</v>
      </c>
      <c r="C612" s="24" t="s">
        <v>1424</v>
      </c>
      <c r="D612" s="24">
        <v>57</v>
      </c>
      <c r="E612" s="24">
        <v>53</v>
      </c>
    </row>
    <row r="613" spans="1:5" x14ac:dyDescent="0.25">
      <c r="A613" s="24">
        <v>612</v>
      </c>
      <c r="B613" s="24">
        <v>544213</v>
      </c>
      <c r="C613" s="24" t="s">
        <v>1425</v>
      </c>
      <c r="D613" s="24">
        <v>68</v>
      </c>
      <c r="E613" s="24">
        <v>64</v>
      </c>
    </row>
    <row r="614" spans="1:5" x14ac:dyDescent="0.25">
      <c r="A614" s="24">
        <v>613</v>
      </c>
      <c r="B614" s="24">
        <v>526525</v>
      </c>
      <c r="C614" s="24" t="s">
        <v>1426</v>
      </c>
      <c r="D614" s="24">
        <v>59</v>
      </c>
      <c r="E614" s="24">
        <v>55</v>
      </c>
    </row>
    <row r="615" spans="1:5" x14ac:dyDescent="0.25">
      <c r="A615" s="24">
        <v>614</v>
      </c>
      <c r="B615" s="24">
        <v>519219</v>
      </c>
      <c r="C615" s="24" t="s">
        <v>1427</v>
      </c>
      <c r="D615" s="24">
        <v>56</v>
      </c>
      <c r="E615" s="24">
        <v>52</v>
      </c>
    </row>
    <row r="616" spans="1:5" x14ac:dyDescent="0.25">
      <c r="A616" s="24">
        <v>615</v>
      </c>
      <c r="B616" s="24">
        <v>526533</v>
      </c>
      <c r="C616" s="24" t="s">
        <v>1428</v>
      </c>
      <c r="D616" s="24">
        <v>78</v>
      </c>
      <c r="E616" s="24">
        <v>70</v>
      </c>
    </row>
    <row r="617" spans="1:5" x14ac:dyDescent="0.25">
      <c r="A617" s="24">
        <v>616</v>
      </c>
      <c r="B617" s="24">
        <v>508594</v>
      </c>
      <c r="C617" s="24" t="s">
        <v>1429</v>
      </c>
      <c r="D617" s="24">
        <v>43</v>
      </c>
      <c r="E617" s="24">
        <v>39</v>
      </c>
    </row>
    <row r="618" spans="1:5" x14ac:dyDescent="0.25">
      <c r="A618" s="24">
        <v>617</v>
      </c>
      <c r="B618" s="24">
        <v>522431</v>
      </c>
      <c r="C618" s="24" t="s">
        <v>1431</v>
      </c>
      <c r="D618" s="24">
        <v>75</v>
      </c>
      <c r="E618" s="24">
        <v>67</v>
      </c>
    </row>
    <row r="619" spans="1:5" x14ac:dyDescent="0.25">
      <c r="A619" s="24">
        <v>618</v>
      </c>
      <c r="B619" s="24">
        <v>557510</v>
      </c>
      <c r="C619" s="24" t="s">
        <v>1432</v>
      </c>
      <c r="D619" s="24">
        <v>21</v>
      </c>
      <c r="E619" s="24">
        <v>17</v>
      </c>
    </row>
    <row r="620" spans="1:5" x14ac:dyDescent="0.25">
      <c r="A620" s="24">
        <v>619</v>
      </c>
      <c r="B620" s="24">
        <v>527297</v>
      </c>
      <c r="C620" s="24" t="s">
        <v>1433</v>
      </c>
      <c r="D620" s="24">
        <v>66</v>
      </c>
      <c r="E620" s="24">
        <v>62</v>
      </c>
    </row>
    <row r="621" spans="1:5" x14ac:dyDescent="0.25">
      <c r="A621" s="24">
        <v>620</v>
      </c>
      <c r="B621" s="24">
        <v>523461</v>
      </c>
      <c r="C621" s="24" t="s">
        <v>1434</v>
      </c>
      <c r="D621" s="24">
        <v>58</v>
      </c>
      <c r="E621" s="24">
        <v>54</v>
      </c>
    </row>
    <row r="622" spans="1:5" x14ac:dyDescent="0.25">
      <c r="A622" s="24">
        <v>621</v>
      </c>
      <c r="B622" s="24">
        <v>527301</v>
      </c>
      <c r="C622" s="24" t="s">
        <v>1435</v>
      </c>
      <c r="D622" s="24">
        <v>67</v>
      </c>
      <c r="E622" s="24">
        <v>63</v>
      </c>
    </row>
    <row r="623" spans="1:5" x14ac:dyDescent="0.25">
      <c r="A623" s="24">
        <v>622</v>
      </c>
      <c r="B623" s="24">
        <v>522449</v>
      </c>
      <c r="C623" s="24" t="s">
        <v>1436</v>
      </c>
      <c r="D623" s="24">
        <v>75</v>
      </c>
      <c r="E623" s="24">
        <v>67</v>
      </c>
    </row>
    <row r="624" spans="1:5" x14ac:dyDescent="0.25">
      <c r="A624" s="24">
        <v>623</v>
      </c>
      <c r="B624" s="24">
        <v>559598</v>
      </c>
      <c r="C624" s="24" t="s">
        <v>1818</v>
      </c>
      <c r="D624" s="24">
        <v>57</v>
      </c>
      <c r="E624" s="24">
        <v>53</v>
      </c>
    </row>
    <row r="625" spans="1:5" x14ac:dyDescent="0.25">
      <c r="A625" s="24">
        <v>624</v>
      </c>
      <c r="B625" s="24">
        <v>519227</v>
      </c>
      <c r="C625" s="24" t="s">
        <v>1437</v>
      </c>
      <c r="D625" s="24">
        <v>56</v>
      </c>
      <c r="E625" s="24">
        <v>52</v>
      </c>
    </row>
    <row r="626" spans="1:5" x14ac:dyDescent="0.25">
      <c r="A626" s="24">
        <v>625</v>
      </c>
      <c r="B626" s="24">
        <v>526541</v>
      </c>
      <c r="C626" s="24" t="s">
        <v>1438</v>
      </c>
      <c r="D626" s="24">
        <v>69</v>
      </c>
      <c r="E626" s="24">
        <v>65</v>
      </c>
    </row>
    <row r="627" spans="1:5" x14ac:dyDescent="0.25">
      <c r="A627" s="24">
        <v>626</v>
      </c>
      <c r="B627" s="24">
        <v>508608</v>
      </c>
      <c r="C627" s="24" t="s">
        <v>1439</v>
      </c>
      <c r="D627" s="24">
        <v>45</v>
      </c>
      <c r="E627" s="24">
        <v>41</v>
      </c>
    </row>
    <row r="628" spans="1:5" x14ac:dyDescent="0.25">
      <c r="A628" s="24">
        <v>627</v>
      </c>
      <c r="B628" s="24">
        <v>525723</v>
      </c>
      <c r="C628" s="24" t="s">
        <v>1440</v>
      </c>
      <c r="D628" s="24">
        <v>76</v>
      </c>
      <c r="E628" s="24">
        <v>68</v>
      </c>
    </row>
    <row r="629" spans="1:5" x14ac:dyDescent="0.25">
      <c r="A629" s="24">
        <v>628</v>
      </c>
      <c r="B629" s="24">
        <v>526550</v>
      </c>
      <c r="C629" s="24" t="s">
        <v>1441</v>
      </c>
      <c r="D629" s="24">
        <v>69</v>
      </c>
      <c r="E629" s="24">
        <v>65</v>
      </c>
    </row>
    <row r="630" spans="1:5" x14ac:dyDescent="0.25">
      <c r="A630" s="24">
        <v>629</v>
      </c>
      <c r="B630" s="24">
        <v>581674</v>
      </c>
      <c r="C630" s="24" t="s">
        <v>1442</v>
      </c>
      <c r="D630" s="24">
        <v>68</v>
      </c>
      <c r="E630" s="24">
        <v>64</v>
      </c>
    </row>
    <row r="631" spans="1:5" x14ac:dyDescent="0.25">
      <c r="A631" s="24">
        <v>630</v>
      </c>
      <c r="B631" s="24">
        <v>524450</v>
      </c>
      <c r="C631" s="24" t="s">
        <v>1443</v>
      </c>
      <c r="D631" s="24">
        <v>62</v>
      </c>
      <c r="E631" s="24">
        <v>58</v>
      </c>
    </row>
    <row r="632" spans="1:5" x14ac:dyDescent="0.25">
      <c r="A632" s="24">
        <v>631</v>
      </c>
      <c r="B632" s="24">
        <v>521418</v>
      </c>
      <c r="C632" s="24" t="s">
        <v>1444</v>
      </c>
      <c r="D632" s="24">
        <v>74</v>
      </c>
      <c r="E632" s="24">
        <v>66</v>
      </c>
    </row>
    <row r="633" spans="1:5" x14ac:dyDescent="0.25">
      <c r="A633" s="24">
        <v>632</v>
      </c>
      <c r="B633" s="24">
        <v>524468</v>
      </c>
      <c r="C633" s="24" t="s">
        <v>1446</v>
      </c>
      <c r="D633" s="24">
        <v>62</v>
      </c>
      <c r="E633" s="24">
        <v>58</v>
      </c>
    </row>
    <row r="634" spans="1:5" x14ac:dyDescent="0.25">
      <c r="A634" s="24">
        <v>633</v>
      </c>
      <c r="B634" s="24">
        <v>544221</v>
      </c>
      <c r="C634" s="24" t="s">
        <v>1447</v>
      </c>
      <c r="D634" s="24">
        <v>68</v>
      </c>
      <c r="E634" s="24">
        <v>64</v>
      </c>
    </row>
    <row r="635" spans="1:5" x14ac:dyDescent="0.25">
      <c r="A635" s="24">
        <v>634</v>
      </c>
      <c r="B635" s="24">
        <v>519235</v>
      </c>
      <c r="C635" s="24" t="s">
        <v>1448</v>
      </c>
      <c r="D635" s="24">
        <v>56</v>
      </c>
      <c r="E635" s="24">
        <v>52</v>
      </c>
    </row>
    <row r="636" spans="1:5" x14ac:dyDescent="0.25">
      <c r="A636" s="24">
        <v>635</v>
      </c>
      <c r="B636" s="24">
        <v>519243</v>
      </c>
      <c r="C636" s="24" t="s">
        <v>1449</v>
      </c>
      <c r="D636" s="24">
        <v>56</v>
      </c>
      <c r="E636" s="24">
        <v>52</v>
      </c>
    </row>
    <row r="637" spans="1:5" x14ac:dyDescent="0.25">
      <c r="A637" s="24">
        <v>636</v>
      </c>
      <c r="B637" s="24">
        <v>508616</v>
      </c>
      <c r="C637" s="24" t="s">
        <v>1450</v>
      </c>
      <c r="D637" s="24">
        <v>43</v>
      </c>
      <c r="E637" s="24">
        <v>39</v>
      </c>
    </row>
    <row r="638" spans="1:5" x14ac:dyDescent="0.25">
      <c r="A638" s="24">
        <v>637</v>
      </c>
      <c r="B638" s="24">
        <v>526568</v>
      </c>
      <c r="C638" s="24" t="s">
        <v>1451</v>
      </c>
      <c r="D638" s="24">
        <v>78</v>
      </c>
      <c r="E638" s="24">
        <v>70</v>
      </c>
    </row>
    <row r="639" spans="1:5" x14ac:dyDescent="0.25">
      <c r="A639" s="24">
        <v>638</v>
      </c>
      <c r="B639" s="24">
        <v>509663</v>
      </c>
      <c r="C639" s="24" t="s">
        <v>1452</v>
      </c>
      <c r="D639" s="24">
        <v>41</v>
      </c>
      <c r="E639" s="24">
        <v>37</v>
      </c>
    </row>
    <row r="640" spans="1:5" x14ac:dyDescent="0.25">
      <c r="A640" s="24">
        <v>639</v>
      </c>
      <c r="B640" s="24">
        <v>504360</v>
      </c>
      <c r="C640" s="24" t="s">
        <v>1453</v>
      </c>
      <c r="D640" s="24">
        <v>13</v>
      </c>
      <c r="E640" s="24">
        <v>9</v>
      </c>
    </row>
    <row r="641" spans="1:5" x14ac:dyDescent="0.25">
      <c r="A641" s="24">
        <v>640</v>
      </c>
      <c r="B641" s="24">
        <v>581984</v>
      </c>
      <c r="C641" s="24" t="s">
        <v>1454</v>
      </c>
      <c r="D641" s="24">
        <v>32</v>
      </c>
      <c r="E641" s="24">
        <v>28</v>
      </c>
    </row>
    <row r="642" spans="1:5" x14ac:dyDescent="0.25">
      <c r="A642" s="24">
        <v>641</v>
      </c>
      <c r="B642" s="24">
        <v>516767</v>
      </c>
      <c r="C642" s="24" t="s">
        <v>1455</v>
      </c>
      <c r="D642" s="24">
        <v>55</v>
      </c>
      <c r="E642" s="24">
        <v>51</v>
      </c>
    </row>
    <row r="643" spans="1:5" x14ac:dyDescent="0.25">
      <c r="A643" s="24">
        <v>642</v>
      </c>
      <c r="B643" s="24">
        <v>544230</v>
      </c>
      <c r="C643" s="24" t="s">
        <v>1456</v>
      </c>
      <c r="D643" s="24">
        <v>68</v>
      </c>
      <c r="E643" s="24">
        <v>64</v>
      </c>
    </row>
    <row r="644" spans="1:5" x14ac:dyDescent="0.25">
      <c r="A644" s="24">
        <v>643</v>
      </c>
      <c r="B644" s="24">
        <v>522457</v>
      </c>
      <c r="C644" s="24" t="s">
        <v>1457</v>
      </c>
      <c r="D644" s="24">
        <v>77</v>
      </c>
      <c r="E644" s="24">
        <v>69</v>
      </c>
    </row>
    <row r="645" spans="1:5" x14ac:dyDescent="0.25">
      <c r="A645" s="24">
        <v>644</v>
      </c>
      <c r="B645" s="24">
        <v>507032</v>
      </c>
      <c r="C645" s="24" t="s">
        <v>1458</v>
      </c>
      <c r="D645" s="24">
        <v>11</v>
      </c>
      <c r="E645" s="24">
        <v>7</v>
      </c>
    </row>
    <row r="646" spans="1:5" x14ac:dyDescent="0.25">
      <c r="A646" s="24">
        <v>645</v>
      </c>
      <c r="B646" s="24">
        <v>526720</v>
      </c>
      <c r="C646" s="24" t="s">
        <v>1460</v>
      </c>
      <c r="D646" s="24">
        <v>65</v>
      </c>
      <c r="E646" s="24">
        <v>61</v>
      </c>
    </row>
    <row r="647" spans="1:5" x14ac:dyDescent="0.25">
      <c r="A647" s="24">
        <v>646</v>
      </c>
      <c r="B647" s="24">
        <v>526576</v>
      </c>
      <c r="C647" s="24" t="s">
        <v>1461</v>
      </c>
      <c r="D647" s="24">
        <v>78</v>
      </c>
      <c r="E647" s="24">
        <v>70</v>
      </c>
    </row>
    <row r="648" spans="1:5" x14ac:dyDescent="0.25">
      <c r="A648" s="24">
        <v>647</v>
      </c>
      <c r="B648" s="24">
        <v>526584</v>
      </c>
      <c r="C648" s="24" t="s">
        <v>1462</v>
      </c>
      <c r="D648" s="24">
        <v>78</v>
      </c>
      <c r="E648" s="24">
        <v>70</v>
      </c>
    </row>
    <row r="649" spans="1:5" x14ac:dyDescent="0.25">
      <c r="A649" s="24">
        <v>648</v>
      </c>
      <c r="B649" s="24">
        <v>522465</v>
      </c>
      <c r="C649" s="24" t="s">
        <v>1463</v>
      </c>
      <c r="D649" s="24">
        <v>75</v>
      </c>
      <c r="E649" s="24">
        <v>67</v>
      </c>
    </row>
    <row r="650" spans="1:5" x14ac:dyDescent="0.25">
      <c r="A650" s="24">
        <v>649</v>
      </c>
      <c r="B650" s="24">
        <v>514829</v>
      </c>
      <c r="C650" s="24" t="s">
        <v>1464</v>
      </c>
      <c r="D650" s="24">
        <v>51</v>
      </c>
      <c r="E650" s="24">
        <v>47</v>
      </c>
    </row>
    <row r="651" spans="1:5" x14ac:dyDescent="0.25">
      <c r="A651" s="24">
        <v>650</v>
      </c>
      <c r="B651" s="24">
        <v>514837</v>
      </c>
      <c r="C651" s="24" t="s">
        <v>1465</v>
      </c>
      <c r="D651" s="24">
        <v>51</v>
      </c>
      <c r="E651" s="24">
        <v>47</v>
      </c>
    </row>
    <row r="652" spans="1:5" x14ac:dyDescent="0.25">
      <c r="A652" s="24">
        <v>651</v>
      </c>
      <c r="B652" s="24">
        <v>514845</v>
      </c>
      <c r="C652" s="24" t="s">
        <v>1466</v>
      </c>
      <c r="D652" s="24">
        <v>51</v>
      </c>
      <c r="E652" s="24">
        <v>47</v>
      </c>
    </row>
    <row r="653" spans="1:5" x14ac:dyDescent="0.25">
      <c r="A653" s="24">
        <v>652</v>
      </c>
      <c r="B653" s="24">
        <v>521426</v>
      </c>
      <c r="C653" s="24" t="s">
        <v>1467</v>
      </c>
      <c r="D653" s="24">
        <v>74</v>
      </c>
      <c r="E653" s="24">
        <v>66</v>
      </c>
    </row>
    <row r="654" spans="1:5" x14ac:dyDescent="0.25">
      <c r="A654" s="24">
        <v>653</v>
      </c>
      <c r="B654" s="24">
        <v>516759</v>
      </c>
      <c r="C654" s="24" t="s">
        <v>4172</v>
      </c>
      <c r="D654" s="24">
        <v>54</v>
      </c>
      <c r="E654" s="24">
        <v>50</v>
      </c>
    </row>
    <row r="655" spans="1:5" x14ac:dyDescent="0.25">
      <c r="A655" s="24">
        <v>654</v>
      </c>
      <c r="B655" s="24">
        <v>502243</v>
      </c>
      <c r="C655" s="24" t="s">
        <v>1468</v>
      </c>
      <c r="D655" s="24">
        <v>26</v>
      </c>
      <c r="E655" s="24">
        <v>22</v>
      </c>
    </row>
    <row r="656" spans="1:5" x14ac:dyDescent="0.25">
      <c r="A656" s="24">
        <v>655</v>
      </c>
      <c r="B656" s="24">
        <v>528731</v>
      </c>
      <c r="C656" s="24" t="s">
        <v>1469</v>
      </c>
      <c r="D656" s="24">
        <v>68</v>
      </c>
      <c r="E656" s="24">
        <v>64</v>
      </c>
    </row>
    <row r="657" spans="1:5" x14ac:dyDescent="0.25">
      <c r="A657" s="24">
        <v>656</v>
      </c>
      <c r="B657" s="24">
        <v>580911</v>
      </c>
      <c r="C657" s="24" t="s">
        <v>4173</v>
      </c>
      <c r="D657" s="24">
        <v>25</v>
      </c>
      <c r="E657" s="24">
        <v>21</v>
      </c>
    </row>
    <row r="658" spans="1:5" x14ac:dyDescent="0.25">
      <c r="A658" s="24">
        <v>657</v>
      </c>
      <c r="B658" s="24">
        <v>501581</v>
      </c>
      <c r="C658" s="24" t="s">
        <v>4174</v>
      </c>
      <c r="D658" s="24">
        <v>9</v>
      </c>
      <c r="E658" s="24">
        <v>5</v>
      </c>
    </row>
    <row r="659" spans="1:5" x14ac:dyDescent="0.25">
      <c r="A659" s="24">
        <v>658</v>
      </c>
      <c r="B659" s="24">
        <v>504378</v>
      </c>
      <c r="C659" s="24" t="s">
        <v>1480</v>
      </c>
      <c r="D659" s="24">
        <v>14</v>
      </c>
      <c r="E659" s="24">
        <v>10</v>
      </c>
    </row>
    <row r="660" spans="1:5" x14ac:dyDescent="0.25">
      <c r="A660" s="24">
        <v>659</v>
      </c>
      <c r="B660" s="24">
        <v>511439</v>
      </c>
      <c r="C660" s="24" t="s">
        <v>1481</v>
      </c>
      <c r="D660" s="24">
        <v>48</v>
      </c>
      <c r="E660" s="24">
        <v>44</v>
      </c>
    </row>
    <row r="661" spans="1:5" x14ac:dyDescent="0.25">
      <c r="A661" s="24">
        <v>660</v>
      </c>
      <c r="B661" s="24">
        <v>523470</v>
      </c>
      <c r="C661" s="24" t="s">
        <v>1482</v>
      </c>
      <c r="D661" s="24">
        <v>58</v>
      </c>
      <c r="E661" s="24">
        <v>54</v>
      </c>
    </row>
    <row r="662" spans="1:5" x14ac:dyDescent="0.25">
      <c r="A662" s="24">
        <v>661</v>
      </c>
      <c r="B662" s="24">
        <v>525731</v>
      </c>
      <c r="C662" s="24" t="s">
        <v>1483</v>
      </c>
      <c r="D662" s="24">
        <v>76</v>
      </c>
      <c r="E662" s="24">
        <v>68</v>
      </c>
    </row>
    <row r="663" spans="1:5" x14ac:dyDescent="0.25">
      <c r="A663" s="24">
        <v>662</v>
      </c>
      <c r="B663" s="24">
        <v>502251</v>
      </c>
      <c r="C663" s="24" t="s">
        <v>1484</v>
      </c>
      <c r="D663" s="24">
        <v>26</v>
      </c>
      <c r="E663" s="24">
        <v>22</v>
      </c>
    </row>
    <row r="664" spans="1:5" x14ac:dyDescent="0.25">
      <c r="A664" s="24">
        <v>663</v>
      </c>
      <c r="B664" s="24">
        <v>518409</v>
      </c>
      <c r="C664" s="24" t="s">
        <v>4175</v>
      </c>
      <c r="D664" s="24">
        <v>47</v>
      </c>
      <c r="E664" s="24">
        <v>43</v>
      </c>
    </row>
    <row r="665" spans="1:5" x14ac:dyDescent="0.25">
      <c r="A665" s="24">
        <v>664</v>
      </c>
      <c r="B665" s="24">
        <v>518417</v>
      </c>
      <c r="C665" s="24" t="s">
        <v>1487</v>
      </c>
      <c r="D665" s="24">
        <v>47</v>
      </c>
      <c r="E665" s="24">
        <v>43</v>
      </c>
    </row>
    <row r="666" spans="1:5" x14ac:dyDescent="0.25">
      <c r="A666" s="24">
        <v>665</v>
      </c>
      <c r="B666" s="24">
        <v>518425</v>
      </c>
      <c r="C666" s="24" t="s">
        <v>1489</v>
      </c>
      <c r="D666" s="24">
        <v>47</v>
      </c>
      <c r="E666" s="24">
        <v>43</v>
      </c>
    </row>
    <row r="667" spans="1:5" x14ac:dyDescent="0.25">
      <c r="A667" s="24">
        <v>666</v>
      </c>
      <c r="B667" s="24">
        <v>545350</v>
      </c>
      <c r="C667" s="24" t="s">
        <v>3519</v>
      </c>
      <c r="D667" s="24">
        <v>26</v>
      </c>
      <c r="E667" s="24">
        <v>22</v>
      </c>
    </row>
    <row r="668" spans="1:5" x14ac:dyDescent="0.25">
      <c r="A668" s="24">
        <v>667</v>
      </c>
      <c r="B668" s="24">
        <v>522473</v>
      </c>
      <c r="C668" s="24" t="s">
        <v>1495</v>
      </c>
      <c r="D668" s="24">
        <v>77</v>
      </c>
      <c r="E668" s="24">
        <v>69</v>
      </c>
    </row>
    <row r="669" spans="1:5" x14ac:dyDescent="0.25">
      <c r="A669" s="24">
        <v>668</v>
      </c>
      <c r="B669" s="24">
        <v>557692</v>
      </c>
      <c r="C669" s="24" t="s">
        <v>1496</v>
      </c>
      <c r="D669" s="24">
        <v>23</v>
      </c>
      <c r="E669" s="24">
        <v>19</v>
      </c>
    </row>
    <row r="670" spans="1:5" x14ac:dyDescent="0.25">
      <c r="A670" s="24">
        <v>669</v>
      </c>
      <c r="B670" s="24">
        <v>555878</v>
      </c>
      <c r="C670" s="24" t="s">
        <v>1497</v>
      </c>
      <c r="D670" s="24">
        <v>29</v>
      </c>
      <c r="E670" s="24">
        <v>25</v>
      </c>
    </row>
    <row r="671" spans="1:5" x14ac:dyDescent="0.25">
      <c r="A671" s="24">
        <v>670</v>
      </c>
      <c r="B671" s="24">
        <v>507041</v>
      </c>
      <c r="C671" s="24" t="s">
        <v>1498</v>
      </c>
      <c r="D671" s="24">
        <v>15</v>
      </c>
      <c r="E671" s="24">
        <v>11</v>
      </c>
    </row>
    <row r="672" spans="1:5" x14ac:dyDescent="0.25">
      <c r="A672" s="24">
        <v>671</v>
      </c>
      <c r="B672" s="24">
        <v>508624</v>
      </c>
      <c r="C672" s="24" t="s">
        <v>1499</v>
      </c>
      <c r="D672" s="24">
        <v>45</v>
      </c>
      <c r="E672" s="24">
        <v>41</v>
      </c>
    </row>
    <row r="673" spans="1:5" x14ac:dyDescent="0.25">
      <c r="A673" s="24">
        <v>672</v>
      </c>
      <c r="B673" s="24">
        <v>509671</v>
      </c>
      <c r="C673" s="24" t="s">
        <v>1499</v>
      </c>
      <c r="D673" s="24">
        <v>34</v>
      </c>
      <c r="E673" s="24">
        <v>30</v>
      </c>
    </row>
    <row r="674" spans="1:5" x14ac:dyDescent="0.25">
      <c r="A674" s="24">
        <v>673</v>
      </c>
      <c r="B674" s="24">
        <v>513083</v>
      </c>
      <c r="C674" s="24" t="s">
        <v>1500</v>
      </c>
      <c r="D674" s="24">
        <v>21</v>
      </c>
      <c r="E674" s="24">
        <v>17</v>
      </c>
    </row>
    <row r="675" spans="1:5" x14ac:dyDescent="0.25">
      <c r="A675" s="24">
        <v>674</v>
      </c>
      <c r="B675" s="24">
        <v>508632</v>
      </c>
      <c r="C675" s="24" t="s">
        <v>1501</v>
      </c>
      <c r="D675" s="24">
        <v>43</v>
      </c>
      <c r="E675" s="24">
        <v>39</v>
      </c>
    </row>
    <row r="676" spans="1:5" x14ac:dyDescent="0.25">
      <c r="A676" s="24">
        <v>675</v>
      </c>
      <c r="B676" s="24">
        <v>513091</v>
      </c>
      <c r="C676" s="24" t="s">
        <v>1502</v>
      </c>
      <c r="D676" s="24">
        <v>17</v>
      </c>
      <c r="E676" s="24">
        <v>13</v>
      </c>
    </row>
    <row r="677" spans="1:5" x14ac:dyDescent="0.25">
      <c r="A677" s="24">
        <v>676</v>
      </c>
      <c r="B677" s="24">
        <v>501590</v>
      </c>
      <c r="C677" s="24" t="s">
        <v>1505</v>
      </c>
      <c r="D677" s="24">
        <v>9</v>
      </c>
      <c r="E677" s="24">
        <v>5</v>
      </c>
    </row>
    <row r="678" spans="1:5" x14ac:dyDescent="0.25">
      <c r="A678" s="24">
        <v>677</v>
      </c>
      <c r="B678" s="24">
        <v>502260</v>
      </c>
      <c r="C678" s="24" t="s">
        <v>1507</v>
      </c>
      <c r="D678" s="24">
        <v>26</v>
      </c>
      <c r="E678" s="24">
        <v>22</v>
      </c>
    </row>
    <row r="679" spans="1:5" x14ac:dyDescent="0.25">
      <c r="A679" s="24">
        <v>678</v>
      </c>
      <c r="B679" s="24">
        <v>506001</v>
      </c>
      <c r="C679" s="24" t="s">
        <v>1508</v>
      </c>
      <c r="D679" s="24">
        <v>19</v>
      </c>
      <c r="E679" s="24">
        <v>15</v>
      </c>
    </row>
    <row r="680" spans="1:5" x14ac:dyDescent="0.25">
      <c r="A680" s="24">
        <v>679</v>
      </c>
      <c r="B680" s="24">
        <v>516015</v>
      </c>
      <c r="C680" s="24" t="s">
        <v>1509</v>
      </c>
      <c r="D680" s="24">
        <v>52</v>
      </c>
      <c r="E680" s="24">
        <v>48</v>
      </c>
    </row>
    <row r="681" spans="1:5" x14ac:dyDescent="0.25">
      <c r="A681" s="24">
        <v>680</v>
      </c>
      <c r="B681" s="24">
        <v>506010</v>
      </c>
      <c r="C681" s="24" t="s">
        <v>1510</v>
      </c>
      <c r="D681" s="24">
        <v>24</v>
      </c>
      <c r="E681" s="24">
        <v>20</v>
      </c>
    </row>
    <row r="682" spans="1:5" x14ac:dyDescent="0.25">
      <c r="A682" s="24">
        <v>681</v>
      </c>
      <c r="B682" s="24">
        <v>512273</v>
      </c>
      <c r="C682" s="24" t="s">
        <v>1511</v>
      </c>
      <c r="D682" s="24">
        <v>40</v>
      </c>
      <c r="E682" s="24">
        <v>36</v>
      </c>
    </row>
    <row r="683" spans="1:5" x14ac:dyDescent="0.25">
      <c r="A683" s="24">
        <v>682</v>
      </c>
      <c r="B683" s="24">
        <v>514004</v>
      </c>
      <c r="C683" s="24" t="s">
        <v>1514</v>
      </c>
      <c r="D683" s="24">
        <v>22</v>
      </c>
      <c r="E683" s="24">
        <v>18</v>
      </c>
    </row>
    <row r="684" spans="1:5" x14ac:dyDescent="0.25">
      <c r="A684" s="24">
        <v>683</v>
      </c>
      <c r="B684" s="24">
        <v>581747</v>
      </c>
      <c r="C684" s="24" t="s">
        <v>1514</v>
      </c>
      <c r="D684" s="24">
        <v>55</v>
      </c>
      <c r="E684" s="24">
        <v>51</v>
      </c>
    </row>
    <row r="685" spans="1:5" x14ac:dyDescent="0.25">
      <c r="A685" s="24">
        <v>684</v>
      </c>
      <c r="B685" s="24">
        <v>516791</v>
      </c>
      <c r="C685" s="24" t="s">
        <v>1515</v>
      </c>
      <c r="D685" s="24">
        <v>55</v>
      </c>
      <c r="E685" s="24">
        <v>51</v>
      </c>
    </row>
    <row r="686" spans="1:5" x14ac:dyDescent="0.25">
      <c r="A686" s="24">
        <v>685</v>
      </c>
      <c r="B686" s="24">
        <v>506028</v>
      </c>
      <c r="C686" s="24" t="s">
        <v>1516</v>
      </c>
      <c r="D686" s="24">
        <v>24</v>
      </c>
      <c r="E686" s="24">
        <v>20</v>
      </c>
    </row>
    <row r="687" spans="1:5" x14ac:dyDescent="0.25">
      <c r="A687" s="24">
        <v>686</v>
      </c>
      <c r="B687" s="24">
        <v>507059</v>
      </c>
      <c r="C687" s="24" t="s">
        <v>1518</v>
      </c>
      <c r="D687" s="24">
        <v>15</v>
      </c>
      <c r="E687" s="24">
        <v>11</v>
      </c>
    </row>
    <row r="688" spans="1:5" x14ac:dyDescent="0.25">
      <c r="A688" s="24">
        <v>687</v>
      </c>
      <c r="B688" s="24">
        <v>516805</v>
      </c>
      <c r="C688" s="24" t="s">
        <v>1519</v>
      </c>
      <c r="D688" s="24">
        <v>54</v>
      </c>
      <c r="E688" s="24">
        <v>50</v>
      </c>
    </row>
    <row r="689" spans="1:5" x14ac:dyDescent="0.25">
      <c r="A689" s="24">
        <v>688</v>
      </c>
      <c r="B689" s="24">
        <v>556351</v>
      </c>
      <c r="C689" s="24" t="s">
        <v>1520</v>
      </c>
      <c r="D689" s="24">
        <v>30</v>
      </c>
      <c r="E689" s="24">
        <v>26</v>
      </c>
    </row>
    <row r="690" spans="1:5" x14ac:dyDescent="0.25">
      <c r="A690" s="24">
        <v>689</v>
      </c>
      <c r="B690" s="24">
        <v>545635</v>
      </c>
      <c r="C690" s="24" t="s">
        <v>1522</v>
      </c>
      <c r="D690" s="24">
        <v>27</v>
      </c>
      <c r="E690" s="24">
        <v>23</v>
      </c>
    </row>
    <row r="691" spans="1:5" x14ac:dyDescent="0.25">
      <c r="A691" s="24">
        <v>690</v>
      </c>
      <c r="B691" s="24">
        <v>518433</v>
      </c>
      <c r="C691" s="24" t="s">
        <v>1523</v>
      </c>
      <c r="D691" s="24">
        <v>47</v>
      </c>
      <c r="E691" s="24">
        <v>43</v>
      </c>
    </row>
    <row r="692" spans="1:5" x14ac:dyDescent="0.25">
      <c r="A692" s="24">
        <v>691</v>
      </c>
      <c r="B692" s="24">
        <v>555568</v>
      </c>
      <c r="C692" s="24" t="s">
        <v>3585</v>
      </c>
      <c r="D692" s="24">
        <v>9</v>
      </c>
      <c r="E692" s="24">
        <v>5</v>
      </c>
    </row>
    <row r="693" spans="1:5" x14ac:dyDescent="0.25">
      <c r="A693" s="24">
        <v>692</v>
      </c>
      <c r="B693" s="24">
        <v>542920</v>
      </c>
      <c r="C693" s="24" t="s">
        <v>1524</v>
      </c>
      <c r="D693" s="24">
        <v>16</v>
      </c>
      <c r="E693" s="24">
        <v>12</v>
      </c>
    </row>
    <row r="694" spans="1:5" x14ac:dyDescent="0.25">
      <c r="A694" s="24">
        <v>693</v>
      </c>
      <c r="B694" s="24">
        <v>542938</v>
      </c>
      <c r="C694" s="24" t="s">
        <v>1525</v>
      </c>
      <c r="D694" s="24">
        <v>30</v>
      </c>
      <c r="E694" s="24">
        <v>26</v>
      </c>
    </row>
    <row r="695" spans="1:5" x14ac:dyDescent="0.25">
      <c r="A695" s="24">
        <v>694</v>
      </c>
      <c r="B695" s="24">
        <v>507067</v>
      </c>
      <c r="C695" s="24" t="s">
        <v>1526</v>
      </c>
      <c r="D695" s="24">
        <v>15</v>
      </c>
      <c r="E695" s="24">
        <v>11</v>
      </c>
    </row>
    <row r="696" spans="1:5" x14ac:dyDescent="0.25">
      <c r="A696" s="24">
        <v>695</v>
      </c>
      <c r="B696" s="24">
        <v>507075</v>
      </c>
      <c r="C696" s="24" t="s">
        <v>1527</v>
      </c>
      <c r="D696" s="24">
        <v>11</v>
      </c>
      <c r="E696" s="24">
        <v>7</v>
      </c>
    </row>
    <row r="697" spans="1:5" x14ac:dyDescent="0.25">
      <c r="A697" s="24">
        <v>696</v>
      </c>
      <c r="B697" s="24">
        <v>516023</v>
      </c>
      <c r="C697" s="24" t="s">
        <v>1529</v>
      </c>
      <c r="D697" s="24">
        <v>52</v>
      </c>
      <c r="E697" s="24">
        <v>48</v>
      </c>
    </row>
    <row r="698" spans="1:5" x14ac:dyDescent="0.25">
      <c r="A698" s="24">
        <v>697</v>
      </c>
      <c r="B698" s="24">
        <v>508641</v>
      </c>
      <c r="C698" s="24" t="s">
        <v>1530</v>
      </c>
      <c r="D698" s="24">
        <v>43</v>
      </c>
      <c r="E698" s="24">
        <v>39</v>
      </c>
    </row>
    <row r="699" spans="1:5" x14ac:dyDescent="0.25">
      <c r="A699" s="24">
        <v>698</v>
      </c>
      <c r="B699" s="24">
        <v>503771</v>
      </c>
      <c r="C699" s="24" t="s">
        <v>1531</v>
      </c>
      <c r="D699" s="24">
        <v>10</v>
      </c>
      <c r="E699" s="24">
        <v>6</v>
      </c>
    </row>
    <row r="700" spans="1:5" x14ac:dyDescent="0.25">
      <c r="A700" s="24">
        <v>699</v>
      </c>
      <c r="B700" s="24">
        <v>502278</v>
      </c>
      <c r="C700" s="24" t="s">
        <v>1532</v>
      </c>
      <c r="D700" s="24">
        <v>26</v>
      </c>
      <c r="E700" s="24">
        <v>22</v>
      </c>
    </row>
    <row r="701" spans="1:5" x14ac:dyDescent="0.25">
      <c r="A701" s="24">
        <v>700</v>
      </c>
      <c r="B701" s="24">
        <v>506036</v>
      </c>
      <c r="C701" s="24" t="s">
        <v>1533</v>
      </c>
      <c r="D701" s="24">
        <v>24</v>
      </c>
      <c r="E701" s="24">
        <v>20</v>
      </c>
    </row>
    <row r="702" spans="1:5" x14ac:dyDescent="0.25">
      <c r="A702" s="24">
        <v>701</v>
      </c>
      <c r="B702" s="24">
        <v>516031</v>
      </c>
      <c r="C702" s="24" t="s">
        <v>1534</v>
      </c>
      <c r="D702" s="24">
        <v>52</v>
      </c>
      <c r="E702" s="24">
        <v>48</v>
      </c>
    </row>
    <row r="703" spans="1:5" x14ac:dyDescent="0.25">
      <c r="A703" s="24">
        <v>702</v>
      </c>
      <c r="B703" s="24">
        <v>542954</v>
      </c>
      <c r="C703" s="24" t="s">
        <v>1535</v>
      </c>
      <c r="D703" s="24">
        <v>30</v>
      </c>
      <c r="E703" s="24">
        <v>26</v>
      </c>
    </row>
    <row r="704" spans="1:5" x14ac:dyDescent="0.25">
      <c r="A704" s="24">
        <v>703</v>
      </c>
      <c r="B704" s="24">
        <v>556602</v>
      </c>
      <c r="C704" s="24" t="s">
        <v>1536</v>
      </c>
      <c r="D704" s="24">
        <v>11</v>
      </c>
      <c r="E704" s="24">
        <v>7</v>
      </c>
    </row>
    <row r="705" spans="1:5" x14ac:dyDescent="0.25">
      <c r="A705" s="24">
        <v>704</v>
      </c>
      <c r="B705" s="24">
        <v>502286</v>
      </c>
      <c r="C705" s="24" t="s">
        <v>1537</v>
      </c>
      <c r="D705" s="24">
        <v>26</v>
      </c>
      <c r="E705" s="24">
        <v>22</v>
      </c>
    </row>
    <row r="706" spans="1:5" x14ac:dyDescent="0.25">
      <c r="A706" s="24">
        <v>705</v>
      </c>
      <c r="B706" s="24">
        <v>514012</v>
      </c>
      <c r="C706" s="24" t="s">
        <v>1538</v>
      </c>
      <c r="D706" s="24">
        <v>22</v>
      </c>
      <c r="E706" s="24">
        <v>18</v>
      </c>
    </row>
    <row r="707" spans="1:5" x14ac:dyDescent="0.25">
      <c r="A707" s="24">
        <v>706</v>
      </c>
      <c r="B707" s="24">
        <v>514853</v>
      </c>
      <c r="C707" s="24" t="s">
        <v>1539</v>
      </c>
      <c r="D707" s="24">
        <v>51</v>
      </c>
      <c r="E707" s="24">
        <v>47</v>
      </c>
    </row>
    <row r="708" spans="1:5" x14ac:dyDescent="0.25">
      <c r="A708" s="24">
        <v>707</v>
      </c>
      <c r="B708" s="24">
        <v>556530</v>
      </c>
      <c r="C708" s="24" t="s">
        <v>1540</v>
      </c>
      <c r="D708" s="24">
        <v>11</v>
      </c>
      <c r="E708" s="24">
        <v>7</v>
      </c>
    </row>
    <row r="709" spans="1:5" x14ac:dyDescent="0.25">
      <c r="A709" s="24">
        <v>708</v>
      </c>
      <c r="B709" s="24">
        <v>518441</v>
      </c>
      <c r="C709" s="24" t="s">
        <v>1541</v>
      </c>
      <c r="D709" s="24">
        <v>47</v>
      </c>
      <c r="E709" s="24">
        <v>43</v>
      </c>
    </row>
    <row r="710" spans="1:5" x14ac:dyDescent="0.25">
      <c r="A710" s="24">
        <v>709</v>
      </c>
      <c r="B710" s="24">
        <v>501603</v>
      </c>
      <c r="C710" s="24" t="s">
        <v>1543</v>
      </c>
      <c r="D710" s="24">
        <v>9</v>
      </c>
      <c r="E710" s="24">
        <v>5</v>
      </c>
    </row>
    <row r="711" spans="1:5" x14ac:dyDescent="0.25">
      <c r="A711" s="24">
        <v>710</v>
      </c>
      <c r="B711" s="24">
        <v>517593</v>
      </c>
      <c r="C711" s="24" t="s">
        <v>1545</v>
      </c>
      <c r="D711" s="24">
        <v>42</v>
      </c>
      <c r="E711" s="24">
        <v>38</v>
      </c>
    </row>
    <row r="712" spans="1:5" x14ac:dyDescent="0.25">
      <c r="A712" s="24">
        <v>711</v>
      </c>
      <c r="B712" s="24">
        <v>512290</v>
      </c>
      <c r="C712" s="24" t="s">
        <v>1546</v>
      </c>
      <c r="D712" s="24">
        <v>37</v>
      </c>
      <c r="E712" s="24">
        <v>33</v>
      </c>
    </row>
    <row r="713" spans="1:5" x14ac:dyDescent="0.25">
      <c r="A713" s="24">
        <v>712</v>
      </c>
      <c r="B713" s="24">
        <v>580856</v>
      </c>
      <c r="C713" s="24" t="s">
        <v>1547</v>
      </c>
      <c r="D713" s="24">
        <v>21</v>
      </c>
      <c r="E713" s="24">
        <v>17</v>
      </c>
    </row>
    <row r="714" spans="1:5" x14ac:dyDescent="0.25">
      <c r="A714" s="24">
        <v>713</v>
      </c>
      <c r="B714" s="24">
        <v>502294</v>
      </c>
      <c r="C714" s="24" t="s">
        <v>1550</v>
      </c>
      <c r="D714" s="24">
        <v>26</v>
      </c>
      <c r="E714" s="24">
        <v>22</v>
      </c>
    </row>
    <row r="715" spans="1:5" x14ac:dyDescent="0.25">
      <c r="A715" s="24">
        <v>714</v>
      </c>
      <c r="B715" s="24">
        <v>518450</v>
      </c>
      <c r="C715" s="24" t="s">
        <v>1551</v>
      </c>
      <c r="D715" s="24">
        <v>46</v>
      </c>
      <c r="E715" s="24">
        <v>42</v>
      </c>
    </row>
    <row r="716" spans="1:5" x14ac:dyDescent="0.25">
      <c r="A716" s="24">
        <v>715</v>
      </c>
      <c r="B716" s="24">
        <v>509205</v>
      </c>
      <c r="C716" s="24" t="s">
        <v>1552</v>
      </c>
      <c r="D716" s="24">
        <v>35</v>
      </c>
      <c r="E716" s="24">
        <v>31</v>
      </c>
    </row>
    <row r="717" spans="1:5" x14ac:dyDescent="0.25">
      <c r="A717" s="24">
        <v>716</v>
      </c>
      <c r="B717" s="24">
        <v>513121</v>
      </c>
      <c r="C717" s="24" t="s">
        <v>1553</v>
      </c>
      <c r="D717" s="24">
        <v>23</v>
      </c>
      <c r="E717" s="24">
        <v>19</v>
      </c>
    </row>
    <row r="718" spans="1:5" x14ac:dyDescent="0.25">
      <c r="A718" s="24">
        <v>717</v>
      </c>
      <c r="B718" s="24">
        <v>522481</v>
      </c>
      <c r="C718" s="24" t="s">
        <v>1553</v>
      </c>
      <c r="D718" s="24">
        <v>75</v>
      </c>
      <c r="E718" s="24">
        <v>67</v>
      </c>
    </row>
    <row r="719" spans="1:5" x14ac:dyDescent="0.25">
      <c r="A719" s="24">
        <v>718</v>
      </c>
      <c r="B719" s="24">
        <v>503789</v>
      </c>
      <c r="C719" s="24" t="s">
        <v>1555</v>
      </c>
      <c r="D719" s="24">
        <v>10</v>
      </c>
      <c r="E719" s="24">
        <v>6</v>
      </c>
    </row>
    <row r="720" spans="1:5" x14ac:dyDescent="0.25">
      <c r="A720" s="24">
        <v>719</v>
      </c>
      <c r="B720" s="24">
        <v>514861</v>
      </c>
      <c r="C720" s="24" t="s">
        <v>1556</v>
      </c>
      <c r="D720" s="24">
        <v>51</v>
      </c>
      <c r="E720" s="24">
        <v>47</v>
      </c>
    </row>
    <row r="721" spans="1:5" x14ac:dyDescent="0.25">
      <c r="A721" s="24">
        <v>720</v>
      </c>
      <c r="B721" s="24">
        <v>500283</v>
      </c>
      <c r="C721" s="24" t="s">
        <v>1557</v>
      </c>
      <c r="D721" s="24">
        <v>31</v>
      </c>
      <c r="E721" s="24">
        <v>27</v>
      </c>
    </row>
    <row r="722" spans="1:5" x14ac:dyDescent="0.25">
      <c r="A722" s="24">
        <v>721</v>
      </c>
      <c r="B722" s="24">
        <v>514870</v>
      </c>
      <c r="C722" s="24" t="s">
        <v>1559</v>
      </c>
      <c r="D722" s="24">
        <v>51</v>
      </c>
      <c r="E722" s="24">
        <v>47</v>
      </c>
    </row>
    <row r="723" spans="1:5" x14ac:dyDescent="0.25">
      <c r="A723" s="24">
        <v>722</v>
      </c>
      <c r="B723" s="24">
        <v>555959</v>
      </c>
      <c r="C723" s="24" t="s">
        <v>1560</v>
      </c>
      <c r="D723" s="24">
        <v>27</v>
      </c>
      <c r="E723" s="24">
        <v>23</v>
      </c>
    </row>
    <row r="724" spans="1:5" x14ac:dyDescent="0.25">
      <c r="A724" s="24">
        <v>723</v>
      </c>
      <c r="B724" s="24">
        <v>500305</v>
      </c>
      <c r="C724" s="24" t="s">
        <v>1561</v>
      </c>
      <c r="D724" s="24">
        <v>31</v>
      </c>
      <c r="E724" s="24">
        <v>27</v>
      </c>
    </row>
    <row r="725" spans="1:5" x14ac:dyDescent="0.25">
      <c r="A725" s="24">
        <v>724</v>
      </c>
      <c r="B725" s="24">
        <v>518107</v>
      </c>
      <c r="C725" s="24" t="s">
        <v>1561</v>
      </c>
      <c r="D725" s="24">
        <v>74</v>
      </c>
      <c r="E725" s="24">
        <v>72</v>
      </c>
    </row>
    <row r="726" spans="1:5" x14ac:dyDescent="0.25">
      <c r="A726" s="24">
        <v>725</v>
      </c>
      <c r="B726" s="24">
        <v>520209</v>
      </c>
      <c r="C726" s="24" t="s">
        <v>1562</v>
      </c>
      <c r="D726" s="24">
        <v>64</v>
      </c>
      <c r="E726" s="24">
        <v>60</v>
      </c>
    </row>
    <row r="727" spans="1:5" x14ac:dyDescent="0.25">
      <c r="A727" s="24">
        <v>726</v>
      </c>
      <c r="B727" s="24">
        <v>523496</v>
      </c>
      <c r="C727" s="24" t="s">
        <v>1564</v>
      </c>
      <c r="D727" s="24">
        <v>61</v>
      </c>
      <c r="E727" s="24">
        <v>57</v>
      </c>
    </row>
    <row r="728" spans="1:5" x14ac:dyDescent="0.25">
      <c r="A728" s="24">
        <v>727</v>
      </c>
      <c r="B728" s="24">
        <v>523488</v>
      </c>
      <c r="C728" s="24" t="s">
        <v>1492</v>
      </c>
      <c r="D728" s="24">
        <v>61</v>
      </c>
      <c r="E728" s="24">
        <v>57</v>
      </c>
    </row>
    <row r="729" spans="1:5" x14ac:dyDescent="0.25">
      <c r="A729" s="24">
        <v>728</v>
      </c>
      <c r="B729" s="24">
        <v>505994</v>
      </c>
      <c r="C729" s="24" t="s">
        <v>1493</v>
      </c>
      <c r="D729" s="24">
        <v>19</v>
      </c>
      <c r="E729" s="24">
        <v>15</v>
      </c>
    </row>
    <row r="730" spans="1:5" x14ac:dyDescent="0.25">
      <c r="A730" s="24">
        <v>729</v>
      </c>
      <c r="B730" s="24">
        <v>517577</v>
      </c>
      <c r="C730" s="24" t="s">
        <v>1494</v>
      </c>
      <c r="D730" s="24">
        <v>42</v>
      </c>
      <c r="E730" s="24">
        <v>38</v>
      </c>
    </row>
    <row r="731" spans="1:5" x14ac:dyDescent="0.25">
      <c r="A731" s="24">
        <v>730</v>
      </c>
      <c r="B731" s="24">
        <v>516813</v>
      </c>
      <c r="C731" s="24" t="s">
        <v>1565</v>
      </c>
      <c r="D731" s="24">
        <v>54</v>
      </c>
      <c r="E731" s="24">
        <v>50</v>
      </c>
    </row>
    <row r="732" spans="1:5" x14ac:dyDescent="0.25">
      <c r="A732" s="24">
        <v>731</v>
      </c>
      <c r="B732" s="24">
        <v>524476</v>
      </c>
      <c r="C732" s="24" t="s">
        <v>1566</v>
      </c>
      <c r="D732" s="24">
        <v>62</v>
      </c>
      <c r="E732" s="24">
        <v>58</v>
      </c>
    </row>
    <row r="733" spans="1:5" x14ac:dyDescent="0.25">
      <c r="A733" s="24">
        <v>732</v>
      </c>
      <c r="B733" s="24">
        <v>520217</v>
      </c>
      <c r="C733" s="24" t="s">
        <v>1567</v>
      </c>
      <c r="D733" s="24">
        <v>64</v>
      </c>
      <c r="E733" s="24">
        <v>60</v>
      </c>
    </row>
    <row r="734" spans="1:5" x14ac:dyDescent="0.25">
      <c r="A734" s="24">
        <v>733</v>
      </c>
      <c r="B734" s="24">
        <v>527319</v>
      </c>
      <c r="C734" s="24" t="s">
        <v>1568</v>
      </c>
      <c r="D734" s="24">
        <v>67</v>
      </c>
      <c r="E734" s="24">
        <v>63</v>
      </c>
    </row>
    <row r="735" spans="1:5" x14ac:dyDescent="0.25">
      <c r="A735" s="24">
        <v>734</v>
      </c>
      <c r="B735" s="24">
        <v>519251</v>
      </c>
      <c r="C735" s="24" t="s">
        <v>1570</v>
      </c>
      <c r="D735" s="24">
        <v>56</v>
      </c>
      <c r="E735" s="24">
        <v>52</v>
      </c>
    </row>
    <row r="736" spans="1:5" x14ac:dyDescent="0.25">
      <c r="A736" s="24">
        <v>735</v>
      </c>
      <c r="B736" s="24">
        <v>520225</v>
      </c>
      <c r="C736" s="24" t="s">
        <v>1571</v>
      </c>
      <c r="D736" s="24">
        <v>57</v>
      </c>
      <c r="E736" s="24">
        <v>53</v>
      </c>
    </row>
    <row r="737" spans="1:5" x14ac:dyDescent="0.25">
      <c r="A737" s="24">
        <v>736</v>
      </c>
      <c r="B737" s="24">
        <v>506044</v>
      </c>
      <c r="C737" s="24" t="s">
        <v>1572</v>
      </c>
      <c r="D737" s="24">
        <v>24</v>
      </c>
      <c r="E737" s="24">
        <v>20</v>
      </c>
    </row>
    <row r="738" spans="1:5" x14ac:dyDescent="0.25">
      <c r="A738" s="24">
        <v>737</v>
      </c>
      <c r="B738" s="24">
        <v>519260</v>
      </c>
      <c r="C738" s="24" t="s">
        <v>1573</v>
      </c>
      <c r="D738" s="24">
        <v>56</v>
      </c>
      <c r="E738" s="24">
        <v>52</v>
      </c>
    </row>
    <row r="739" spans="1:5" x14ac:dyDescent="0.25">
      <c r="A739" s="24">
        <v>738</v>
      </c>
      <c r="B739" s="24">
        <v>526592</v>
      </c>
      <c r="C739" s="24" t="s">
        <v>1574</v>
      </c>
      <c r="D739" s="24">
        <v>78</v>
      </c>
      <c r="E739" s="24">
        <v>70</v>
      </c>
    </row>
    <row r="740" spans="1:5" x14ac:dyDescent="0.25">
      <c r="A740" s="24">
        <v>739</v>
      </c>
      <c r="B740" s="24">
        <v>523500</v>
      </c>
      <c r="C740" s="24" t="s">
        <v>1575</v>
      </c>
      <c r="D740" s="24">
        <v>58</v>
      </c>
      <c r="E740" s="24">
        <v>54</v>
      </c>
    </row>
    <row r="741" spans="1:5" x14ac:dyDescent="0.25">
      <c r="A741" s="24">
        <v>740</v>
      </c>
      <c r="B741" s="24">
        <v>511447</v>
      </c>
      <c r="C741" s="24" t="s">
        <v>1576</v>
      </c>
      <c r="D741" s="24">
        <v>49</v>
      </c>
      <c r="E741" s="24">
        <v>45</v>
      </c>
    </row>
    <row r="742" spans="1:5" x14ac:dyDescent="0.25">
      <c r="A742" s="24">
        <v>741</v>
      </c>
      <c r="B742" s="24">
        <v>542962</v>
      </c>
      <c r="C742" s="24" t="s">
        <v>1576</v>
      </c>
      <c r="D742" s="24">
        <v>20</v>
      </c>
      <c r="E742" s="24">
        <v>16</v>
      </c>
    </row>
    <row r="743" spans="1:5" x14ac:dyDescent="0.25">
      <c r="A743" s="24">
        <v>742</v>
      </c>
      <c r="B743" s="24">
        <v>504386</v>
      </c>
      <c r="C743" s="24" t="s">
        <v>1577</v>
      </c>
      <c r="D743" s="24">
        <v>13</v>
      </c>
      <c r="E743" s="24">
        <v>9</v>
      </c>
    </row>
    <row r="744" spans="1:5" x14ac:dyDescent="0.25">
      <c r="A744" s="24">
        <v>743</v>
      </c>
      <c r="B744" s="24">
        <v>506052</v>
      </c>
      <c r="C744" s="24" t="s">
        <v>1578</v>
      </c>
      <c r="D744" s="24">
        <v>19</v>
      </c>
      <c r="E744" s="24">
        <v>15</v>
      </c>
    </row>
    <row r="745" spans="1:5" x14ac:dyDescent="0.25">
      <c r="A745" s="24">
        <v>744</v>
      </c>
      <c r="B745" s="24">
        <v>506061</v>
      </c>
      <c r="C745" s="24" t="s">
        <v>1579</v>
      </c>
      <c r="D745" s="24">
        <v>19</v>
      </c>
      <c r="E745" s="24">
        <v>15</v>
      </c>
    </row>
    <row r="746" spans="1:5" x14ac:dyDescent="0.25">
      <c r="A746" s="24">
        <v>745</v>
      </c>
      <c r="B746" s="24">
        <v>514888</v>
      </c>
      <c r="C746" s="24" t="s">
        <v>1580</v>
      </c>
      <c r="D746" s="24">
        <v>51</v>
      </c>
      <c r="E746" s="24">
        <v>47</v>
      </c>
    </row>
    <row r="747" spans="1:5" x14ac:dyDescent="0.25">
      <c r="A747" s="24">
        <v>746</v>
      </c>
      <c r="B747" s="24">
        <v>528366</v>
      </c>
      <c r="C747" s="24" t="s">
        <v>1581</v>
      </c>
      <c r="D747" s="24">
        <v>79</v>
      </c>
      <c r="E747" s="24">
        <v>71</v>
      </c>
    </row>
    <row r="748" spans="1:5" x14ac:dyDescent="0.25">
      <c r="A748" s="24">
        <v>747</v>
      </c>
      <c r="B748" s="24">
        <v>526738</v>
      </c>
      <c r="C748" s="24" t="s">
        <v>1584</v>
      </c>
      <c r="D748" s="24">
        <v>65</v>
      </c>
      <c r="E748" s="24">
        <v>61</v>
      </c>
    </row>
    <row r="749" spans="1:5" x14ac:dyDescent="0.25">
      <c r="A749" s="24">
        <v>748</v>
      </c>
      <c r="B749" s="24">
        <v>523518</v>
      </c>
      <c r="C749" s="24" t="s">
        <v>1585</v>
      </c>
      <c r="D749" s="24">
        <v>61</v>
      </c>
      <c r="E749" s="24">
        <v>57</v>
      </c>
    </row>
    <row r="750" spans="1:5" x14ac:dyDescent="0.25">
      <c r="A750" s="24">
        <v>749</v>
      </c>
      <c r="B750" s="24">
        <v>506079</v>
      </c>
      <c r="C750" s="24" t="s">
        <v>1586</v>
      </c>
      <c r="D750" s="24">
        <v>18</v>
      </c>
      <c r="E750" s="24">
        <v>14</v>
      </c>
    </row>
    <row r="751" spans="1:5" x14ac:dyDescent="0.25">
      <c r="A751" s="24">
        <v>750</v>
      </c>
      <c r="B751" s="24">
        <v>521442</v>
      </c>
      <c r="C751" s="24" t="s">
        <v>1587</v>
      </c>
      <c r="D751" s="24">
        <v>74</v>
      </c>
      <c r="E751" s="24">
        <v>66</v>
      </c>
    </row>
    <row r="752" spans="1:5" x14ac:dyDescent="0.25">
      <c r="A752" s="24">
        <v>751</v>
      </c>
      <c r="B752" s="24">
        <v>528374</v>
      </c>
      <c r="C752" s="24" t="s">
        <v>1589</v>
      </c>
      <c r="D752" s="24">
        <v>79</v>
      </c>
      <c r="E752" s="24">
        <v>71</v>
      </c>
    </row>
    <row r="753" spans="1:5" x14ac:dyDescent="0.25">
      <c r="A753" s="24">
        <v>752</v>
      </c>
      <c r="B753" s="24">
        <v>525740</v>
      </c>
      <c r="C753" s="24" t="s">
        <v>1590</v>
      </c>
      <c r="D753" s="24">
        <v>76</v>
      </c>
      <c r="E753" s="24">
        <v>68</v>
      </c>
    </row>
    <row r="754" spans="1:5" x14ac:dyDescent="0.25">
      <c r="A754" s="24">
        <v>753</v>
      </c>
      <c r="B754" s="24">
        <v>528382</v>
      </c>
      <c r="C754" s="24" t="s">
        <v>1591</v>
      </c>
      <c r="D754" s="24">
        <v>79</v>
      </c>
      <c r="E754" s="24">
        <v>71</v>
      </c>
    </row>
    <row r="755" spans="1:5" x14ac:dyDescent="0.25">
      <c r="A755" s="24">
        <v>754</v>
      </c>
      <c r="B755" s="24">
        <v>547590</v>
      </c>
      <c r="C755" s="24" t="s">
        <v>1592</v>
      </c>
      <c r="D755" s="24">
        <v>42</v>
      </c>
      <c r="E755" s="24">
        <v>38</v>
      </c>
    </row>
    <row r="756" spans="1:5" x14ac:dyDescent="0.25">
      <c r="A756" s="24">
        <v>755</v>
      </c>
      <c r="B756" s="24">
        <v>518468</v>
      </c>
      <c r="C756" s="24" t="s">
        <v>1593</v>
      </c>
      <c r="D756" s="24">
        <v>46</v>
      </c>
      <c r="E756" s="24">
        <v>42</v>
      </c>
    </row>
    <row r="757" spans="1:5" x14ac:dyDescent="0.25">
      <c r="A757" s="24">
        <v>756</v>
      </c>
      <c r="B757" s="24">
        <v>543144</v>
      </c>
      <c r="C757" s="24" t="s">
        <v>1594</v>
      </c>
      <c r="D757" s="24">
        <v>69</v>
      </c>
      <c r="E757" s="24">
        <v>65</v>
      </c>
    </row>
    <row r="758" spans="1:5" x14ac:dyDescent="0.25">
      <c r="A758" s="24">
        <v>757</v>
      </c>
      <c r="B758" s="24">
        <v>581895</v>
      </c>
      <c r="C758" s="24" t="s">
        <v>1595</v>
      </c>
      <c r="D758" s="24">
        <v>26</v>
      </c>
      <c r="E758" s="24">
        <v>22</v>
      </c>
    </row>
    <row r="759" spans="1:5" x14ac:dyDescent="0.25">
      <c r="A759" s="24">
        <v>758</v>
      </c>
      <c r="B759" s="24">
        <v>514896</v>
      </c>
      <c r="C759" s="24" t="s">
        <v>1596</v>
      </c>
      <c r="D759" s="24">
        <v>50</v>
      </c>
      <c r="E759" s="24">
        <v>46</v>
      </c>
    </row>
    <row r="760" spans="1:5" x14ac:dyDescent="0.25">
      <c r="A760" s="24">
        <v>759</v>
      </c>
      <c r="B760" s="24">
        <v>581020</v>
      </c>
      <c r="C760" s="24" t="s">
        <v>4176</v>
      </c>
      <c r="D760" s="24">
        <v>15</v>
      </c>
      <c r="E760" s="24">
        <v>11</v>
      </c>
    </row>
    <row r="761" spans="1:5" x14ac:dyDescent="0.25">
      <c r="A761" s="24">
        <v>760</v>
      </c>
      <c r="B761" s="24">
        <v>514900</v>
      </c>
      <c r="C761" s="24" t="s">
        <v>4177</v>
      </c>
      <c r="D761" s="24">
        <v>49</v>
      </c>
      <c r="E761" s="24">
        <v>45</v>
      </c>
    </row>
    <row r="762" spans="1:5" x14ac:dyDescent="0.25">
      <c r="A762" s="24">
        <v>761</v>
      </c>
      <c r="B762" s="24">
        <v>514918</v>
      </c>
      <c r="C762" s="24" t="s">
        <v>1600</v>
      </c>
      <c r="D762" s="24">
        <v>49</v>
      </c>
      <c r="E762" s="24">
        <v>45</v>
      </c>
    </row>
    <row r="763" spans="1:5" x14ac:dyDescent="0.25">
      <c r="A763" s="24">
        <v>762</v>
      </c>
      <c r="B763" s="24">
        <v>508659</v>
      </c>
      <c r="C763" s="24" t="s">
        <v>1604</v>
      </c>
      <c r="D763" s="24">
        <v>43</v>
      </c>
      <c r="E763" s="24">
        <v>39</v>
      </c>
    </row>
    <row r="764" spans="1:5" x14ac:dyDescent="0.25">
      <c r="A764" s="24">
        <v>763</v>
      </c>
      <c r="B764" s="24">
        <v>526746</v>
      </c>
      <c r="C764" s="24" t="s">
        <v>1605</v>
      </c>
      <c r="D764" s="24">
        <v>65</v>
      </c>
      <c r="E764" s="24">
        <v>61</v>
      </c>
    </row>
    <row r="765" spans="1:5" x14ac:dyDescent="0.25">
      <c r="A765" s="24">
        <v>764</v>
      </c>
      <c r="B765" s="24">
        <v>508667</v>
      </c>
      <c r="C765" s="24" t="s">
        <v>1606</v>
      </c>
      <c r="D765" s="24">
        <v>45</v>
      </c>
      <c r="E765" s="24">
        <v>41</v>
      </c>
    </row>
    <row r="766" spans="1:5" x14ac:dyDescent="0.25">
      <c r="A766" s="24">
        <v>765</v>
      </c>
      <c r="B766" s="24">
        <v>502324</v>
      </c>
      <c r="C766" s="24" t="s">
        <v>4178</v>
      </c>
      <c r="D766" s="24">
        <v>26</v>
      </c>
      <c r="E766" s="24">
        <v>22</v>
      </c>
    </row>
    <row r="767" spans="1:5" x14ac:dyDescent="0.25">
      <c r="A767" s="24">
        <v>766</v>
      </c>
      <c r="B767" s="24">
        <v>580236</v>
      </c>
      <c r="C767" s="24" t="s">
        <v>1611</v>
      </c>
      <c r="D767" s="24">
        <v>43</v>
      </c>
      <c r="E767" s="24">
        <v>39</v>
      </c>
    </row>
    <row r="768" spans="1:5" x14ac:dyDescent="0.25">
      <c r="A768" s="24">
        <v>767</v>
      </c>
      <c r="B768" s="24">
        <v>518476</v>
      </c>
      <c r="C768" s="24" t="s">
        <v>1612</v>
      </c>
      <c r="D768" s="24">
        <v>53</v>
      </c>
      <c r="E768" s="24">
        <v>49</v>
      </c>
    </row>
    <row r="769" spans="1:5" x14ac:dyDescent="0.25">
      <c r="A769" s="24">
        <v>768</v>
      </c>
      <c r="B769" s="24">
        <v>516821</v>
      </c>
      <c r="C769" s="24" t="s">
        <v>1613</v>
      </c>
      <c r="D769" s="24">
        <v>55</v>
      </c>
      <c r="E769" s="24">
        <v>51</v>
      </c>
    </row>
    <row r="770" spans="1:5" x14ac:dyDescent="0.25">
      <c r="A770" s="24">
        <v>769</v>
      </c>
      <c r="B770" s="24">
        <v>502332</v>
      </c>
      <c r="C770" s="24" t="s">
        <v>1614</v>
      </c>
      <c r="D770" s="24">
        <v>26</v>
      </c>
      <c r="E770" s="24">
        <v>22</v>
      </c>
    </row>
    <row r="771" spans="1:5" x14ac:dyDescent="0.25">
      <c r="A771" s="24">
        <v>770</v>
      </c>
      <c r="B771" s="24">
        <v>502341</v>
      </c>
      <c r="C771" s="24" t="s">
        <v>1615</v>
      </c>
      <c r="D771" s="24">
        <v>26</v>
      </c>
      <c r="E771" s="24">
        <v>22</v>
      </c>
    </row>
    <row r="772" spans="1:5" x14ac:dyDescent="0.25">
      <c r="A772" s="24">
        <v>771</v>
      </c>
      <c r="B772" s="24">
        <v>516830</v>
      </c>
      <c r="C772" s="24" t="s">
        <v>1616</v>
      </c>
      <c r="D772" s="24">
        <v>54</v>
      </c>
      <c r="E772" s="24">
        <v>50</v>
      </c>
    </row>
    <row r="773" spans="1:5" x14ac:dyDescent="0.25">
      <c r="A773" s="24">
        <v>772</v>
      </c>
      <c r="B773" s="24">
        <v>503797</v>
      </c>
      <c r="C773" s="24" t="s">
        <v>1617</v>
      </c>
      <c r="D773" s="24">
        <v>8</v>
      </c>
      <c r="E773" s="24">
        <v>3</v>
      </c>
    </row>
    <row r="774" spans="1:5" x14ac:dyDescent="0.25">
      <c r="A774" s="24">
        <v>773</v>
      </c>
      <c r="B774" s="24">
        <v>500313</v>
      </c>
      <c r="C774" s="24" t="s">
        <v>4179</v>
      </c>
      <c r="D774" s="24">
        <v>27</v>
      </c>
      <c r="E774" s="24">
        <v>23</v>
      </c>
    </row>
    <row r="775" spans="1:5" x14ac:dyDescent="0.25">
      <c r="A775" s="24">
        <v>774</v>
      </c>
      <c r="B775" s="24">
        <v>520233</v>
      </c>
      <c r="C775" s="24" t="s">
        <v>1620</v>
      </c>
      <c r="D775" s="24">
        <v>57</v>
      </c>
      <c r="E775" s="24">
        <v>53</v>
      </c>
    </row>
    <row r="776" spans="1:5" x14ac:dyDescent="0.25">
      <c r="A776" s="24">
        <v>775</v>
      </c>
      <c r="B776" s="24">
        <v>503801</v>
      </c>
      <c r="C776" s="24" t="s">
        <v>1621</v>
      </c>
      <c r="D776" s="24">
        <v>8</v>
      </c>
      <c r="E776" s="24">
        <v>3</v>
      </c>
    </row>
    <row r="777" spans="1:5" x14ac:dyDescent="0.25">
      <c r="A777" s="24">
        <v>776</v>
      </c>
      <c r="B777" s="24">
        <v>516040</v>
      </c>
      <c r="C777" s="24" t="s">
        <v>1622</v>
      </c>
      <c r="D777" s="24">
        <v>52</v>
      </c>
      <c r="E777" s="24">
        <v>48</v>
      </c>
    </row>
    <row r="778" spans="1:5" x14ac:dyDescent="0.25">
      <c r="A778" s="24">
        <v>777</v>
      </c>
      <c r="B778" s="24">
        <v>525758</v>
      </c>
      <c r="C778" s="24" t="s">
        <v>1622</v>
      </c>
      <c r="D778" s="24">
        <v>76</v>
      </c>
      <c r="E778" s="24">
        <v>68</v>
      </c>
    </row>
    <row r="779" spans="1:5" x14ac:dyDescent="0.25">
      <c r="A779" s="24">
        <v>778</v>
      </c>
      <c r="B779" s="24">
        <v>542971</v>
      </c>
      <c r="C779" s="24" t="s">
        <v>1623</v>
      </c>
      <c r="D779" s="24">
        <v>30</v>
      </c>
      <c r="E779" s="24">
        <v>26</v>
      </c>
    </row>
    <row r="780" spans="1:5" x14ac:dyDescent="0.25">
      <c r="A780" s="24">
        <v>779</v>
      </c>
      <c r="B780" s="24">
        <v>514926</v>
      </c>
      <c r="C780" s="24" t="s">
        <v>1624</v>
      </c>
      <c r="D780" s="24">
        <v>51</v>
      </c>
      <c r="E780" s="24">
        <v>47</v>
      </c>
    </row>
    <row r="781" spans="1:5" x14ac:dyDescent="0.25">
      <c r="A781" s="24">
        <v>780</v>
      </c>
      <c r="B781" s="24">
        <v>509680</v>
      </c>
      <c r="C781" s="24" t="s">
        <v>1627</v>
      </c>
      <c r="D781" s="24">
        <v>38</v>
      </c>
      <c r="E781" s="24">
        <v>34</v>
      </c>
    </row>
    <row r="782" spans="1:5" x14ac:dyDescent="0.25">
      <c r="A782" s="24">
        <v>781</v>
      </c>
      <c r="B782" s="24">
        <v>501620</v>
      </c>
      <c r="C782" s="24" t="s">
        <v>1628</v>
      </c>
      <c r="D782" s="24">
        <v>9</v>
      </c>
      <c r="E782" s="24">
        <v>5</v>
      </c>
    </row>
    <row r="783" spans="1:5" x14ac:dyDescent="0.25">
      <c r="A783" s="24">
        <v>782</v>
      </c>
      <c r="B783" s="24">
        <v>556581</v>
      </c>
      <c r="C783" s="24" t="s">
        <v>1629</v>
      </c>
      <c r="D783" s="24">
        <v>12</v>
      </c>
      <c r="E783" s="24">
        <v>8</v>
      </c>
    </row>
    <row r="784" spans="1:5" x14ac:dyDescent="0.25">
      <c r="A784" s="24">
        <v>783</v>
      </c>
      <c r="B784" s="24">
        <v>524492</v>
      </c>
      <c r="C784" s="24" t="s">
        <v>1630</v>
      </c>
      <c r="D784" s="24">
        <v>63</v>
      </c>
      <c r="E784" s="24">
        <v>59</v>
      </c>
    </row>
    <row r="785" spans="1:5" x14ac:dyDescent="0.25">
      <c r="A785" s="24">
        <v>784</v>
      </c>
      <c r="B785" s="24">
        <v>510441</v>
      </c>
      <c r="C785" s="24" t="s">
        <v>1631</v>
      </c>
      <c r="D785" s="24">
        <v>39</v>
      </c>
      <c r="E785" s="24">
        <v>35</v>
      </c>
    </row>
    <row r="786" spans="1:5" x14ac:dyDescent="0.25">
      <c r="A786" s="24">
        <v>785</v>
      </c>
      <c r="B786" s="24">
        <v>514934</v>
      </c>
      <c r="C786" s="24" t="s">
        <v>1632</v>
      </c>
      <c r="D786" s="24">
        <v>51</v>
      </c>
      <c r="E786" s="24">
        <v>47</v>
      </c>
    </row>
    <row r="787" spans="1:5" x14ac:dyDescent="0.25">
      <c r="A787" s="24">
        <v>786</v>
      </c>
      <c r="B787" s="24">
        <v>525766</v>
      </c>
      <c r="C787" s="24" t="s">
        <v>1633</v>
      </c>
      <c r="D787" s="24">
        <v>50</v>
      </c>
      <c r="E787" s="24">
        <v>46</v>
      </c>
    </row>
    <row r="788" spans="1:5" x14ac:dyDescent="0.25">
      <c r="A788" s="24">
        <v>787</v>
      </c>
      <c r="B788" s="24">
        <v>520241</v>
      </c>
      <c r="C788" s="24" t="s">
        <v>1634</v>
      </c>
      <c r="D788" s="24">
        <v>57</v>
      </c>
      <c r="E788" s="24">
        <v>53</v>
      </c>
    </row>
    <row r="789" spans="1:5" x14ac:dyDescent="0.25">
      <c r="A789" s="24">
        <v>788</v>
      </c>
      <c r="B789" s="24">
        <v>503193</v>
      </c>
      <c r="C789" s="24" t="s">
        <v>1635</v>
      </c>
      <c r="D789" s="24">
        <v>28</v>
      </c>
      <c r="E789" s="24">
        <v>24</v>
      </c>
    </row>
    <row r="790" spans="1:5" x14ac:dyDescent="0.25">
      <c r="A790" s="24">
        <v>789</v>
      </c>
      <c r="B790" s="24">
        <v>520004</v>
      </c>
      <c r="C790" s="24" t="s">
        <v>1636</v>
      </c>
      <c r="D790" s="24">
        <v>57</v>
      </c>
      <c r="E790" s="24">
        <v>53</v>
      </c>
    </row>
    <row r="791" spans="1:5" x14ac:dyDescent="0.25">
      <c r="A791" s="24">
        <v>790</v>
      </c>
      <c r="B791" s="24">
        <v>523526</v>
      </c>
      <c r="C791" s="24" t="s">
        <v>1638</v>
      </c>
      <c r="D791" s="24">
        <v>58</v>
      </c>
      <c r="E791" s="24">
        <v>54</v>
      </c>
    </row>
    <row r="792" spans="1:5" x14ac:dyDescent="0.25">
      <c r="A792" s="24">
        <v>791</v>
      </c>
      <c r="B792" s="24">
        <v>527327</v>
      </c>
      <c r="C792" s="24" t="s">
        <v>1639</v>
      </c>
      <c r="D792" s="24">
        <v>67</v>
      </c>
      <c r="E792" s="24">
        <v>63</v>
      </c>
    </row>
    <row r="793" spans="1:5" x14ac:dyDescent="0.25">
      <c r="A793" s="24">
        <v>792</v>
      </c>
      <c r="B793" s="24">
        <v>503819</v>
      </c>
      <c r="C793" s="24" t="s">
        <v>1640</v>
      </c>
      <c r="D793" s="24">
        <v>8</v>
      </c>
      <c r="E793" s="24">
        <v>3</v>
      </c>
    </row>
    <row r="794" spans="1:5" x14ac:dyDescent="0.25">
      <c r="A794" s="24">
        <v>793</v>
      </c>
      <c r="B794" s="24">
        <v>501140</v>
      </c>
      <c r="C794" s="24" t="s">
        <v>1641</v>
      </c>
      <c r="D794" s="24">
        <v>25</v>
      </c>
      <c r="E794" s="24">
        <v>21</v>
      </c>
    </row>
    <row r="795" spans="1:5" x14ac:dyDescent="0.25">
      <c r="A795" s="24">
        <v>794</v>
      </c>
      <c r="B795" s="24">
        <v>522490</v>
      </c>
      <c r="C795" s="24" t="s">
        <v>1642</v>
      </c>
      <c r="D795" s="24">
        <v>77</v>
      </c>
      <c r="E795" s="24">
        <v>69</v>
      </c>
    </row>
    <row r="796" spans="1:5" x14ac:dyDescent="0.25">
      <c r="A796" s="24">
        <v>795</v>
      </c>
      <c r="B796" s="24">
        <v>514942</v>
      </c>
      <c r="C796" s="24" t="s">
        <v>1643</v>
      </c>
      <c r="D796" s="24">
        <v>51</v>
      </c>
      <c r="E796" s="24">
        <v>47</v>
      </c>
    </row>
    <row r="797" spans="1:5" x14ac:dyDescent="0.25">
      <c r="A797" s="24">
        <v>796</v>
      </c>
      <c r="B797" s="24">
        <v>519278</v>
      </c>
      <c r="C797" s="24" t="s">
        <v>1644</v>
      </c>
      <c r="D797" s="24">
        <v>56</v>
      </c>
      <c r="E797" s="24">
        <v>52</v>
      </c>
    </row>
    <row r="798" spans="1:5" x14ac:dyDescent="0.25">
      <c r="A798" s="24">
        <v>797</v>
      </c>
      <c r="B798" s="24">
        <v>510459</v>
      </c>
      <c r="C798" s="24" t="s">
        <v>1647</v>
      </c>
      <c r="D798" s="24">
        <v>36</v>
      </c>
      <c r="E798" s="24">
        <v>32</v>
      </c>
    </row>
    <row r="799" spans="1:5" x14ac:dyDescent="0.25">
      <c r="A799" s="24">
        <v>798</v>
      </c>
      <c r="B799" s="24">
        <v>501638</v>
      </c>
      <c r="C799" s="24" t="s">
        <v>1648</v>
      </c>
      <c r="D799" s="24">
        <v>9</v>
      </c>
      <c r="E799" s="24">
        <v>5</v>
      </c>
    </row>
    <row r="800" spans="1:5" x14ac:dyDescent="0.25">
      <c r="A800" s="24">
        <v>799</v>
      </c>
      <c r="B800" s="24">
        <v>517623</v>
      </c>
      <c r="C800" s="24" t="s">
        <v>1649</v>
      </c>
      <c r="D800" s="24">
        <v>32</v>
      </c>
      <c r="E800" s="24">
        <v>28</v>
      </c>
    </row>
    <row r="801" spans="1:5" x14ac:dyDescent="0.25">
      <c r="A801" s="24">
        <v>800</v>
      </c>
      <c r="B801" s="24">
        <v>510467</v>
      </c>
      <c r="C801" s="24" t="s">
        <v>1650</v>
      </c>
      <c r="D801" s="24">
        <v>36</v>
      </c>
      <c r="E801" s="24">
        <v>32</v>
      </c>
    </row>
    <row r="802" spans="1:5" x14ac:dyDescent="0.25">
      <c r="A802" s="24">
        <v>801</v>
      </c>
      <c r="B802" s="24">
        <v>521469</v>
      </c>
      <c r="C802" s="24" t="s">
        <v>1651</v>
      </c>
      <c r="D802" s="24">
        <v>74</v>
      </c>
      <c r="E802" s="24">
        <v>66</v>
      </c>
    </row>
    <row r="803" spans="1:5" x14ac:dyDescent="0.25">
      <c r="A803" s="24">
        <v>802</v>
      </c>
      <c r="B803" s="24">
        <v>514951</v>
      </c>
      <c r="C803" s="24" t="s">
        <v>1652</v>
      </c>
      <c r="D803" s="24">
        <v>51</v>
      </c>
      <c r="E803" s="24">
        <v>47</v>
      </c>
    </row>
    <row r="804" spans="1:5" x14ac:dyDescent="0.25">
      <c r="A804" s="24">
        <v>803</v>
      </c>
      <c r="B804" s="24">
        <v>503207</v>
      </c>
      <c r="C804" s="24" t="s">
        <v>1653</v>
      </c>
      <c r="D804" s="24">
        <v>28</v>
      </c>
      <c r="E804" s="24">
        <v>24</v>
      </c>
    </row>
    <row r="805" spans="1:5" x14ac:dyDescent="0.25">
      <c r="A805" s="24">
        <v>804</v>
      </c>
      <c r="B805" s="24">
        <v>509698</v>
      </c>
      <c r="C805" s="24" t="s">
        <v>1654</v>
      </c>
      <c r="D805" s="24">
        <v>34</v>
      </c>
      <c r="E805" s="24">
        <v>30</v>
      </c>
    </row>
    <row r="806" spans="1:5" x14ac:dyDescent="0.25">
      <c r="A806" s="24">
        <v>805</v>
      </c>
      <c r="B806" s="24">
        <v>520268</v>
      </c>
      <c r="C806" s="24" t="s">
        <v>1655</v>
      </c>
      <c r="D806" s="24">
        <v>57</v>
      </c>
      <c r="E806" s="24">
        <v>53</v>
      </c>
    </row>
    <row r="807" spans="1:5" x14ac:dyDescent="0.25">
      <c r="A807" s="24">
        <v>806</v>
      </c>
      <c r="B807" s="24">
        <v>526754</v>
      </c>
      <c r="C807" s="24" t="s">
        <v>1656</v>
      </c>
      <c r="D807" s="24">
        <v>65</v>
      </c>
      <c r="E807" s="24">
        <v>61</v>
      </c>
    </row>
    <row r="808" spans="1:5" x14ac:dyDescent="0.25">
      <c r="A808" s="24">
        <v>807</v>
      </c>
      <c r="B808" s="24">
        <v>524506</v>
      </c>
      <c r="C808" s="24" t="s">
        <v>1657</v>
      </c>
      <c r="D808" s="24">
        <v>62</v>
      </c>
      <c r="E808" s="24">
        <v>58</v>
      </c>
    </row>
    <row r="809" spans="1:5" x14ac:dyDescent="0.25">
      <c r="A809" s="24">
        <v>808</v>
      </c>
      <c r="B809" s="24">
        <v>519286</v>
      </c>
      <c r="C809" s="24" t="s">
        <v>1658</v>
      </c>
      <c r="D809" s="24">
        <v>56</v>
      </c>
      <c r="E809" s="24">
        <v>52</v>
      </c>
    </row>
    <row r="810" spans="1:5" x14ac:dyDescent="0.25">
      <c r="A810" s="24">
        <v>809</v>
      </c>
      <c r="B810" s="24">
        <v>524514</v>
      </c>
      <c r="C810" s="24" t="s">
        <v>1659</v>
      </c>
      <c r="D810" s="24">
        <v>62</v>
      </c>
      <c r="E810" s="24">
        <v>58</v>
      </c>
    </row>
    <row r="811" spans="1:5" x14ac:dyDescent="0.25">
      <c r="A811" s="24">
        <v>810</v>
      </c>
      <c r="B811" s="24">
        <v>524549</v>
      </c>
      <c r="C811" s="24" t="s">
        <v>1660</v>
      </c>
      <c r="D811" s="24">
        <v>62</v>
      </c>
      <c r="E811" s="24">
        <v>58</v>
      </c>
    </row>
    <row r="812" spans="1:5" x14ac:dyDescent="0.25">
      <c r="A812" s="24">
        <v>811</v>
      </c>
      <c r="B812" s="24">
        <v>524522</v>
      </c>
      <c r="C812" s="24" t="s">
        <v>1661</v>
      </c>
      <c r="D812" s="24">
        <v>62</v>
      </c>
      <c r="E812" s="24">
        <v>58</v>
      </c>
    </row>
    <row r="813" spans="1:5" x14ac:dyDescent="0.25">
      <c r="A813" s="24">
        <v>812</v>
      </c>
      <c r="B813" s="24">
        <v>524531</v>
      </c>
      <c r="C813" s="24" t="s">
        <v>1662</v>
      </c>
      <c r="D813" s="24">
        <v>62</v>
      </c>
      <c r="E813" s="24">
        <v>58</v>
      </c>
    </row>
    <row r="814" spans="1:5" x14ac:dyDescent="0.25">
      <c r="A814" s="24">
        <v>813</v>
      </c>
      <c r="B814" s="24">
        <v>500321</v>
      </c>
      <c r="C814" s="24" t="s">
        <v>1663</v>
      </c>
      <c r="D814" s="24">
        <v>31</v>
      </c>
      <c r="E814" s="24">
        <v>27</v>
      </c>
    </row>
    <row r="815" spans="1:5" x14ac:dyDescent="0.25">
      <c r="A815" s="24">
        <v>814</v>
      </c>
      <c r="B815" s="24">
        <v>506087</v>
      </c>
      <c r="C815" s="24" t="s">
        <v>1664</v>
      </c>
      <c r="D815" s="24">
        <v>24</v>
      </c>
      <c r="E815" s="24">
        <v>20</v>
      </c>
    </row>
    <row r="816" spans="1:5" x14ac:dyDescent="0.25">
      <c r="A816" s="24">
        <v>815</v>
      </c>
      <c r="B816" s="24">
        <v>522503</v>
      </c>
      <c r="C816" s="24" t="s">
        <v>1665</v>
      </c>
      <c r="D816" s="24">
        <v>77</v>
      </c>
      <c r="E816" s="24">
        <v>69</v>
      </c>
    </row>
    <row r="817" spans="1:5" x14ac:dyDescent="0.25">
      <c r="A817" s="24">
        <v>816</v>
      </c>
      <c r="B817" s="24">
        <v>507911</v>
      </c>
      <c r="C817" s="24" t="s">
        <v>1666</v>
      </c>
      <c r="D817" s="24">
        <v>8</v>
      </c>
      <c r="E817" s="24">
        <v>3</v>
      </c>
    </row>
    <row r="818" spans="1:5" x14ac:dyDescent="0.25">
      <c r="A818" s="24">
        <v>817</v>
      </c>
      <c r="B818" s="24">
        <v>599310</v>
      </c>
      <c r="C818" s="24" t="s">
        <v>2635</v>
      </c>
      <c r="D818" s="24">
        <v>74</v>
      </c>
      <c r="E818" s="24">
        <v>72</v>
      </c>
    </row>
    <row r="819" spans="1:5" x14ac:dyDescent="0.25">
      <c r="A819" s="24">
        <v>818</v>
      </c>
      <c r="B819" s="24">
        <v>527335</v>
      </c>
      <c r="C819" s="24" t="s">
        <v>1667</v>
      </c>
      <c r="D819" s="24">
        <v>66</v>
      </c>
      <c r="E819" s="24">
        <v>62</v>
      </c>
    </row>
    <row r="820" spans="1:5" x14ac:dyDescent="0.25">
      <c r="A820" s="24">
        <v>819</v>
      </c>
      <c r="B820" s="24">
        <v>501158</v>
      </c>
      <c r="C820" s="24" t="s">
        <v>1668</v>
      </c>
      <c r="D820" s="24">
        <v>25</v>
      </c>
      <c r="E820" s="24">
        <v>21</v>
      </c>
    </row>
    <row r="821" spans="1:5" x14ac:dyDescent="0.25">
      <c r="A821" s="24">
        <v>820</v>
      </c>
      <c r="B821" s="24">
        <v>556165</v>
      </c>
      <c r="C821" s="24" t="s">
        <v>1669</v>
      </c>
      <c r="D821" s="24">
        <v>30</v>
      </c>
      <c r="E821" s="24">
        <v>26</v>
      </c>
    </row>
    <row r="822" spans="1:5" x14ac:dyDescent="0.25">
      <c r="A822" s="24">
        <v>821</v>
      </c>
      <c r="B822" s="24">
        <v>514969</v>
      </c>
      <c r="C822" s="24" t="s">
        <v>1670</v>
      </c>
      <c r="D822" s="24">
        <v>51</v>
      </c>
      <c r="E822" s="24">
        <v>47</v>
      </c>
    </row>
    <row r="823" spans="1:5" x14ac:dyDescent="0.25">
      <c r="A823" s="24">
        <v>822</v>
      </c>
      <c r="B823" s="24">
        <v>543152</v>
      </c>
      <c r="C823" s="24" t="s">
        <v>1671</v>
      </c>
      <c r="D823" s="24">
        <v>78</v>
      </c>
      <c r="E823" s="24">
        <v>70</v>
      </c>
    </row>
    <row r="824" spans="1:5" x14ac:dyDescent="0.25">
      <c r="A824" s="24">
        <v>823</v>
      </c>
      <c r="B824" s="24">
        <v>516058</v>
      </c>
      <c r="C824" s="24" t="s">
        <v>1672</v>
      </c>
      <c r="D824" s="24">
        <v>52</v>
      </c>
      <c r="E824" s="24">
        <v>48</v>
      </c>
    </row>
    <row r="825" spans="1:5" x14ac:dyDescent="0.25">
      <c r="A825" s="24">
        <v>824</v>
      </c>
      <c r="B825" s="24">
        <v>521477</v>
      </c>
      <c r="C825" s="24" t="s">
        <v>1673</v>
      </c>
      <c r="D825" s="24">
        <v>74</v>
      </c>
      <c r="E825" s="24">
        <v>66</v>
      </c>
    </row>
    <row r="826" spans="1:5" x14ac:dyDescent="0.25">
      <c r="A826" s="24">
        <v>825</v>
      </c>
      <c r="B826" s="24">
        <v>514021</v>
      </c>
      <c r="C826" s="24" t="s">
        <v>4180</v>
      </c>
      <c r="D826" s="24">
        <v>22</v>
      </c>
      <c r="E826" s="24">
        <v>18</v>
      </c>
    </row>
    <row r="827" spans="1:5" x14ac:dyDescent="0.25">
      <c r="A827" s="24">
        <v>826</v>
      </c>
      <c r="B827" s="24">
        <v>504394</v>
      </c>
      <c r="C827" s="24" t="s">
        <v>1677</v>
      </c>
      <c r="D827" s="24">
        <v>14</v>
      </c>
      <c r="E827" s="24">
        <v>10</v>
      </c>
    </row>
    <row r="828" spans="1:5" x14ac:dyDescent="0.25">
      <c r="A828" s="24">
        <v>827</v>
      </c>
      <c r="B828" s="24">
        <v>516066</v>
      </c>
      <c r="C828" s="24" t="s">
        <v>1678</v>
      </c>
      <c r="D828" s="24">
        <v>52</v>
      </c>
      <c r="E828" s="24">
        <v>48</v>
      </c>
    </row>
    <row r="829" spans="1:5" x14ac:dyDescent="0.25">
      <c r="A829" s="24">
        <v>828</v>
      </c>
      <c r="B829" s="24">
        <v>507121</v>
      </c>
      <c r="C829" s="24" t="s">
        <v>1679</v>
      </c>
      <c r="D829" s="24">
        <v>12</v>
      </c>
      <c r="E829" s="24">
        <v>8</v>
      </c>
    </row>
    <row r="830" spans="1:5" x14ac:dyDescent="0.25">
      <c r="A830" s="24">
        <v>829</v>
      </c>
      <c r="B830" s="24">
        <v>556408</v>
      </c>
      <c r="C830" s="24" t="s">
        <v>1680</v>
      </c>
      <c r="D830" s="24">
        <v>16</v>
      </c>
      <c r="E830" s="24">
        <v>12</v>
      </c>
    </row>
    <row r="831" spans="1:5" x14ac:dyDescent="0.25">
      <c r="A831" s="24">
        <v>830</v>
      </c>
      <c r="B831" s="24">
        <v>514977</v>
      </c>
      <c r="C831" s="24" t="s">
        <v>1681</v>
      </c>
      <c r="D831" s="24">
        <v>50</v>
      </c>
      <c r="E831" s="24">
        <v>46</v>
      </c>
    </row>
    <row r="832" spans="1:5" x14ac:dyDescent="0.25">
      <c r="A832" s="24">
        <v>831</v>
      </c>
      <c r="B832" s="24">
        <v>504408</v>
      </c>
      <c r="C832" s="24" t="s">
        <v>1682</v>
      </c>
      <c r="D832" s="24">
        <v>18</v>
      </c>
      <c r="E832" s="24">
        <v>14</v>
      </c>
    </row>
    <row r="833" spans="1:5" x14ac:dyDescent="0.25">
      <c r="A833" s="24">
        <v>832</v>
      </c>
      <c r="B833" s="24">
        <v>514039</v>
      </c>
      <c r="C833" s="24" t="s">
        <v>1682</v>
      </c>
      <c r="D833" s="24">
        <v>22</v>
      </c>
      <c r="E833" s="24">
        <v>18</v>
      </c>
    </row>
    <row r="834" spans="1:5" x14ac:dyDescent="0.25">
      <c r="A834" s="24">
        <v>833</v>
      </c>
      <c r="B834" s="24">
        <v>543004</v>
      </c>
      <c r="C834" s="24" t="s">
        <v>1683</v>
      </c>
      <c r="D834" s="24">
        <v>20</v>
      </c>
      <c r="E834" s="24">
        <v>16</v>
      </c>
    </row>
    <row r="835" spans="1:5" x14ac:dyDescent="0.25">
      <c r="A835" s="24">
        <v>834</v>
      </c>
      <c r="B835" s="24">
        <v>525774</v>
      </c>
      <c r="C835" s="24" t="s">
        <v>1684</v>
      </c>
      <c r="D835" s="24">
        <v>50</v>
      </c>
      <c r="E835" s="24">
        <v>46</v>
      </c>
    </row>
    <row r="836" spans="1:5" x14ac:dyDescent="0.25">
      <c r="A836" s="24">
        <v>835</v>
      </c>
      <c r="B836" s="24">
        <v>555487</v>
      </c>
      <c r="C836" s="24" t="s">
        <v>1685</v>
      </c>
      <c r="D836" s="24">
        <v>8</v>
      </c>
      <c r="E836" s="24">
        <v>3</v>
      </c>
    </row>
    <row r="837" spans="1:5" x14ac:dyDescent="0.25">
      <c r="A837" s="24">
        <v>836</v>
      </c>
      <c r="B837" s="24">
        <v>523534</v>
      </c>
      <c r="C837" s="24" t="s">
        <v>4181</v>
      </c>
      <c r="D837" s="24">
        <v>58</v>
      </c>
      <c r="E837" s="24">
        <v>54</v>
      </c>
    </row>
    <row r="838" spans="1:5" x14ac:dyDescent="0.25">
      <c r="A838" s="24">
        <v>837</v>
      </c>
      <c r="B838" s="24">
        <v>516848</v>
      </c>
      <c r="C838" s="24" t="s">
        <v>1688</v>
      </c>
      <c r="D838" s="24">
        <v>55</v>
      </c>
      <c r="E838" s="24">
        <v>51</v>
      </c>
    </row>
    <row r="839" spans="1:5" x14ac:dyDescent="0.25">
      <c r="A839" s="24">
        <v>838</v>
      </c>
      <c r="B839" s="24">
        <v>513156</v>
      </c>
      <c r="C839" s="24" t="s">
        <v>1691</v>
      </c>
      <c r="D839" s="24">
        <v>17</v>
      </c>
      <c r="E839" s="24">
        <v>13</v>
      </c>
    </row>
    <row r="840" spans="1:5" x14ac:dyDescent="0.25">
      <c r="A840" s="24">
        <v>839</v>
      </c>
      <c r="B840" s="24">
        <v>543161</v>
      </c>
      <c r="C840" s="24" t="s">
        <v>1692</v>
      </c>
      <c r="D840" s="24">
        <v>78</v>
      </c>
      <c r="E840" s="24">
        <v>70</v>
      </c>
    </row>
    <row r="841" spans="1:5" x14ac:dyDescent="0.25">
      <c r="A841" s="24">
        <v>840</v>
      </c>
      <c r="B841" s="24">
        <v>516856</v>
      </c>
      <c r="C841" s="24" t="s">
        <v>1693</v>
      </c>
      <c r="D841" s="24">
        <v>44</v>
      </c>
      <c r="E841" s="24">
        <v>40</v>
      </c>
    </row>
    <row r="842" spans="1:5" x14ac:dyDescent="0.25">
      <c r="A842" s="24">
        <v>841</v>
      </c>
      <c r="B842" s="24">
        <v>501166</v>
      </c>
      <c r="C842" s="24" t="s">
        <v>1694</v>
      </c>
      <c r="D842" s="24">
        <v>25</v>
      </c>
      <c r="E842" s="24">
        <v>21</v>
      </c>
    </row>
    <row r="843" spans="1:5" x14ac:dyDescent="0.25">
      <c r="A843" s="24">
        <v>842</v>
      </c>
      <c r="B843" s="24">
        <v>502359</v>
      </c>
      <c r="C843" s="24" t="s">
        <v>1695</v>
      </c>
      <c r="D843" s="24">
        <v>26</v>
      </c>
      <c r="E843" s="24">
        <v>22</v>
      </c>
    </row>
    <row r="844" spans="1:5" x14ac:dyDescent="0.25">
      <c r="A844" s="24">
        <v>843</v>
      </c>
      <c r="B844" s="24">
        <v>522511</v>
      </c>
      <c r="C844" s="24" t="s">
        <v>1696</v>
      </c>
      <c r="D844" s="24">
        <v>75</v>
      </c>
      <c r="E844" s="24">
        <v>67</v>
      </c>
    </row>
    <row r="845" spans="1:5" x14ac:dyDescent="0.25">
      <c r="A845" s="24">
        <v>844</v>
      </c>
      <c r="B845" s="24">
        <v>522520</v>
      </c>
      <c r="C845" s="24" t="s">
        <v>1697</v>
      </c>
      <c r="D845" s="24">
        <v>77</v>
      </c>
      <c r="E845" s="24">
        <v>69</v>
      </c>
    </row>
    <row r="846" spans="1:5" x14ac:dyDescent="0.25">
      <c r="A846" s="24">
        <v>845</v>
      </c>
      <c r="B846" s="24">
        <v>516074</v>
      </c>
      <c r="C846" s="24" t="s">
        <v>1698</v>
      </c>
      <c r="D846" s="24">
        <v>52</v>
      </c>
      <c r="E846" s="24">
        <v>48</v>
      </c>
    </row>
    <row r="847" spans="1:5" x14ac:dyDescent="0.25">
      <c r="A847" s="24">
        <v>846</v>
      </c>
      <c r="B847" s="24">
        <v>502367</v>
      </c>
      <c r="C847" s="24" t="s">
        <v>1699</v>
      </c>
      <c r="D847" s="24">
        <v>26</v>
      </c>
      <c r="E847" s="24">
        <v>22</v>
      </c>
    </row>
    <row r="848" spans="1:5" x14ac:dyDescent="0.25">
      <c r="A848" s="24">
        <v>847</v>
      </c>
      <c r="B848" s="24">
        <v>502375</v>
      </c>
      <c r="C848" s="24" t="s">
        <v>1701</v>
      </c>
      <c r="D848" s="24">
        <v>26</v>
      </c>
      <c r="E848" s="24">
        <v>22</v>
      </c>
    </row>
    <row r="849" spans="1:5" x14ac:dyDescent="0.25">
      <c r="A849" s="24">
        <v>848</v>
      </c>
      <c r="B849" s="24">
        <v>509701</v>
      </c>
      <c r="C849" s="24" t="s">
        <v>1702</v>
      </c>
      <c r="D849" s="24">
        <v>34</v>
      </c>
      <c r="E849" s="24">
        <v>30</v>
      </c>
    </row>
    <row r="850" spans="1:5" x14ac:dyDescent="0.25">
      <c r="A850" s="24">
        <v>849</v>
      </c>
      <c r="B850" s="24">
        <v>507300</v>
      </c>
      <c r="C850" s="24" t="s">
        <v>1703</v>
      </c>
      <c r="D850" s="24">
        <v>39</v>
      </c>
      <c r="E850" s="24">
        <v>35</v>
      </c>
    </row>
    <row r="851" spans="1:5" x14ac:dyDescent="0.25">
      <c r="A851" s="24">
        <v>850</v>
      </c>
      <c r="B851" s="24">
        <v>512303</v>
      </c>
      <c r="C851" s="24" t="s">
        <v>1704</v>
      </c>
      <c r="D851" s="24">
        <v>40</v>
      </c>
      <c r="E851" s="24">
        <v>36</v>
      </c>
    </row>
    <row r="852" spans="1:5" x14ac:dyDescent="0.25">
      <c r="A852" s="24">
        <v>851</v>
      </c>
      <c r="B852" s="24">
        <v>514985</v>
      </c>
      <c r="C852" s="24" t="s">
        <v>1705</v>
      </c>
      <c r="D852" s="24">
        <v>51</v>
      </c>
      <c r="E852" s="24">
        <v>47</v>
      </c>
    </row>
    <row r="853" spans="1:5" x14ac:dyDescent="0.25">
      <c r="A853" s="24">
        <v>852</v>
      </c>
      <c r="B853" s="24">
        <v>507938</v>
      </c>
      <c r="C853" s="24" t="s">
        <v>1706</v>
      </c>
      <c r="D853" s="24">
        <v>8</v>
      </c>
      <c r="E853" s="24">
        <v>3</v>
      </c>
    </row>
    <row r="854" spans="1:5" x14ac:dyDescent="0.25">
      <c r="A854" s="24">
        <v>853</v>
      </c>
      <c r="B854" s="24">
        <v>558320</v>
      </c>
      <c r="C854" s="24" t="s">
        <v>1708</v>
      </c>
      <c r="D854" s="24">
        <v>27</v>
      </c>
      <c r="E854" s="24">
        <v>23</v>
      </c>
    </row>
    <row r="855" spans="1:5" x14ac:dyDescent="0.25">
      <c r="A855" s="24">
        <v>854</v>
      </c>
      <c r="B855" s="24">
        <v>506095</v>
      </c>
      <c r="C855" s="24" t="s">
        <v>1709</v>
      </c>
      <c r="D855" s="24">
        <v>24</v>
      </c>
      <c r="E855" s="24">
        <v>20</v>
      </c>
    </row>
    <row r="856" spans="1:5" x14ac:dyDescent="0.25">
      <c r="A856" s="24">
        <v>855</v>
      </c>
      <c r="B856" s="24">
        <v>501174</v>
      </c>
      <c r="C856" s="24" t="s">
        <v>1710</v>
      </c>
      <c r="D856" s="24">
        <v>25</v>
      </c>
      <c r="E856" s="24">
        <v>21</v>
      </c>
    </row>
    <row r="857" spans="1:5" x14ac:dyDescent="0.25">
      <c r="A857" s="24">
        <v>856</v>
      </c>
      <c r="B857" s="24">
        <v>556807</v>
      </c>
      <c r="C857" s="24" t="s">
        <v>1711</v>
      </c>
      <c r="D857" s="24">
        <v>36</v>
      </c>
      <c r="E857" s="24">
        <v>32</v>
      </c>
    </row>
    <row r="858" spans="1:5" x14ac:dyDescent="0.25">
      <c r="A858" s="24">
        <v>857</v>
      </c>
      <c r="B858" s="24">
        <v>528391</v>
      </c>
      <c r="C858" s="24" t="s">
        <v>1712</v>
      </c>
      <c r="D858" s="24">
        <v>75</v>
      </c>
      <c r="E858" s="24">
        <v>73</v>
      </c>
    </row>
    <row r="859" spans="1:5" x14ac:dyDescent="0.25">
      <c r="A859" s="24">
        <v>858</v>
      </c>
      <c r="B859" s="24">
        <v>520276</v>
      </c>
      <c r="C859" s="24" t="s">
        <v>1714</v>
      </c>
      <c r="D859" s="24">
        <v>57</v>
      </c>
      <c r="E859" s="24">
        <v>53</v>
      </c>
    </row>
    <row r="860" spans="1:5" x14ac:dyDescent="0.25">
      <c r="A860" s="24">
        <v>859</v>
      </c>
      <c r="B860" s="24">
        <v>507946</v>
      </c>
      <c r="C860" s="24" t="s">
        <v>1715</v>
      </c>
      <c r="D860" s="24">
        <v>7</v>
      </c>
      <c r="E860" s="24">
        <v>2</v>
      </c>
    </row>
    <row r="861" spans="1:5" x14ac:dyDescent="0.25">
      <c r="A861" s="24">
        <v>860</v>
      </c>
      <c r="B861" s="24">
        <v>504416</v>
      </c>
      <c r="C861" s="24" t="s">
        <v>1716</v>
      </c>
      <c r="D861" s="24">
        <v>13</v>
      </c>
      <c r="E861" s="24">
        <v>9</v>
      </c>
    </row>
    <row r="862" spans="1:5" x14ac:dyDescent="0.25">
      <c r="A862" s="24">
        <v>861</v>
      </c>
      <c r="B862" s="24">
        <v>504424</v>
      </c>
      <c r="C862" s="24" t="s">
        <v>1717</v>
      </c>
      <c r="D862" s="24">
        <v>18</v>
      </c>
      <c r="E862" s="24">
        <v>14</v>
      </c>
    </row>
    <row r="863" spans="1:5" x14ac:dyDescent="0.25">
      <c r="A863" s="24">
        <v>862</v>
      </c>
      <c r="B863" s="24">
        <v>543179</v>
      </c>
      <c r="C863" s="24" t="s">
        <v>1718</v>
      </c>
      <c r="D863" s="24">
        <v>59</v>
      </c>
      <c r="E863" s="24">
        <v>55</v>
      </c>
    </row>
    <row r="864" spans="1:5" x14ac:dyDescent="0.25">
      <c r="A864" s="24">
        <v>863</v>
      </c>
      <c r="B864" s="24">
        <v>525782</v>
      </c>
      <c r="C864" s="24" t="s">
        <v>1719</v>
      </c>
      <c r="D864" s="24">
        <v>76</v>
      </c>
      <c r="E864" s="24">
        <v>68</v>
      </c>
    </row>
    <row r="865" spans="1:5" x14ac:dyDescent="0.25">
      <c r="A865" s="24">
        <v>864</v>
      </c>
      <c r="B865" s="24">
        <v>502383</v>
      </c>
      <c r="C865" s="24" t="s">
        <v>4182</v>
      </c>
      <c r="D865" s="24">
        <v>26</v>
      </c>
      <c r="E865" s="24">
        <v>22</v>
      </c>
    </row>
    <row r="866" spans="1:5" x14ac:dyDescent="0.25">
      <c r="A866" s="24">
        <v>865</v>
      </c>
      <c r="B866" s="24">
        <v>507954</v>
      </c>
      <c r="C866" s="24" t="s">
        <v>1722</v>
      </c>
      <c r="D866" s="24">
        <v>6</v>
      </c>
      <c r="E866" s="24">
        <v>1</v>
      </c>
    </row>
    <row r="867" spans="1:5" x14ac:dyDescent="0.25">
      <c r="A867" s="24">
        <v>866</v>
      </c>
      <c r="B867" s="24">
        <v>517631</v>
      </c>
      <c r="C867" s="24" t="s">
        <v>1722</v>
      </c>
      <c r="D867" s="24">
        <v>32</v>
      </c>
      <c r="E867" s="24">
        <v>28</v>
      </c>
    </row>
    <row r="868" spans="1:5" x14ac:dyDescent="0.25">
      <c r="A868" s="24">
        <v>867</v>
      </c>
      <c r="B868" s="24">
        <v>556157</v>
      </c>
      <c r="C868" s="24" t="s">
        <v>1723</v>
      </c>
      <c r="D868" s="24">
        <v>30</v>
      </c>
      <c r="E868" s="24">
        <v>26</v>
      </c>
    </row>
    <row r="869" spans="1:5" x14ac:dyDescent="0.25">
      <c r="A869" s="24">
        <v>868</v>
      </c>
      <c r="B869" s="24">
        <v>501654</v>
      </c>
      <c r="C869" s="24" t="s">
        <v>1725</v>
      </c>
      <c r="D869" s="24">
        <v>9</v>
      </c>
      <c r="E869" s="24">
        <v>5</v>
      </c>
    </row>
    <row r="870" spans="1:5" x14ac:dyDescent="0.25">
      <c r="A870" s="24">
        <v>869</v>
      </c>
      <c r="B870" s="24">
        <v>543187</v>
      </c>
      <c r="C870" s="24" t="s">
        <v>1726</v>
      </c>
      <c r="D870" s="24">
        <v>69</v>
      </c>
      <c r="E870" s="24">
        <v>65</v>
      </c>
    </row>
    <row r="871" spans="1:5" x14ac:dyDescent="0.25">
      <c r="A871" s="24">
        <v>870</v>
      </c>
      <c r="B871" s="24">
        <v>524557</v>
      </c>
      <c r="C871" s="24" t="s">
        <v>1727</v>
      </c>
      <c r="D871" s="24">
        <v>63</v>
      </c>
      <c r="E871" s="24">
        <v>59</v>
      </c>
    </row>
    <row r="872" spans="1:5" x14ac:dyDescent="0.25">
      <c r="A872" s="24">
        <v>871</v>
      </c>
      <c r="B872" s="24">
        <v>526762</v>
      </c>
      <c r="C872" s="24" t="s">
        <v>1728</v>
      </c>
      <c r="D872" s="24">
        <v>65</v>
      </c>
      <c r="E872" s="24">
        <v>61</v>
      </c>
    </row>
    <row r="873" spans="1:5" x14ac:dyDescent="0.25">
      <c r="A873" s="24">
        <v>872</v>
      </c>
      <c r="B873" s="24">
        <v>507962</v>
      </c>
      <c r="C873" s="24" t="s">
        <v>1729</v>
      </c>
      <c r="D873" s="24">
        <v>6</v>
      </c>
      <c r="E873" s="24">
        <v>1</v>
      </c>
    </row>
    <row r="874" spans="1:5" x14ac:dyDescent="0.25">
      <c r="A874" s="24">
        <v>873</v>
      </c>
      <c r="B874" s="24">
        <v>524565</v>
      </c>
      <c r="C874" s="24" t="s">
        <v>1730</v>
      </c>
      <c r="D874" s="24">
        <v>63</v>
      </c>
      <c r="E874" s="24">
        <v>59</v>
      </c>
    </row>
    <row r="875" spans="1:5" x14ac:dyDescent="0.25">
      <c r="A875" s="24">
        <v>874</v>
      </c>
      <c r="B875" s="24">
        <v>510505</v>
      </c>
      <c r="C875" s="24" t="s">
        <v>1731</v>
      </c>
      <c r="D875" s="24">
        <v>36</v>
      </c>
      <c r="E875" s="24">
        <v>32</v>
      </c>
    </row>
    <row r="876" spans="1:5" x14ac:dyDescent="0.25">
      <c r="A876" s="24">
        <v>875</v>
      </c>
      <c r="B876" s="24">
        <v>524573</v>
      </c>
      <c r="C876" s="24" t="s">
        <v>1731</v>
      </c>
      <c r="D876" s="24">
        <v>63</v>
      </c>
      <c r="E876" s="24">
        <v>59</v>
      </c>
    </row>
    <row r="877" spans="1:5" x14ac:dyDescent="0.25">
      <c r="A877" s="24">
        <v>876</v>
      </c>
      <c r="B877" s="24">
        <v>527343</v>
      </c>
      <c r="C877" s="24" t="s">
        <v>1732</v>
      </c>
      <c r="D877" s="24">
        <v>66</v>
      </c>
      <c r="E877" s="24">
        <v>62</v>
      </c>
    </row>
    <row r="878" spans="1:5" x14ac:dyDescent="0.25">
      <c r="A878" s="24">
        <v>877</v>
      </c>
      <c r="B878" s="24">
        <v>520284</v>
      </c>
      <c r="C878" s="24" t="s">
        <v>1734</v>
      </c>
      <c r="D878" s="24">
        <v>64</v>
      </c>
      <c r="E878" s="24">
        <v>60</v>
      </c>
    </row>
    <row r="879" spans="1:5" x14ac:dyDescent="0.25">
      <c r="A879" s="24">
        <v>878</v>
      </c>
      <c r="B879" s="24">
        <v>510513</v>
      </c>
      <c r="C879" s="24" t="s">
        <v>1735</v>
      </c>
      <c r="D879" s="24">
        <v>36</v>
      </c>
      <c r="E879" s="24">
        <v>32</v>
      </c>
    </row>
    <row r="880" spans="1:5" x14ac:dyDescent="0.25">
      <c r="A880" s="24">
        <v>879</v>
      </c>
      <c r="B880" s="24">
        <v>557714</v>
      </c>
      <c r="C880" s="24" t="s">
        <v>1735</v>
      </c>
      <c r="D880" s="24">
        <v>22</v>
      </c>
      <c r="E880" s="24">
        <v>18</v>
      </c>
    </row>
    <row r="881" spans="1:5" x14ac:dyDescent="0.25">
      <c r="A881" s="24">
        <v>880</v>
      </c>
      <c r="B881" s="24">
        <v>507130</v>
      </c>
      <c r="C881" s="24" t="s">
        <v>1736</v>
      </c>
      <c r="D881" s="24">
        <v>11</v>
      </c>
      <c r="E881" s="24">
        <v>7</v>
      </c>
    </row>
    <row r="882" spans="1:5" x14ac:dyDescent="0.25">
      <c r="A882" s="24">
        <v>881</v>
      </c>
      <c r="B882" s="24">
        <v>518484</v>
      </c>
      <c r="C882" s="24" t="s">
        <v>1737</v>
      </c>
      <c r="D882" s="24">
        <v>47</v>
      </c>
      <c r="E882" s="24">
        <v>43</v>
      </c>
    </row>
    <row r="883" spans="1:5" x14ac:dyDescent="0.25">
      <c r="A883" s="24">
        <v>882</v>
      </c>
      <c r="B883" s="24">
        <v>510521</v>
      </c>
      <c r="C883" s="24" t="s">
        <v>1738</v>
      </c>
      <c r="D883" s="24">
        <v>36</v>
      </c>
      <c r="E883" s="24">
        <v>32</v>
      </c>
    </row>
    <row r="884" spans="1:5" x14ac:dyDescent="0.25">
      <c r="A884" s="24">
        <v>883</v>
      </c>
      <c r="B884" s="24">
        <v>543195</v>
      </c>
      <c r="C884" s="24" t="s">
        <v>1738</v>
      </c>
      <c r="D884" s="24">
        <v>78</v>
      </c>
      <c r="E884" s="24">
        <v>70</v>
      </c>
    </row>
    <row r="885" spans="1:5" x14ac:dyDescent="0.25">
      <c r="A885" s="24">
        <v>884</v>
      </c>
      <c r="B885" s="24">
        <v>514993</v>
      </c>
      <c r="C885" s="24" t="s">
        <v>1739</v>
      </c>
      <c r="D885" s="24">
        <v>51</v>
      </c>
      <c r="E885" s="24">
        <v>47</v>
      </c>
    </row>
    <row r="886" spans="1:5" x14ac:dyDescent="0.25">
      <c r="A886" s="24">
        <v>885</v>
      </c>
      <c r="B886" s="24">
        <v>521485</v>
      </c>
      <c r="C886" s="24" t="s">
        <v>1740</v>
      </c>
      <c r="D886" s="24">
        <v>74</v>
      </c>
      <c r="E886" s="24">
        <v>72</v>
      </c>
    </row>
    <row r="887" spans="1:5" x14ac:dyDescent="0.25">
      <c r="A887" s="24">
        <v>886</v>
      </c>
      <c r="B887" s="24">
        <v>501662</v>
      </c>
      <c r="C887" s="24" t="s">
        <v>4183</v>
      </c>
      <c r="D887" s="24">
        <v>9</v>
      </c>
      <c r="E887" s="24">
        <v>5</v>
      </c>
    </row>
    <row r="888" spans="1:5" x14ac:dyDescent="0.25">
      <c r="A888" s="24">
        <v>887</v>
      </c>
      <c r="B888" s="24">
        <v>520292</v>
      </c>
      <c r="C888" s="24" t="s">
        <v>1744</v>
      </c>
      <c r="D888" s="24">
        <v>57</v>
      </c>
      <c r="E888" s="24">
        <v>53</v>
      </c>
    </row>
    <row r="889" spans="1:5" x14ac:dyDescent="0.25">
      <c r="A889" s="24">
        <v>888</v>
      </c>
      <c r="B889" s="24">
        <v>524581</v>
      </c>
      <c r="C889" s="24" t="s">
        <v>1746</v>
      </c>
      <c r="D889" s="24">
        <v>62</v>
      </c>
      <c r="E889" s="24">
        <v>58</v>
      </c>
    </row>
    <row r="890" spans="1:5" x14ac:dyDescent="0.25">
      <c r="A890" s="24">
        <v>889</v>
      </c>
      <c r="B890" s="24">
        <v>516872</v>
      </c>
      <c r="C890" s="24" t="s">
        <v>1747</v>
      </c>
      <c r="D890" s="24">
        <v>55</v>
      </c>
      <c r="E890" s="24">
        <v>51</v>
      </c>
    </row>
    <row r="891" spans="1:5" x14ac:dyDescent="0.25">
      <c r="A891" s="24">
        <v>890</v>
      </c>
      <c r="B891" s="24">
        <v>519294</v>
      </c>
      <c r="C891" s="24" t="s">
        <v>1750</v>
      </c>
      <c r="D891" s="24">
        <v>56</v>
      </c>
      <c r="E891" s="24">
        <v>52</v>
      </c>
    </row>
    <row r="892" spans="1:5" x14ac:dyDescent="0.25">
      <c r="A892" s="24">
        <v>891</v>
      </c>
      <c r="B892" s="24">
        <v>503827</v>
      </c>
      <c r="C892" s="24" t="s">
        <v>1749</v>
      </c>
      <c r="D892" s="24">
        <v>10</v>
      </c>
      <c r="E892" s="24">
        <v>6</v>
      </c>
    </row>
    <row r="893" spans="1:5" x14ac:dyDescent="0.25">
      <c r="A893" s="24">
        <v>892</v>
      </c>
      <c r="B893" s="24">
        <v>523542</v>
      </c>
      <c r="C893" s="24" t="s">
        <v>1749</v>
      </c>
      <c r="D893" s="24">
        <v>61</v>
      </c>
      <c r="E893" s="24">
        <v>57</v>
      </c>
    </row>
    <row r="894" spans="1:5" x14ac:dyDescent="0.25">
      <c r="A894" s="24">
        <v>893</v>
      </c>
      <c r="B894" s="24">
        <v>524590</v>
      </c>
      <c r="C894" s="24" t="s">
        <v>1752</v>
      </c>
      <c r="D894" s="24">
        <v>62</v>
      </c>
      <c r="E894" s="24">
        <v>58</v>
      </c>
    </row>
    <row r="895" spans="1:5" x14ac:dyDescent="0.25">
      <c r="A895" s="24">
        <v>894</v>
      </c>
      <c r="B895" s="24">
        <v>508691</v>
      </c>
      <c r="C895" s="24" t="s">
        <v>1753</v>
      </c>
      <c r="D895" s="24">
        <v>45</v>
      </c>
      <c r="E895" s="24">
        <v>41</v>
      </c>
    </row>
    <row r="896" spans="1:5" x14ac:dyDescent="0.25">
      <c r="A896" s="24">
        <v>895</v>
      </c>
      <c r="B896" s="24">
        <v>526771</v>
      </c>
      <c r="C896" s="24" t="s">
        <v>1754</v>
      </c>
      <c r="D896" s="24">
        <v>65</v>
      </c>
      <c r="E896" s="24">
        <v>61</v>
      </c>
    </row>
    <row r="897" spans="1:5" x14ac:dyDescent="0.25">
      <c r="A897" s="24">
        <v>896</v>
      </c>
      <c r="B897" s="24">
        <v>500356</v>
      </c>
      <c r="C897" s="24" t="s">
        <v>1756</v>
      </c>
      <c r="D897" s="24">
        <v>27</v>
      </c>
      <c r="E897" s="24">
        <v>23</v>
      </c>
    </row>
    <row r="898" spans="1:5" x14ac:dyDescent="0.25">
      <c r="A898" s="24">
        <v>897</v>
      </c>
      <c r="B898" s="24">
        <v>524603</v>
      </c>
      <c r="C898" s="24" t="s">
        <v>1758</v>
      </c>
      <c r="D898" s="24">
        <v>63</v>
      </c>
      <c r="E898" s="24">
        <v>59</v>
      </c>
    </row>
    <row r="899" spans="1:5" x14ac:dyDescent="0.25">
      <c r="A899" s="24">
        <v>898</v>
      </c>
      <c r="B899" s="24">
        <v>513172</v>
      </c>
      <c r="C899" s="24" t="s">
        <v>1759</v>
      </c>
      <c r="D899" s="24">
        <v>21</v>
      </c>
      <c r="E899" s="24">
        <v>17</v>
      </c>
    </row>
    <row r="900" spans="1:5" x14ac:dyDescent="0.25">
      <c r="A900" s="24">
        <v>899</v>
      </c>
      <c r="B900" s="24">
        <v>508705</v>
      </c>
      <c r="C900" s="24" t="s">
        <v>1760</v>
      </c>
      <c r="D900" s="24">
        <v>45</v>
      </c>
      <c r="E900" s="24">
        <v>41</v>
      </c>
    </row>
    <row r="901" spans="1:5" x14ac:dyDescent="0.25">
      <c r="A901" s="24">
        <v>900</v>
      </c>
      <c r="B901" s="24">
        <v>522538</v>
      </c>
      <c r="C901" s="24" t="s">
        <v>1761</v>
      </c>
      <c r="D901" s="24">
        <v>77</v>
      </c>
      <c r="E901" s="24">
        <v>69</v>
      </c>
    </row>
    <row r="902" spans="1:5" x14ac:dyDescent="0.25">
      <c r="A902" s="24">
        <v>901</v>
      </c>
      <c r="B902" s="24">
        <v>559547</v>
      </c>
      <c r="C902" s="24" t="s">
        <v>1761</v>
      </c>
      <c r="D902" s="24">
        <v>57</v>
      </c>
      <c r="E902" s="24">
        <v>53</v>
      </c>
    </row>
    <row r="903" spans="1:5" x14ac:dyDescent="0.25">
      <c r="A903" s="24">
        <v>902</v>
      </c>
      <c r="B903" s="24">
        <v>509710</v>
      </c>
      <c r="C903" s="24" t="s">
        <v>1762</v>
      </c>
      <c r="D903" s="24">
        <v>34</v>
      </c>
      <c r="E903" s="24">
        <v>30</v>
      </c>
    </row>
    <row r="904" spans="1:5" x14ac:dyDescent="0.25">
      <c r="A904" s="24">
        <v>903</v>
      </c>
      <c r="B904" s="24">
        <v>528749</v>
      </c>
      <c r="C904" s="24" t="s">
        <v>1763</v>
      </c>
      <c r="D904" s="24">
        <v>68</v>
      </c>
      <c r="E904" s="24">
        <v>64</v>
      </c>
    </row>
    <row r="905" spans="1:5" x14ac:dyDescent="0.25">
      <c r="A905" s="24">
        <v>904</v>
      </c>
      <c r="B905" s="24">
        <v>517640</v>
      </c>
      <c r="C905" s="24" t="s">
        <v>1764</v>
      </c>
      <c r="D905" s="24">
        <v>42</v>
      </c>
      <c r="E905" s="24">
        <v>38</v>
      </c>
    </row>
    <row r="906" spans="1:5" x14ac:dyDescent="0.25">
      <c r="A906" s="24">
        <v>905</v>
      </c>
      <c r="B906" s="24">
        <v>512311</v>
      </c>
      <c r="C906" s="24" t="s">
        <v>1765</v>
      </c>
      <c r="D906" s="24">
        <v>40</v>
      </c>
      <c r="E906" s="24">
        <v>36</v>
      </c>
    </row>
    <row r="907" spans="1:5" x14ac:dyDescent="0.25">
      <c r="A907" s="24">
        <v>906</v>
      </c>
      <c r="B907" s="24">
        <v>507156</v>
      </c>
      <c r="C907" s="24" t="s">
        <v>4184</v>
      </c>
      <c r="D907" s="24">
        <v>15</v>
      </c>
      <c r="E907" s="24">
        <v>11</v>
      </c>
    </row>
    <row r="908" spans="1:5" x14ac:dyDescent="0.25">
      <c r="A908" s="24">
        <v>907</v>
      </c>
      <c r="B908" s="24">
        <v>521493</v>
      </c>
      <c r="C908" s="24" t="s">
        <v>1767</v>
      </c>
      <c r="D908" s="24">
        <v>74</v>
      </c>
      <c r="E908" s="24">
        <v>72</v>
      </c>
    </row>
    <row r="909" spans="1:5" x14ac:dyDescent="0.25">
      <c r="A909" s="24">
        <v>908</v>
      </c>
      <c r="B909" s="24">
        <v>503215</v>
      </c>
      <c r="C909" s="24" t="s">
        <v>1768</v>
      </c>
      <c r="D909" s="24">
        <v>28</v>
      </c>
      <c r="E909" s="24">
        <v>24</v>
      </c>
    </row>
    <row r="910" spans="1:5" x14ac:dyDescent="0.25">
      <c r="A910" s="24">
        <v>909</v>
      </c>
      <c r="B910" s="24">
        <v>516881</v>
      </c>
      <c r="C910" s="24" t="s">
        <v>1769</v>
      </c>
      <c r="D910" s="24">
        <v>55</v>
      </c>
      <c r="E910" s="24">
        <v>51</v>
      </c>
    </row>
    <row r="911" spans="1:5" x14ac:dyDescent="0.25">
      <c r="A911" s="24">
        <v>910</v>
      </c>
      <c r="B911" s="24">
        <v>528757</v>
      </c>
      <c r="C911" s="24" t="s">
        <v>1770</v>
      </c>
      <c r="D911" s="24">
        <v>68</v>
      </c>
      <c r="E911" s="24">
        <v>64</v>
      </c>
    </row>
    <row r="912" spans="1:5" x14ac:dyDescent="0.25">
      <c r="A912" s="24">
        <v>911</v>
      </c>
      <c r="B912" s="24">
        <v>522546</v>
      </c>
      <c r="C912" s="24" t="s">
        <v>1771</v>
      </c>
      <c r="D912" s="24">
        <v>75</v>
      </c>
      <c r="E912" s="24">
        <v>67</v>
      </c>
    </row>
    <row r="913" spans="1:5" x14ac:dyDescent="0.25">
      <c r="A913" s="24">
        <v>912</v>
      </c>
      <c r="B913" s="24">
        <v>503223</v>
      </c>
      <c r="C913" s="24" t="s">
        <v>1772</v>
      </c>
      <c r="D913" s="24">
        <v>28</v>
      </c>
      <c r="E913" s="24">
        <v>24</v>
      </c>
    </row>
    <row r="914" spans="1:5" x14ac:dyDescent="0.25">
      <c r="A914" s="24">
        <v>913</v>
      </c>
      <c r="B914" s="24">
        <v>512320</v>
      </c>
      <c r="C914" s="24" t="s">
        <v>1773</v>
      </c>
      <c r="D914" s="24">
        <v>40</v>
      </c>
      <c r="E914" s="24">
        <v>36</v>
      </c>
    </row>
    <row r="915" spans="1:5" x14ac:dyDescent="0.25">
      <c r="A915" s="24">
        <v>914</v>
      </c>
      <c r="B915" s="24">
        <v>519308</v>
      </c>
      <c r="C915" s="24" t="s">
        <v>1774</v>
      </c>
      <c r="D915" s="24">
        <v>56</v>
      </c>
      <c r="E915" s="24">
        <v>52</v>
      </c>
    </row>
    <row r="916" spans="1:5" x14ac:dyDescent="0.25">
      <c r="A916" s="24">
        <v>915</v>
      </c>
      <c r="B916" s="24">
        <v>500364</v>
      </c>
      <c r="C916" s="24" t="s">
        <v>1775</v>
      </c>
      <c r="D916" s="24">
        <v>31</v>
      </c>
      <c r="E916" s="24">
        <v>27</v>
      </c>
    </row>
    <row r="917" spans="1:5" x14ac:dyDescent="0.25">
      <c r="A917" s="24">
        <v>916</v>
      </c>
      <c r="B917" s="24">
        <v>500372</v>
      </c>
      <c r="C917" s="24" t="s">
        <v>1776</v>
      </c>
      <c r="D917" s="24">
        <v>27</v>
      </c>
      <c r="E917" s="24">
        <v>23</v>
      </c>
    </row>
    <row r="918" spans="1:5" x14ac:dyDescent="0.25">
      <c r="A918" s="24">
        <v>917</v>
      </c>
      <c r="B918" s="24">
        <v>503835</v>
      </c>
      <c r="C918" s="24" t="s">
        <v>1777</v>
      </c>
      <c r="D918" s="24">
        <v>10</v>
      </c>
      <c r="E918" s="24">
        <v>6</v>
      </c>
    </row>
    <row r="919" spans="1:5" x14ac:dyDescent="0.25">
      <c r="A919" s="24">
        <v>918</v>
      </c>
      <c r="B919" s="24">
        <v>525791</v>
      </c>
      <c r="C919" s="24" t="s">
        <v>1780</v>
      </c>
      <c r="D919" s="24">
        <v>50</v>
      </c>
      <c r="E919" s="24">
        <v>46</v>
      </c>
    </row>
    <row r="920" spans="1:5" x14ac:dyDescent="0.25">
      <c r="A920" s="24">
        <v>919</v>
      </c>
      <c r="B920" s="24">
        <v>500381</v>
      </c>
      <c r="C920" s="24" t="s">
        <v>1781</v>
      </c>
      <c r="D920" s="24">
        <v>27</v>
      </c>
      <c r="E920" s="24">
        <v>23</v>
      </c>
    </row>
    <row r="921" spans="1:5" x14ac:dyDescent="0.25">
      <c r="A921" s="24">
        <v>920</v>
      </c>
      <c r="B921" s="24">
        <v>511463</v>
      </c>
      <c r="C921" s="24" t="s">
        <v>1782</v>
      </c>
      <c r="D921" s="24">
        <v>48</v>
      </c>
      <c r="E921" s="24">
        <v>44</v>
      </c>
    </row>
    <row r="922" spans="1:5" x14ac:dyDescent="0.25">
      <c r="A922" s="24">
        <v>921</v>
      </c>
      <c r="B922" s="24">
        <v>522554</v>
      </c>
      <c r="C922" s="24" t="s">
        <v>1783</v>
      </c>
      <c r="D922" s="24">
        <v>77</v>
      </c>
      <c r="E922" s="24">
        <v>69</v>
      </c>
    </row>
    <row r="923" spans="1:5" x14ac:dyDescent="0.25">
      <c r="A923" s="24">
        <v>922</v>
      </c>
      <c r="B923" s="24">
        <v>515001</v>
      </c>
      <c r="C923" s="24" t="s">
        <v>847</v>
      </c>
      <c r="D923" s="24">
        <v>51</v>
      </c>
      <c r="E923" s="24">
        <v>47</v>
      </c>
    </row>
    <row r="924" spans="1:5" x14ac:dyDescent="0.25">
      <c r="A924" s="24">
        <v>923</v>
      </c>
      <c r="B924" s="24">
        <v>556777</v>
      </c>
      <c r="C924" s="24" t="s">
        <v>847</v>
      </c>
      <c r="D924" s="24">
        <v>26</v>
      </c>
      <c r="E924" s="24">
        <v>22</v>
      </c>
    </row>
    <row r="925" spans="1:5" x14ac:dyDescent="0.25">
      <c r="A925" s="24">
        <v>924</v>
      </c>
      <c r="B925" s="24">
        <v>515019</v>
      </c>
      <c r="C925" s="24" t="s">
        <v>1784</v>
      </c>
      <c r="D925" s="24">
        <v>51</v>
      </c>
      <c r="E925" s="24">
        <v>47</v>
      </c>
    </row>
    <row r="926" spans="1:5" x14ac:dyDescent="0.25">
      <c r="A926" s="24">
        <v>925</v>
      </c>
      <c r="B926" s="24">
        <v>556416</v>
      </c>
      <c r="C926" s="24" t="s">
        <v>1785</v>
      </c>
      <c r="D926" s="24">
        <v>20</v>
      </c>
      <c r="E926" s="24">
        <v>16</v>
      </c>
    </row>
    <row r="927" spans="1:5" x14ac:dyDescent="0.25">
      <c r="A927" s="24">
        <v>926</v>
      </c>
      <c r="B927" s="24">
        <v>523569</v>
      </c>
      <c r="C927" s="24" t="s">
        <v>1786</v>
      </c>
      <c r="D927" s="24">
        <v>58</v>
      </c>
      <c r="E927" s="24">
        <v>54</v>
      </c>
    </row>
    <row r="928" spans="1:5" x14ac:dyDescent="0.25">
      <c r="A928" s="24">
        <v>927</v>
      </c>
      <c r="B928" s="24">
        <v>560049</v>
      </c>
      <c r="C928" s="24" t="s">
        <v>1787</v>
      </c>
      <c r="D928" s="24">
        <v>76</v>
      </c>
      <c r="E928" s="24">
        <v>68</v>
      </c>
    </row>
    <row r="929" spans="1:5" x14ac:dyDescent="0.25">
      <c r="A929" s="24">
        <v>928</v>
      </c>
      <c r="B929" s="24">
        <v>522562</v>
      </c>
      <c r="C929" s="24" t="s">
        <v>1788</v>
      </c>
      <c r="D929" s="24">
        <v>75</v>
      </c>
      <c r="E929" s="24">
        <v>67</v>
      </c>
    </row>
    <row r="930" spans="1:5" x14ac:dyDescent="0.25">
      <c r="A930" s="24">
        <v>929</v>
      </c>
      <c r="B930" s="24">
        <v>502391</v>
      </c>
      <c r="C930" s="24" t="s">
        <v>1789</v>
      </c>
      <c r="D930" s="24">
        <v>26</v>
      </c>
      <c r="E930" s="24">
        <v>22</v>
      </c>
    </row>
    <row r="931" spans="1:5" x14ac:dyDescent="0.25">
      <c r="A931" s="24">
        <v>930</v>
      </c>
      <c r="B931" s="24">
        <v>527351</v>
      </c>
      <c r="C931" s="24" t="s">
        <v>1792</v>
      </c>
      <c r="D931" s="24">
        <v>67</v>
      </c>
      <c r="E931" s="24">
        <v>63</v>
      </c>
    </row>
    <row r="932" spans="1:5" x14ac:dyDescent="0.25">
      <c r="A932" s="24">
        <v>931</v>
      </c>
      <c r="B932" s="24">
        <v>501671</v>
      </c>
      <c r="C932" s="24" t="s">
        <v>1793</v>
      </c>
      <c r="D932" s="24">
        <v>9</v>
      </c>
      <c r="E932" s="24">
        <v>5</v>
      </c>
    </row>
    <row r="933" spans="1:5" x14ac:dyDescent="0.25">
      <c r="A933" s="24">
        <v>932</v>
      </c>
      <c r="B933" s="24">
        <v>523577</v>
      </c>
      <c r="C933" s="24" t="s">
        <v>1794</v>
      </c>
      <c r="D933" s="24">
        <v>58</v>
      </c>
      <c r="E933" s="24">
        <v>54</v>
      </c>
    </row>
    <row r="934" spans="1:5" x14ac:dyDescent="0.25">
      <c r="A934" s="24">
        <v>933</v>
      </c>
      <c r="B934" s="24">
        <v>528765</v>
      </c>
      <c r="C934" s="24" t="s">
        <v>1795</v>
      </c>
      <c r="D934" s="24">
        <v>68</v>
      </c>
      <c r="E934" s="24">
        <v>64</v>
      </c>
    </row>
    <row r="935" spans="1:5" x14ac:dyDescent="0.25">
      <c r="A935" s="24">
        <v>934</v>
      </c>
      <c r="B935" s="24">
        <v>522571</v>
      </c>
      <c r="C935" s="24" t="s">
        <v>1796</v>
      </c>
      <c r="D935" s="24">
        <v>75</v>
      </c>
      <c r="E935" s="24">
        <v>67</v>
      </c>
    </row>
    <row r="936" spans="1:5" x14ac:dyDescent="0.25">
      <c r="A936" s="24">
        <v>935</v>
      </c>
      <c r="B936" s="24">
        <v>503843</v>
      </c>
      <c r="C936" s="24" t="s">
        <v>1797</v>
      </c>
      <c r="D936" s="24">
        <v>10</v>
      </c>
      <c r="E936" s="24">
        <v>6</v>
      </c>
    </row>
    <row r="937" spans="1:5" x14ac:dyDescent="0.25">
      <c r="A937" s="24">
        <v>936</v>
      </c>
      <c r="B937" s="24">
        <v>512338</v>
      </c>
      <c r="C937" s="24" t="s">
        <v>1798</v>
      </c>
      <c r="D937" s="24">
        <v>40</v>
      </c>
      <c r="E937" s="24">
        <v>36</v>
      </c>
    </row>
    <row r="938" spans="1:5" x14ac:dyDescent="0.25">
      <c r="A938" s="24">
        <v>937</v>
      </c>
      <c r="B938" s="24">
        <v>510530</v>
      </c>
      <c r="C938" s="24" t="s">
        <v>1799</v>
      </c>
      <c r="D938" s="24">
        <v>39</v>
      </c>
      <c r="E938" s="24">
        <v>35</v>
      </c>
    </row>
    <row r="939" spans="1:5" x14ac:dyDescent="0.25">
      <c r="A939" s="24">
        <v>938</v>
      </c>
      <c r="B939" s="24">
        <v>543209</v>
      </c>
      <c r="C939" s="24" t="s">
        <v>1800</v>
      </c>
      <c r="D939" s="24">
        <v>78</v>
      </c>
      <c r="E939" s="24">
        <v>70</v>
      </c>
    </row>
    <row r="940" spans="1:5" x14ac:dyDescent="0.25">
      <c r="A940" s="24">
        <v>939</v>
      </c>
      <c r="B940" s="24">
        <v>507997</v>
      </c>
      <c r="C940" s="24" t="s">
        <v>1802</v>
      </c>
      <c r="D940" s="24">
        <v>8</v>
      </c>
      <c r="E940" s="24">
        <v>3</v>
      </c>
    </row>
    <row r="941" spans="1:5" x14ac:dyDescent="0.25">
      <c r="A941" s="24">
        <v>940</v>
      </c>
      <c r="B941" s="24">
        <v>520314</v>
      </c>
      <c r="C941" s="24" t="s">
        <v>1803</v>
      </c>
      <c r="D941" s="24">
        <v>60</v>
      </c>
      <c r="E941" s="24">
        <v>56</v>
      </c>
    </row>
    <row r="942" spans="1:5" x14ac:dyDescent="0.25">
      <c r="A942" s="24">
        <v>941</v>
      </c>
      <c r="B942" s="24">
        <v>511471</v>
      </c>
      <c r="C942" s="24" t="s">
        <v>1805</v>
      </c>
      <c r="D942" s="24">
        <v>49</v>
      </c>
      <c r="E942" s="24">
        <v>45</v>
      </c>
    </row>
    <row r="943" spans="1:5" x14ac:dyDescent="0.25">
      <c r="A943" s="24">
        <v>942</v>
      </c>
      <c r="B943" s="24">
        <v>502413</v>
      </c>
      <c r="C943" s="24" t="s">
        <v>4185</v>
      </c>
      <c r="D943" s="24">
        <v>26</v>
      </c>
      <c r="E943" s="24">
        <v>22</v>
      </c>
    </row>
    <row r="944" spans="1:5" x14ac:dyDescent="0.25">
      <c r="A944" s="24">
        <v>943</v>
      </c>
      <c r="B944" s="24">
        <v>520322</v>
      </c>
      <c r="C944" s="24" t="s">
        <v>1808</v>
      </c>
      <c r="D944" s="24">
        <v>64</v>
      </c>
      <c r="E944" s="24">
        <v>60</v>
      </c>
    </row>
    <row r="945" spans="1:5" x14ac:dyDescent="0.25">
      <c r="A945" s="24">
        <v>944</v>
      </c>
      <c r="B945" s="24">
        <v>506109</v>
      </c>
      <c r="C945" s="24" t="s">
        <v>4186</v>
      </c>
      <c r="D945" s="24">
        <v>19</v>
      </c>
      <c r="E945" s="24">
        <v>15</v>
      </c>
    </row>
    <row r="946" spans="1:5" x14ac:dyDescent="0.25">
      <c r="A946" s="24">
        <v>945</v>
      </c>
      <c r="B946" s="24">
        <v>519316</v>
      </c>
      <c r="C946" s="24" t="s">
        <v>1809</v>
      </c>
      <c r="D946" s="24">
        <v>67</v>
      </c>
      <c r="E946" s="24">
        <v>63</v>
      </c>
    </row>
    <row r="947" spans="1:5" x14ac:dyDescent="0.25">
      <c r="A947" s="24">
        <v>946</v>
      </c>
      <c r="B947" s="24">
        <v>511480</v>
      </c>
      <c r="C947" s="24" t="s">
        <v>1810</v>
      </c>
      <c r="D947" s="24">
        <v>48</v>
      </c>
      <c r="E947" s="24">
        <v>44</v>
      </c>
    </row>
    <row r="948" spans="1:5" x14ac:dyDescent="0.25">
      <c r="A948" s="24">
        <v>947</v>
      </c>
      <c r="B948" s="24">
        <v>515027</v>
      </c>
      <c r="C948" s="24" t="s">
        <v>1811</v>
      </c>
      <c r="D948" s="24">
        <v>51</v>
      </c>
      <c r="E948" s="24">
        <v>47</v>
      </c>
    </row>
    <row r="949" spans="1:5" x14ac:dyDescent="0.25">
      <c r="A949" s="24">
        <v>948</v>
      </c>
      <c r="B949" s="24">
        <v>521507</v>
      </c>
      <c r="C949" s="24" t="s">
        <v>1812</v>
      </c>
      <c r="D949" s="24">
        <v>74</v>
      </c>
      <c r="E949" s="24">
        <v>66</v>
      </c>
    </row>
    <row r="950" spans="1:5" x14ac:dyDescent="0.25">
      <c r="A950" s="24">
        <v>949</v>
      </c>
      <c r="B950" s="24">
        <v>522589</v>
      </c>
      <c r="C950" s="24" t="s">
        <v>1813</v>
      </c>
      <c r="D950" s="24">
        <v>75</v>
      </c>
      <c r="E950" s="24">
        <v>67</v>
      </c>
    </row>
    <row r="951" spans="1:5" x14ac:dyDescent="0.25">
      <c r="A951" s="24">
        <v>950</v>
      </c>
      <c r="B951" s="24">
        <v>543039</v>
      </c>
      <c r="C951" s="24" t="s">
        <v>1814</v>
      </c>
      <c r="D951" s="24">
        <v>30</v>
      </c>
      <c r="E951" s="24">
        <v>26</v>
      </c>
    </row>
    <row r="952" spans="1:5" x14ac:dyDescent="0.25">
      <c r="A952" s="24">
        <v>951</v>
      </c>
      <c r="B952" s="24">
        <v>525812</v>
      </c>
      <c r="C952" s="24" t="s">
        <v>1815</v>
      </c>
      <c r="D952" s="24">
        <v>50</v>
      </c>
      <c r="E952" s="24">
        <v>46</v>
      </c>
    </row>
    <row r="953" spans="1:5" x14ac:dyDescent="0.25">
      <c r="A953" s="24">
        <v>952</v>
      </c>
      <c r="B953" s="24">
        <v>514063</v>
      </c>
      <c r="C953" s="24" t="s">
        <v>1816</v>
      </c>
      <c r="D953" s="24">
        <v>22</v>
      </c>
      <c r="E953" s="24">
        <v>18</v>
      </c>
    </row>
    <row r="954" spans="1:5" x14ac:dyDescent="0.25">
      <c r="A954" s="24">
        <v>953</v>
      </c>
      <c r="B954" s="24">
        <v>524611</v>
      </c>
      <c r="C954" s="24" t="s">
        <v>1817</v>
      </c>
      <c r="D954" s="24">
        <v>63</v>
      </c>
      <c r="E954" s="24">
        <v>59</v>
      </c>
    </row>
    <row r="955" spans="1:5" x14ac:dyDescent="0.25">
      <c r="A955" s="24">
        <v>954</v>
      </c>
      <c r="B955" s="24">
        <v>520331</v>
      </c>
      <c r="C955" s="24" t="s">
        <v>1819</v>
      </c>
      <c r="D955" s="24">
        <v>57</v>
      </c>
      <c r="E955" s="24">
        <v>53</v>
      </c>
    </row>
    <row r="956" spans="1:5" x14ac:dyDescent="0.25">
      <c r="A956" s="24">
        <v>955</v>
      </c>
      <c r="B956" s="24">
        <v>503231</v>
      </c>
      <c r="C956" s="24" t="s">
        <v>1820</v>
      </c>
      <c r="D956" s="24">
        <v>28</v>
      </c>
      <c r="E956" s="24">
        <v>24</v>
      </c>
    </row>
    <row r="957" spans="1:5" x14ac:dyDescent="0.25">
      <c r="A957" s="24">
        <v>956</v>
      </c>
      <c r="B957" s="24">
        <v>557404</v>
      </c>
      <c r="C957" s="24" t="s">
        <v>1821</v>
      </c>
      <c r="D957" s="24">
        <v>17</v>
      </c>
      <c r="E957" s="24">
        <v>13</v>
      </c>
    </row>
    <row r="958" spans="1:5" x14ac:dyDescent="0.25">
      <c r="A958" s="24">
        <v>957</v>
      </c>
      <c r="B958" s="24">
        <v>501182</v>
      </c>
      <c r="C958" s="24" t="s">
        <v>1822</v>
      </c>
      <c r="D958" s="24">
        <v>25</v>
      </c>
      <c r="E958" s="24">
        <v>21</v>
      </c>
    </row>
    <row r="959" spans="1:5" x14ac:dyDescent="0.25">
      <c r="A959" s="24">
        <v>958</v>
      </c>
      <c r="B959" s="24">
        <v>503240</v>
      </c>
      <c r="C959" s="24" t="s">
        <v>1823</v>
      </c>
      <c r="D959" s="24">
        <v>28</v>
      </c>
      <c r="E959" s="24">
        <v>24</v>
      </c>
    </row>
    <row r="960" spans="1:5" x14ac:dyDescent="0.25">
      <c r="A960" s="24">
        <v>959</v>
      </c>
      <c r="B960" s="24">
        <v>517658</v>
      </c>
      <c r="C960" s="24" t="s">
        <v>1824</v>
      </c>
      <c r="D960" s="24">
        <v>42</v>
      </c>
      <c r="E960" s="24">
        <v>38</v>
      </c>
    </row>
    <row r="961" spans="1:5" x14ac:dyDescent="0.25">
      <c r="A961" s="24">
        <v>960</v>
      </c>
      <c r="B961" s="24">
        <v>528773</v>
      </c>
      <c r="C961" s="24" t="s">
        <v>1824</v>
      </c>
      <c r="D961" s="24">
        <v>68</v>
      </c>
      <c r="E961" s="24">
        <v>64</v>
      </c>
    </row>
    <row r="962" spans="1:5" x14ac:dyDescent="0.25">
      <c r="A962" s="24">
        <v>961</v>
      </c>
      <c r="B962" s="24">
        <v>516082</v>
      </c>
      <c r="C962" s="24" t="s">
        <v>1825</v>
      </c>
      <c r="D962" s="24">
        <v>52</v>
      </c>
      <c r="E962" s="24">
        <v>48</v>
      </c>
    </row>
    <row r="963" spans="1:5" x14ac:dyDescent="0.25">
      <c r="A963" s="24">
        <v>962</v>
      </c>
      <c r="B963" s="24">
        <v>503258</v>
      </c>
      <c r="C963" s="24" t="s">
        <v>1826</v>
      </c>
      <c r="D963" s="24">
        <v>28</v>
      </c>
      <c r="E963" s="24">
        <v>24</v>
      </c>
    </row>
    <row r="964" spans="1:5" x14ac:dyDescent="0.25">
      <c r="A964" s="24">
        <v>963</v>
      </c>
      <c r="B964" s="24">
        <v>520349</v>
      </c>
      <c r="C964" s="24" t="s">
        <v>1827</v>
      </c>
      <c r="D964" s="24">
        <v>57</v>
      </c>
      <c r="E964" s="24">
        <v>53</v>
      </c>
    </row>
    <row r="965" spans="1:5" x14ac:dyDescent="0.25">
      <c r="A965" s="24">
        <v>964</v>
      </c>
      <c r="B965" s="24">
        <v>526789</v>
      </c>
      <c r="C965" s="24" t="s">
        <v>1827</v>
      </c>
      <c r="D965" s="24">
        <v>65</v>
      </c>
      <c r="E965" s="24">
        <v>61</v>
      </c>
    </row>
    <row r="966" spans="1:5" x14ac:dyDescent="0.25">
      <c r="A966" s="24">
        <v>965</v>
      </c>
      <c r="B966" s="24">
        <v>514071</v>
      </c>
      <c r="C966" s="24" t="s">
        <v>1828</v>
      </c>
      <c r="D966" s="24">
        <v>22</v>
      </c>
      <c r="E966" s="24">
        <v>18</v>
      </c>
    </row>
    <row r="967" spans="1:5" x14ac:dyDescent="0.25">
      <c r="A967" s="24">
        <v>966</v>
      </c>
      <c r="B967" s="24">
        <v>500399</v>
      </c>
      <c r="C967" s="24" t="s">
        <v>1829</v>
      </c>
      <c r="D967" s="24">
        <v>27</v>
      </c>
      <c r="E967" s="24">
        <v>23</v>
      </c>
    </row>
    <row r="968" spans="1:5" x14ac:dyDescent="0.25">
      <c r="A968" s="24">
        <v>967</v>
      </c>
      <c r="B968" s="24">
        <v>527360</v>
      </c>
      <c r="C968" s="24" t="s">
        <v>1830</v>
      </c>
      <c r="D968" s="24">
        <v>67</v>
      </c>
      <c r="E968" s="24">
        <v>63</v>
      </c>
    </row>
    <row r="969" spans="1:5" x14ac:dyDescent="0.25">
      <c r="A969" s="24">
        <v>968</v>
      </c>
      <c r="B969" s="24">
        <v>555495</v>
      </c>
      <c r="C969" s="24" t="s">
        <v>1831</v>
      </c>
      <c r="D969" s="24">
        <v>8</v>
      </c>
      <c r="E969" s="24">
        <v>3</v>
      </c>
    </row>
    <row r="970" spans="1:5" x14ac:dyDescent="0.25">
      <c r="A970" s="24">
        <v>969</v>
      </c>
      <c r="B970" s="24">
        <v>524620</v>
      </c>
      <c r="C970" s="24" t="s">
        <v>1832</v>
      </c>
      <c r="D970" s="24">
        <v>62</v>
      </c>
      <c r="E970" s="24">
        <v>58</v>
      </c>
    </row>
    <row r="971" spans="1:5" x14ac:dyDescent="0.25">
      <c r="A971" s="24">
        <v>970</v>
      </c>
      <c r="B971" s="24">
        <v>528404</v>
      </c>
      <c r="C971" s="24" t="s">
        <v>1833</v>
      </c>
      <c r="D971" s="24">
        <v>75</v>
      </c>
      <c r="E971" s="24">
        <v>73</v>
      </c>
    </row>
    <row r="972" spans="1:5" x14ac:dyDescent="0.25">
      <c r="A972" s="24">
        <v>971</v>
      </c>
      <c r="B972" s="24">
        <v>512346</v>
      </c>
      <c r="C972" s="24" t="s">
        <v>1835</v>
      </c>
      <c r="D972" s="24">
        <v>37</v>
      </c>
      <c r="E972" s="24">
        <v>33</v>
      </c>
    </row>
    <row r="973" spans="1:5" x14ac:dyDescent="0.25">
      <c r="A973" s="24">
        <v>972</v>
      </c>
      <c r="B973" s="24">
        <v>520357</v>
      </c>
      <c r="C973" s="24" t="s">
        <v>1836</v>
      </c>
      <c r="D973" s="24">
        <v>57</v>
      </c>
      <c r="E973" s="24">
        <v>53</v>
      </c>
    </row>
    <row r="974" spans="1:5" x14ac:dyDescent="0.25">
      <c r="A974" s="24">
        <v>973</v>
      </c>
      <c r="B974" s="24">
        <v>528412</v>
      </c>
      <c r="C974" s="24" t="s">
        <v>1837</v>
      </c>
      <c r="D974" s="24">
        <v>79</v>
      </c>
      <c r="E974" s="24">
        <v>71</v>
      </c>
    </row>
    <row r="975" spans="1:5" x14ac:dyDescent="0.25">
      <c r="A975" s="24">
        <v>974</v>
      </c>
      <c r="B975" s="24">
        <v>507164</v>
      </c>
      <c r="C975" s="24" t="s">
        <v>1838</v>
      </c>
      <c r="D975" s="24">
        <v>15</v>
      </c>
      <c r="E975" s="24">
        <v>11</v>
      </c>
    </row>
    <row r="976" spans="1:5" x14ac:dyDescent="0.25">
      <c r="A976" s="24">
        <v>975</v>
      </c>
      <c r="B976" s="24">
        <v>504432</v>
      </c>
      <c r="C976" s="24" t="s">
        <v>1839</v>
      </c>
      <c r="D976" s="24">
        <v>14</v>
      </c>
      <c r="E976" s="24">
        <v>10</v>
      </c>
    </row>
    <row r="977" spans="1:5" x14ac:dyDescent="0.25">
      <c r="A977" s="24">
        <v>976</v>
      </c>
      <c r="B977" s="24">
        <v>528421</v>
      </c>
      <c r="C977" s="24" t="s">
        <v>4187</v>
      </c>
      <c r="D977" s="24">
        <v>79</v>
      </c>
      <c r="E977" s="24">
        <v>71</v>
      </c>
    </row>
    <row r="978" spans="1:5" x14ac:dyDescent="0.25">
      <c r="A978" s="24">
        <v>977</v>
      </c>
      <c r="B978" s="24">
        <v>521523</v>
      </c>
      <c r="C978" s="24" t="s">
        <v>4188</v>
      </c>
      <c r="D978" s="24">
        <v>74</v>
      </c>
      <c r="E978" s="24">
        <v>66</v>
      </c>
    </row>
    <row r="979" spans="1:5" x14ac:dyDescent="0.25">
      <c r="A979" s="24">
        <v>978</v>
      </c>
      <c r="B979" s="24">
        <v>521540</v>
      </c>
      <c r="C979" s="24" t="s">
        <v>1845</v>
      </c>
      <c r="D979" s="24">
        <v>74</v>
      </c>
      <c r="E979" s="24">
        <v>66</v>
      </c>
    </row>
    <row r="980" spans="1:5" x14ac:dyDescent="0.25">
      <c r="A980" s="24">
        <v>979</v>
      </c>
      <c r="B980" s="24">
        <v>527378</v>
      </c>
      <c r="C980" s="24" t="s">
        <v>1846</v>
      </c>
      <c r="D980" s="24">
        <v>67</v>
      </c>
      <c r="E980" s="24">
        <v>63</v>
      </c>
    </row>
    <row r="981" spans="1:5" x14ac:dyDescent="0.25">
      <c r="A981" s="24">
        <v>980</v>
      </c>
      <c r="B981" s="24">
        <v>525821</v>
      </c>
      <c r="C981" s="24" t="s">
        <v>1847</v>
      </c>
      <c r="D981" s="24">
        <v>76</v>
      </c>
      <c r="E981" s="24">
        <v>68</v>
      </c>
    </row>
    <row r="982" spans="1:5" x14ac:dyDescent="0.25">
      <c r="A982" s="24">
        <v>981</v>
      </c>
      <c r="B982" s="24">
        <v>559687</v>
      </c>
      <c r="C982" s="24" t="s">
        <v>1582</v>
      </c>
      <c r="D982" s="24">
        <v>74</v>
      </c>
      <c r="E982" s="24">
        <v>66</v>
      </c>
    </row>
    <row r="983" spans="1:5" x14ac:dyDescent="0.25">
      <c r="A983" s="24">
        <v>982</v>
      </c>
      <c r="B983" s="24">
        <v>524638</v>
      </c>
      <c r="C983" s="24" t="s">
        <v>1848</v>
      </c>
      <c r="D983" s="24">
        <v>62</v>
      </c>
      <c r="E983" s="24">
        <v>58</v>
      </c>
    </row>
    <row r="984" spans="1:5" x14ac:dyDescent="0.25">
      <c r="A984" s="24">
        <v>983</v>
      </c>
      <c r="B984" s="24">
        <v>515035</v>
      </c>
      <c r="C984" s="24" t="s">
        <v>1849</v>
      </c>
      <c r="D984" s="24">
        <v>51</v>
      </c>
      <c r="E984" s="24">
        <v>47</v>
      </c>
    </row>
    <row r="985" spans="1:5" x14ac:dyDescent="0.25">
      <c r="A985" s="24">
        <v>984</v>
      </c>
      <c r="B985" s="24">
        <v>502472</v>
      </c>
      <c r="C985" s="24" t="s">
        <v>2107</v>
      </c>
      <c r="D985" s="24">
        <v>26</v>
      </c>
      <c r="E985" s="24">
        <v>22</v>
      </c>
    </row>
    <row r="986" spans="1:5" x14ac:dyDescent="0.25">
      <c r="A986" s="24">
        <v>985</v>
      </c>
      <c r="B986" s="24">
        <v>523585</v>
      </c>
      <c r="C986" s="24" t="s">
        <v>1851</v>
      </c>
      <c r="D986" s="24">
        <v>58</v>
      </c>
      <c r="E986" s="24">
        <v>54</v>
      </c>
    </row>
    <row r="987" spans="1:5" x14ac:dyDescent="0.25">
      <c r="A987" s="24">
        <v>986</v>
      </c>
      <c r="B987" s="24">
        <v>516091</v>
      </c>
      <c r="C987" s="24" t="s">
        <v>1852</v>
      </c>
      <c r="D987" s="24">
        <v>52</v>
      </c>
      <c r="E987" s="24">
        <v>48</v>
      </c>
    </row>
    <row r="988" spans="1:5" x14ac:dyDescent="0.25">
      <c r="A988" s="24">
        <v>987</v>
      </c>
      <c r="B988" s="24">
        <v>507172</v>
      </c>
      <c r="C988" s="24" t="s">
        <v>1853</v>
      </c>
      <c r="D988" s="24">
        <v>11</v>
      </c>
      <c r="E988" s="24">
        <v>7</v>
      </c>
    </row>
    <row r="989" spans="1:5" x14ac:dyDescent="0.25">
      <c r="A989" s="24">
        <v>988</v>
      </c>
      <c r="B989" s="24">
        <v>557994</v>
      </c>
      <c r="C989" s="24" t="s">
        <v>1854</v>
      </c>
      <c r="D989" s="24">
        <v>42</v>
      </c>
      <c r="E989" s="24">
        <v>38</v>
      </c>
    </row>
    <row r="990" spans="1:5" x14ac:dyDescent="0.25">
      <c r="A990" s="24">
        <v>989</v>
      </c>
      <c r="B990" s="24">
        <v>514080</v>
      </c>
      <c r="C990" s="24" t="s">
        <v>1855</v>
      </c>
      <c r="D990" s="24">
        <v>22</v>
      </c>
      <c r="E990" s="24">
        <v>18</v>
      </c>
    </row>
    <row r="991" spans="1:5" x14ac:dyDescent="0.25">
      <c r="A991" s="24">
        <v>990</v>
      </c>
      <c r="B991" s="24">
        <v>528781</v>
      </c>
      <c r="C991" s="24" t="s">
        <v>1856</v>
      </c>
      <c r="D991" s="24">
        <v>68</v>
      </c>
      <c r="E991" s="24">
        <v>64</v>
      </c>
    </row>
    <row r="992" spans="1:5" x14ac:dyDescent="0.25">
      <c r="A992" s="24">
        <v>991</v>
      </c>
      <c r="B992" s="24">
        <v>516902</v>
      </c>
      <c r="C992" s="24" t="s">
        <v>1857</v>
      </c>
      <c r="D992" s="24">
        <v>54</v>
      </c>
      <c r="E992" s="24">
        <v>50</v>
      </c>
    </row>
    <row r="993" spans="1:5" x14ac:dyDescent="0.25">
      <c r="A993" s="24">
        <v>992</v>
      </c>
      <c r="B993" s="24">
        <v>500402</v>
      </c>
      <c r="C993" s="24" t="s">
        <v>1858</v>
      </c>
      <c r="D993" s="24">
        <v>27</v>
      </c>
      <c r="E993" s="24">
        <v>23</v>
      </c>
    </row>
    <row r="994" spans="1:5" x14ac:dyDescent="0.25">
      <c r="A994" s="24">
        <v>993</v>
      </c>
      <c r="B994" s="24">
        <v>512354</v>
      </c>
      <c r="C994" s="24" t="s">
        <v>1860</v>
      </c>
      <c r="D994" s="24">
        <v>37</v>
      </c>
      <c r="E994" s="24">
        <v>33</v>
      </c>
    </row>
    <row r="995" spans="1:5" x14ac:dyDescent="0.25">
      <c r="A995" s="24">
        <v>994</v>
      </c>
      <c r="B995" s="24">
        <v>543047</v>
      </c>
      <c r="C995" s="24" t="s">
        <v>1861</v>
      </c>
      <c r="D995" s="24">
        <v>20</v>
      </c>
      <c r="E995" s="24">
        <v>16</v>
      </c>
    </row>
    <row r="996" spans="1:5" x14ac:dyDescent="0.25">
      <c r="A996" s="24">
        <v>995</v>
      </c>
      <c r="B996" s="24">
        <v>543225</v>
      </c>
      <c r="C996" s="24" t="s">
        <v>1862</v>
      </c>
      <c r="D996" s="24">
        <v>59</v>
      </c>
      <c r="E996" s="24">
        <v>55</v>
      </c>
    </row>
    <row r="997" spans="1:5" x14ac:dyDescent="0.25">
      <c r="A997" s="24">
        <v>996</v>
      </c>
      <c r="B997" s="24">
        <v>516104</v>
      </c>
      <c r="C997" s="24" t="s">
        <v>1863</v>
      </c>
      <c r="D997" s="24">
        <v>52</v>
      </c>
      <c r="E997" s="24">
        <v>48</v>
      </c>
    </row>
    <row r="998" spans="1:5" x14ac:dyDescent="0.25">
      <c r="A998" s="24">
        <v>997</v>
      </c>
      <c r="B998" s="24">
        <v>524646</v>
      </c>
      <c r="C998" s="24" t="s">
        <v>1864</v>
      </c>
      <c r="D998" s="24">
        <v>62</v>
      </c>
      <c r="E998" s="24">
        <v>58</v>
      </c>
    </row>
    <row r="999" spans="1:5" x14ac:dyDescent="0.25">
      <c r="A999" s="24">
        <v>998</v>
      </c>
      <c r="B999" s="24">
        <v>520365</v>
      </c>
      <c r="C999" s="24" t="s">
        <v>1865</v>
      </c>
      <c r="D999" s="24">
        <v>64</v>
      </c>
      <c r="E999" s="24">
        <v>60</v>
      </c>
    </row>
    <row r="1000" spans="1:5" x14ac:dyDescent="0.25">
      <c r="A1000" s="24">
        <v>999</v>
      </c>
      <c r="B1000" s="24">
        <v>515043</v>
      </c>
      <c r="C1000" s="24" t="s">
        <v>1866</v>
      </c>
      <c r="D1000" s="24">
        <v>51</v>
      </c>
      <c r="E1000" s="24">
        <v>47</v>
      </c>
    </row>
    <row r="1001" spans="1:5" x14ac:dyDescent="0.25">
      <c r="A1001" s="24">
        <v>1000</v>
      </c>
      <c r="B1001" s="24">
        <v>557552</v>
      </c>
      <c r="C1001" s="24" t="s">
        <v>1867</v>
      </c>
      <c r="D1001" s="24">
        <v>21</v>
      </c>
      <c r="E1001" s="24">
        <v>17</v>
      </c>
    </row>
    <row r="1002" spans="1:5" x14ac:dyDescent="0.25">
      <c r="A1002" s="24">
        <v>1001</v>
      </c>
      <c r="B1002" s="24">
        <v>509728</v>
      </c>
      <c r="C1002" s="24" t="s">
        <v>1868</v>
      </c>
      <c r="D1002" s="24">
        <v>38</v>
      </c>
      <c r="E1002" s="24">
        <v>34</v>
      </c>
    </row>
    <row r="1003" spans="1:5" x14ac:dyDescent="0.25">
      <c r="A1003" s="24">
        <v>1002</v>
      </c>
      <c r="B1003" s="24">
        <v>513831</v>
      </c>
      <c r="C1003" s="24" t="s">
        <v>3347</v>
      </c>
      <c r="D1003" s="24">
        <v>79</v>
      </c>
      <c r="E1003" s="24">
        <v>74</v>
      </c>
    </row>
    <row r="1004" spans="1:5" x14ac:dyDescent="0.25">
      <c r="A1004" s="24">
        <v>1003</v>
      </c>
      <c r="B1004" s="24">
        <v>501191</v>
      </c>
      <c r="C1004" s="24" t="s">
        <v>1869</v>
      </c>
      <c r="D1004" s="24">
        <v>25</v>
      </c>
      <c r="E1004" s="24">
        <v>21</v>
      </c>
    </row>
    <row r="1005" spans="1:5" x14ac:dyDescent="0.25">
      <c r="A1005" s="24">
        <v>1004</v>
      </c>
      <c r="B1005" s="24">
        <v>518492</v>
      </c>
      <c r="C1005" s="24" t="s">
        <v>1871</v>
      </c>
      <c r="D1005" s="24">
        <v>46</v>
      </c>
      <c r="E1005" s="24">
        <v>42</v>
      </c>
    </row>
    <row r="1006" spans="1:5" x14ac:dyDescent="0.25">
      <c r="A1006" s="24">
        <v>1005</v>
      </c>
      <c r="B1006" s="24">
        <v>509213</v>
      </c>
      <c r="C1006" s="24" t="s">
        <v>1872</v>
      </c>
      <c r="D1006" s="24">
        <v>33</v>
      </c>
      <c r="E1006" s="24">
        <v>29</v>
      </c>
    </row>
    <row r="1007" spans="1:5" x14ac:dyDescent="0.25">
      <c r="A1007" s="24">
        <v>1006</v>
      </c>
      <c r="B1007" s="24">
        <v>522597</v>
      </c>
      <c r="C1007" s="24" t="s">
        <v>1872</v>
      </c>
      <c r="D1007" s="24">
        <v>75</v>
      </c>
      <c r="E1007" s="24">
        <v>67</v>
      </c>
    </row>
    <row r="1008" spans="1:5" x14ac:dyDescent="0.25">
      <c r="A1008" s="24">
        <v>1007</v>
      </c>
      <c r="B1008" s="24">
        <v>509221</v>
      </c>
      <c r="C1008" s="24" t="s">
        <v>1873</v>
      </c>
      <c r="D1008" s="24">
        <v>33</v>
      </c>
      <c r="E1008" s="24">
        <v>29</v>
      </c>
    </row>
    <row r="1009" spans="1:5" x14ac:dyDescent="0.25">
      <c r="A1009" s="24">
        <v>1008</v>
      </c>
      <c r="B1009" s="24">
        <v>501689</v>
      </c>
      <c r="C1009" s="24" t="s">
        <v>1875</v>
      </c>
      <c r="D1009" s="24">
        <v>9</v>
      </c>
      <c r="E1009" s="24">
        <v>5</v>
      </c>
    </row>
    <row r="1010" spans="1:5" x14ac:dyDescent="0.25">
      <c r="A1010" s="24">
        <v>1009</v>
      </c>
      <c r="B1010" s="24">
        <v>543233</v>
      </c>
      <c r="C1010" s="24" t="s">
        <v>1876</v>
      </c>
      <c r="D1010" s="24">
        <v>69</v>
      </c>
      <c r="E1010" s="24">
        <v>65</v>
      </c>
    </row>
    <row r="1011" spans="1:5" x14ac:dyDescent="0.25">
      <c r="A1011" s="24">
        <v>1010</v>
      </c>
      <c r="B1011" s="24">
        <v>519324</v>
      </c>
      <c r="C1011" s="24" t="s">
        <v>1877</v>
      </c>
      <c r="D1011" s="24">
        <v>56</v>
      </c>
      <c r="E1011" s="24">
        <v>52</v>
      </c>
    </row>
    <row r="1012" spans="1:5" x14ac:dyDescent="0.25">
      <c r="A1012" s="24">
        <v>1011</v>
      </c>
      <c r="B1012" s="24">
        <v>503266</v>
      </c>
      <c r="C1012" s="24" t="s">
        <v>1878</v>
      </c>
      <c r="D1012" s="24">
        <v>28</v>
      </c>
      <c r="E1012" s="24">
        <v>24</v>
      </c>
    </row>
    <row r="1013" spans="1:5" x14ac:dyDescent="0.25">
      <c r="A1013" s="24">
        <v>1012</v>
      </c>
      <c r="B1013" s="24">
        <v>525839</v>
      </c>
      <c r="C1013" s="24" t="s">
        <v>1880</v>
      </c>
      <c r="D1013" s="24">
        <v>76</v>
      </c>
      <c r="E1013" s="24">
        <v>68</v>
      </c>
    </row>
    <row r="1014" spans="1:5" x14ac:dyDescent="0.25">
      <c r="A1014" s="24">
        <v>1013</v>
      </c>
      <c r="B1014" s="24">
        <v>519332</v>
      </c>
      <c r="C1014" s="24" t="s">
        <v>1881</v>
      </c>
      <c r="D1014" s="24">
        <v>67</v>
      </c>
      <c r="E1014" s="24">
        <v>63</v>
      </c>
    </row>
    <row r="1015" spans="1:5" x14ac:dyDescent="0.25">
      <c r="A1015" s="24">
        <v>1014</v>
      </c>
      <c r="B1015" s="24">
        <v>519341</v>
      </c>
      <c r="C1015" s="24" t="s">
        <v>1882</v>
      </c>
      <c r="D1015" s="24">
        <v>56</v>
      </c>
      <c r="E1015" s="24">
        <v>52</v>
      </c>
    </row>
    <row r="1016" spans="1:5" x14ac:dyDescent="0.25">
      <c r="A1016" s="24">
        <v>1015</v>
      </c>
      <c r="B1016" s="24">
        <v>525847</v>
      </c>
      <c r="C1016" s="24" t="s">
        <v>1883</v>
      </c>
      <c r="D1016" s="24">
        <v>76</v>
      </c>
      <c r="E1016" s="24">
        <v>68</v>
      </c>
    </row>
    <row r="1017" spans="1:5" x14ac:dyDescent="0.25">
      <c r="A1017" s="24">
        <v>1016</v>
      </c>
      <c r="B1017" s="24">
        <v>515051</v>
      </c>
      <c r="C1017" s="24" t="s">
        <v>1884</v>
      </c>
      <c r="D1017" s="24">
        <v>51</v>
      </c>
      <c r="E1017" s="24">
        <v>47</v>
      </c>
    </row>
    <row r="1018" spans="1:5" x14ac:dyDescent="0.25">
      <c r="A1018" s="24">
        <v>1017</v>
      </c>
      <c r="B1018" s="24">
        <v>514098</v>
      </c>
      <c r="C1018" s="24" t="s">
        <v>1885</v>
      </c>
      <c r="D1018" s="24">
        <v>22</v>
      </c>
      <c r="E1018" s="24">
        <v>18</v>
      </c>
    </row>
    <row r="1019" spans="1:5" x14ac:dyDescent="0.25">
      <c r="A1019" s="24">
        <v>1018</v>
      </c>
      <c r="B1019" s="24">
        <v>507199</v>
      </c>
      <c r="C1019" s="24" t="s">
        <v>4189</v>
      </c>
      <c r="D1019" s="24">
        <v>12</v>
      </c>
      <c r="E1019" s="24">
        <v>8</v>
      </c>
    </row>
    <row r="1020" spans="1:5" x14ac:dyDescent="0.25">
      <c r="A1020" s="24">
        <v>1019</v>
      </c>
      <c r="B1020" s="24">
        <v>506125</v>
      </c>
      <c r="C1020" s="24" t="s">
        <v>1889</v>
      </c>
      <c r="D1020" s="24">
        <v>19</v>
      </c>
      <c r="E1020" s="24">
        <v>15</v>
      </c>
    </row>
    <row r="1021" spans="1:5" x14ac:dyDescent="0.25">
      <c r="A1021" s="24">
        <v>1020</v>
      </c>
      <c r="B1021" s="24">
        <v>519359</v>
      </c>
      <c r="C1021" s="24" t="s">
        <v>1891</v>
      </c>
      <c r="D1021" s="24">
        <v>56</v>
      </c>
      <c r="E1021" s="24">
        <v>52</v>
      </c>
    </row>
    <row r="1022" spans="1:5" x14ac:dyDescent="0.25">
      <c r="A1022" s="24">
        <v>1021</v>
      </c>
      <c r="B1022" s="24">
        <v>520373</v>
      </c>
      <c r="C1022" s="24" t="s">
        <v>1891</v>
      </c>
      <c r="D1022" s="24">
        <v>57</v>
      </c>
      <c r="E1022" s="24">
        <v>53</v>
      </c>
    </row>
    <row r="1023" spans="1:5" x14ac:dyDescent="0.25">
      <c r="A1023" s="24">
        <v>1022</v>
      </c>
      <c r="B1023" s="24">
        <v>524654</v>
      </c>
      <c r="C1023" s="24" t="s">
        <v>1893</v>
      </c>
      <c r="D1023" s="24">
        <v>62</v>
      </c>
      <c r="E1023" s="24">
        <v>58</v>
      </c>
    </row>
    <row r="1024" spans="1:5" x14ac:dyDescent="0.25">
      <c r="A1024" s="24">
        <v>1023</v>
      </c>
      <c r="B1024" s="24">
        <v>543241</v>
      </c>
      <c r="C1024" s="24" t="s">
        <v>1894</v>
      </c>
      <c r="D1024" s="24">
        <v>69</v>
      </c>
      <c r="E1024" s="24">
        <v>65</v>
      </c>
    </row>
    <row r="1025" spans="1:5" x14ac:dyDescent="0.25">
      <c r="A1025" s="24">
        <v>1024</v>
      </c>
      <c r="B1025" s="24">
        <v>511498</v>
      </c>
      <c r="C1025" s="24" t="s">
        <v>1895</v>
      </c>
      <c r="D1025" s="24">
        <v>49</v>
      </c>
      <c r="E1025" s="24">
        <v>45</v>
      </c>
    </row>
    <row r="1026" spans="1:5" x14ac:dyDescent="0.25">
      <c r="A1026" s="24">
        <v>1025</v>
      </c>
      <c r="B1026" s="24">
        <v>524662</v>
      </c>
      <c r="C1026" s="24" t="s">
        <v>1897</v>
      </c>
      <c r="D1026" s="24">
        <v>62</v>
      </c>
      <c r="E1026" s="24">
        <v>58</v>
      </c>
    </row>
    <row r="1027" spans="1:5" x14ac:dyDescent="0.25">
      <c r="A1027" s="24">
        <v>1026</v>
      </c>
      <c r="B1027" s="24">
        <v>521558</v>
      </c>
      <c r="C1027" s="24" t="s">
        <v>1898</v>
      </c>
      <c r="D1027" s="24">
        <v>74</v>
      </c>
      <c r="E1027" s="24">
        <v>66</v>
      </c>
    </row>
    <row r="1028" spans="1:5" x14ac:dyDescent="0.25">
      <c r="A1028" s="24">
        <v>1027</v>
      </c>
      <c r="B1028" s="24">
        <v>526797</v>
      </c>
      <c r="C1028" s="24" t="s">
        <v>1901</v>
      </c>
      <c r="D1028" s="24">
        <v>65</v>
      </c>
      <c r="E1028" s="24">
        <v>61</v>
      </c>
    </row>
    <row r="1029" spans="1:5" x14ac:dyDescent="0.25">
      <c r="A1029" s="24">
        <v>1028</v>
      </c>
      <c r="B1029" s="24">
        <v>543055</v>
      </c>
      <c r="C1029" s="24" t="s">
        <v>1902</v>
      </c>
      <c r="D1029" s="24">
        <v>20</v>
      </c>
      <c r="E1029" s="24">
        <v>16</v>
      </c>
    </row>
    <row r="1030" spans="1:5" x14ac:dyDescent="0.25">
      <c r="A1030" s="24">
        <v>1029</v>
      </c>
      <c r="B1030" s="24">
        <v>516112</v>
      </c>
      <c r="C1030" s="24" t="s">
        <v>1906</v>
      </c>
      <c r="D1030" s="24">
        <v>52</v>
      </c>
      <c r="E1030" s="24">
        <v>48</v>
      </c>
    </row>
    <row r="1031" spans="1:5" x14ac:dyDescent="0.25">
      <c r="A1031" s="24">
        <v>1030</v>
      </c>
      <c r="B1031" s="24">
        <v>517674</v>
      </c>
      <c r="C1031" s="24" t="s">
        <v>1903</v>
      </c>
      <c r="D1031" s="24">
        <v>32</v>
      </c>
      <c r="E1031" s="24">
        <v>28</v>
      </c>
    </row>
    <row r="1032" spans="1:5" x14ac:dyDescent="0.25">
      <c r="A1032" s="24">
        <v>1031</v>
      </c>
      <c r="B1032" s="24">
        <v>501204</v>
      </c>
      <c r="C1032" s="24" t="s">
        <v>1904</v>
      </c>
      <c r="D1032" s="24">
        <v>25</v>
      </c>
      <c r="E1032" s="24">
        <v>21</v>
      </c>
    </row>
    <row r="1033" spans="1:5" x14ac:dyDescent="0.25">
      <c r="A1033" s="24">
        <v>1032</v>
      </c>
      <c r="B1033" s="24">
        <v>520381</v>
      </c>
      <c r="C1033" s="24" t="s">
        <v>1907</v>
      </c>
      <c r="D1033" s="24">
        <v>64</v>
      </c>
      <c r="E1033" s="24">
        <v>60</v>
      </c>
    </row>
    <row r="1034" spans="1:5" x14ac:dyDescent="0.25">
      <c r="A1034" s="24">
        <v>1033</v>
      </c>
      <c r="B1034" s="24">
        <v>527386</v>
      </c>
      <c r="C1034" s="24" t="s">
        <v>1908</v>
      </c>
      <c r="D1034" s="24">
        <v>66</v>
      </c>
      <c r="E1034" s="24">
        <v>62</v>
      </c>
    </row>
    <row r="1035" spans="1:5" x14ac:dyDescent="0.25">
      <c r="A1035" s="24">
        <v>1034</v>
      </c>
      <c r="B1035" s="24">
        <v>522601</v>
      </c>
      <c r="C1035" s="24" t="s">
        <v>1909</v>
      </c>
      <c r="D1035" s="24">
        <v>77</v>
      </c>
      <c r="E1035" s="24">
        <v>69</v>
      </c>
    </row>
    <row r="1036" spans="1:5" x14ac:dyDescent="0.25">
      <c r="A1036" s="24">
        <v>1035</v>
      </c>
      <c r="B1036" s="24">
        <v>500411</v>
      </c>
      <c r="C1036" s="24" t="s">
        <v>1910</v>
      </c>
      <c r="D1036" s="24">
        <v>27</v>
      </c>
      <c r="E1036" s="24">
        <v>23</v>
      </c>
    </row>
    <row r="1037" spans="1:5" x14ac:dyDescent="0.25">
      <c r="A1037" s="24">
        <v>1036</v>
      </c>
      <c r="B1037" s="24">
        <v>543250</v>
      </c>
      <c r="C1037" s="24" t="s">
        <v>1911</v>
      </c>
      <c r="D1037" s="24">
        <v>78</v>
      </c>
      <c r="E1037" s="24">
        <v>70</v>
      </c>
    </row>
    <row r="1038" spans="1:5" x14ac:dyDescent="0.25">
      <c r="A1038" s="24">
        <v>1037</v>
      </c>
      <c r="B1038" s="24">
        <v>520390</v>
      </c>
      <c r="C1038" s="24" t="s">
        <v>1912</v>
      </c>
      <c r="D1038" s="24">
        <v>64</v>
      </c>
      <c r="E1038" s="24">
        <v>60</v>
      </c>
    </row>
    <row r="1039" spans="1:5" x14ac:dyDescent="0.25">
      <c r="A1039" s="24">
        <v>1038</v>
      </c>
      <c r="B1039" s="24">
        <v>503274</v>
      </c>
      <c r="C1039" s="24" t="s">
        <v>1913</v>
      </c>
      <c r="D1039" s="24">
        <v>28</v>
      </c>
      <c r="E1039" s="24">
        <v>24</v>
      </c>
    </row>
    <row r="1040" spans="1:5" x14ac:dyDescent="0.25">
      <c r="A1040" s="24">
        <v>1039</v>
      </c>
      <c r="B1040" s="24">
        <v>528790</v>
      </c>
      <c r="C1040" s="24" t="s">
        <v>1914</v>
      </c>
      <c r="D1040" s="24">
        <v>68</v>
      </c>
      <c r="E1040" s="24">
        <v>64</v>
      </c>
    </row>
    <row r="1041" spans="1:5" x14ac:dyDescent="0.25">
      <c r="A1041" s="24">
        <v>1040</v>
      </c>
      <c r="B1041" s="24">
        <v>501026</v>
      </c>
      <c r="C1041" s="24" t="s">
        <v>1915</v>
      </c>
      <c r="D1041" s="24">
        <v>25</v>
      </c>
      <c r="E1041" s="24">
        <v>21</v>
      </c>
    </row>
    <row r="1042" spans="1:5" x14ac:dyDescent="0.25">
      <c r="A1042" s="24">
        <v>1041</v>
      </c>
      <c r="B1042" s="24">
        <v>519367</v>
      </c>
      <c r="C1042" s="24" t="s">
        <v>1916</v>
      </c>
      <c r="D1042" s="24">
        <v>56</v>
      </c>
      <c r="E1042" s="24">
        <v>52</v>
      </c>
    </row>
    <row r="1043" spans="1:5" x14ac:dyDescent="0.25">
      <c r="A1043" s="24">
        <v>1042</v>
      </c>
      <c r="B1043" s="24">
        <v>521566</v>
      </c>
      <c r="C1043" s="24" t="s">
        <v>1917</v>
      </c>
      <c r="D1043" s="24">
        <v>74</v>
      </c>
      <c r="E1043" s="24">
        <v>66</v>
      </c>
    </row>
    <row r="1044" spans="1:5" x14ac:dyDescent="0.25">
      <c r="A1044" s="24">
        <v>1043</v>
      </c>
      <c r="B1044" s="24">
        <v>503282</v>
      </c>
      <c r="C1044" s="24" t="s">
        <v>1918</v>
      </c>
      <c r="D1044" s="24">
        <v>28</v>
      </c>
      <c r="E1044" s="24">
        <v>24</v>
      </c>
    </row>
    <row r="1045" spans="1:5" x14ac:dyDescent="0.25">
      <c r="A1045" s="24">
        <v>1044</v>
      </c>
      <c r="B1045" s="24">
        <v>510548</v>
      </c>
      <c r="C1045" s="24" t="s">
        <v>1919</v>
      </c>
      <c r="D1045" s="24">
        <v>39</v>
      </c>
      <c r="E1045" s="24">
        <v>35</v>
      </c>
    </row>
    <row r="1046" spans="1:5" x14ac:dyDescent="0.25">
      <c r="A1046" s="24">
        <v>1045</v>
      </c>
      <c r="B1046" s="24">
        <v>503291</v>
      </c>
      <c r="C1046" s="24" t="s">
        <v>1920</v>
      </c>
      <c r="D1046" s="24">
        <v>28</v>
      </c>
      <c r="E1046" s="24">
        <v>24</v>
      </c>
    </row>
    <row r="1047" spans="1:5" x14ac:dyDescent="0.25">
      <c r="A1047" s="24">
        <v>1046</v>
      </c>
      <c r="B1047" s="24">
        <v>543063</v>
      </c>
      <c r="C1047" s="24" t="s">
        <v>1921</v>
      </c>
      <c r="D1047" s="24">
        <v>30</v>
      </c>
      <c r="E1047" s="24">
        <v>26</v>
      </c>
    </row>
    <row r="1048" spans="1:5" x14ac:dyDescent="0.25">
      <c r="A1048" s="24">
        <v>1047</v>
      </c>
      <c r="B1048" s="24">
        <v>515060</v>
      </c>
      <c r="C1048" s="24" t="s">
        <v>1922</v>
      </c>
      <c r="D1048" s="24">
        <v>51</v>
      </c>
      <c r="E1048" s="24">
        <v>47</v>
      </c>
    </row>
    <row r="1049" spans="1:5" x14ac:dyDescent="0.25">
      <c r="A1049" s="24">
        <v>1048</v>
      </c>
      <c r="B1049" s="24">
        <v>507393</v>
      </c>
      <c r="C1049" s="24" t="s">
        <v>1923</v>
      </c>
      <c r="D1049" s="24">
        <v>36</v>
      </c>
      <c r="E1049" s="24">
        <v>32</v>
      </c>
    </row>
    <row r="1050" spans="1:5" x14ac:dyDescent="0.25">
      <c r="A1050" s="24">
        <v>1049</v>
      </c>
      <c r="B1050" s="24">
        <v>517682</v>
      </c>
      <c r="C1050" s="24" t="s">
        <v>1923</v>
      </c>
      <c r="D1050" s="24">
        <v>42</v>
      </c>
      <c r="E1050" s="24">
        <v>38</v>
      </c>
    </row>
    <row r="1051" spans="1:5" x14ac:dyDescent="0.25">
      <c r="A1051" s="24">
        <v>1050</v>
      </c>
      <c r="B1051" s="24">
        <v>522627</v>
      </c>
      <c r="C1051" s="24" t="s">
        <v>1925</v>
      </c>
      <c r="D1051" s="24">
        <v>77</v>
      </c>
      <c r="E1051" s="24">
        <v>69</v>
      </c>
    </row>
    <row r="1052" spans="1:5" x14ac:dyDescent="0.25">
      <c r="A1052" s="24">
        <v>1051</v>
      </c>
      <c r="B1052" s="24">
        <v>504459</v>
      </c>
      <c r="C1052" s="24" t="s">
        <v>1927</v>
      </c>
      <c r="D1052" s="24">
        <v>14</v>
      </c>
      <c r="E1052" s="24">
        <v>10</v>
      </c>
    </row>
    <row r="1053" spans="1:5" x14ac:dyDescent="0.25">
      <c r="A1053" s="24">
        <v>1052</v>
      </c>
      <c r="B1053" s="24">
        <v>516937</v>
      </c>
      <c r="C1053" s="24" t="s">
        <v>1930</v>
      </c>
      <c r="D1053" s="24">
        <v>55</v>
      </c>
      <c r="E1053" s="24">
        <v>51</v>
      </c>
    </row>
    <row r="1054" spans="1:5" x14ac:dyDescent="0.25">
      <c r="A1054" s="24">
        <v>1053</v>
      </c>
      <c r="B1054" s="24">
        <v>507202</v>
      </c>
      <c r="C1054" s="24" t="s">
        <v>1931</v>
      </c>
      <c r="D1054" s="24">
        <v>11</v>
      </c>
      <c r="E1054" s="24">
        <v>7</v>
      </c>
    </row>
    <row r="1055" spans="1:5" x14ac:dyDescent="0.25">
      <c r="A1055" s="24">
        <v>1054</v>
      </c>
      <c r="B1055" s="24">
        <v>519375</v>
      </c>
      <c r="C1055" s="24" t="s">
        <v>1932</v>
      </c>
      <c r="D1055" s="24">
        <v>56</v>
      </c>
      <c r="E1055" s="24">
        <v>52</v>
      </c>
    </row>
    <row r="1056" spans="1:5" x14ac:dyDescent="0.25">
      <c r="A1056" s="24">
        <v>1055</v>
      </c>
      <c r="B1056" s="24">
        <v>508713</v>
      </c>
      <c r="C1056" s="24" t="s">
        <v>1933</v>
      </c>
      <c r="D1056" s="24">
        <v>43</v>
      </c>
      <c r="E1056" s="24">
        <v>39</v>
      </c>
    </row>
    <row r="1057" spans="1:5" x14ac:dyDescent="0.25">
      <c r="A1057" s="24">
        <v>1056</v>
      </c>
      <c r="B1057" s="24">
        <v>527394</v>
      </c>
      <c r="C1057" s="24" t="s">
        <v>1934</v>
      </c>
      <c r="D1057" s="24">
        <v>67</v>
      </c>
      <c r="E1057" s="24">
        <v>63</v>
      </c>
    </row>
    <row r="1058" spans="1:5" x14ac:dyDescent="0.25">
      <c r="A1058" s="24">
        <v>1057</v>
      </c>
      <c r="B1058" s="24">
        <v>509230</v>
      </c>
      <c r="C1058" s="24" t="s">
        <v>1935</v>
      </c>
      <c r="D1058" s="24">
        <v>33</v>
      </c>
      <c r="E1058" s="24">
        <v>29</v>
      </c>
    </row>
    <row r="1059" spans="1:5" x14ac:dyDescent="0.25">
      <c r="A1059" s="24">
        <v>1058</v>
      </c>
      <c r="B1059" s="24">
        <v>522643</v>
      </c>
      <c r="C1059" s="24" t="s">
        <v>1936</v>
      </c>
      <c r="D1059" s="24">
        <v>77</v>
      </c>
      <c r="E1059" s="24">
        <v>69</v>
      </c>
    </row>
    <row r="1060" spans="1:5" x14ac:dyDescent="0.25">
      <c r="A1060" s="24">
        <v>1059</v>
      </c>
      <c r="B1060" s="24">
        <v>527408</v>
      </c>
      <c r="C1060" s="24" t="s">
        <v>1937</v>
      </c>
      <c r="D1060" s="24">
        <v>66</v>
      </c>
      <c r="E1060" s="24">
        <v>62</v>
      </c>
    </row>
    <row r="1061" spans="1:5" x14ac:dyDescent="0.25">
      <c r="A1061" s="24">
        <v>1060</v>
      </c>
      <c r="B1061" s="24">
        <v>580520</v>
      </c>
      <c r="C1061" s="24" t="s">
        <v>2048</v>
      </c>
      <c r="D1061" s="24">
        <v>46</v>
      </c>
      <c r="E1061" s="24">
        <v>42</v>
      </c>
    </row>
    <row r="1062" spans="1:5" x14ac:dyDescent="0.25">
      <c r="A1062" s="24">
        <v>1061</v>
      </c>
      <c r="B1062" s="24">
        <v>581640</v>
      </c>
      <c r="C1062" s="24" t="s">
        <v>2893</v>
      </c>
      <c r="D1062" s="24">
        <v>59</v>
      </c>
      <c r="E1062" s="24">
        <v>55</v>
      </c>
    </row>
    <row r="1063" spans="1:5" x14ac:dyDescent="0.25">
      <c r="A1063" s="24">
        <v>1062</v>
      </c>
      <c r="B1063" s="24">
        <v>516121</v>
      </c>
      <c r="C1063" s="24" t="s">
        <v>1938</v>
      </c>
      <c r="D1063" s="24">
        <v>52</v>
      </c>
      <c r="E1063" s="24">
        <v>48</v>
      </c>
    </row>
    <row r="1064" spans="1:5" x14ac:dyDescent="0.25">
      <c r="A1064" s="24">
        <v>1063</v>
      </c>
      <c r="B1064" s="24">
        <v>516139</v>
      </c>
      <c r="C1064" s="24" t="s">
        <v>1939</v>
      </c>
      <c r="D1064" s="24">
        <v>52</v>
      </c>
      <c r="E1064" s="24">
        <v>48</v>
      </c>
    </row>
    <row r="1065" spans="1:5" x14ac:dyDescent="0.25">
      <c r="A1065" s="24">
        <v>1064</v>
      </c>
      <c r="B1065" s="24">
        <v>516945</v>
      </c>
      <c r="C1065" s="24" t="s">
        <v>1940</v>
      </c>
      <c r="D1065" s="24">
        <v>55</v>
      </c>
      <c r="E1065" s="24">
        <v>51</v>
      </c>
    </row>
    <row r="1066" spans="1:5" x14ac:dyDescent="0.25">
      <c r="A1066" s="24">
        <v>1065</v>
      </c>
      <c r="B1066" s="24">
        <v>582514</v>
      </c>
      <c r="C1066" s="24" t="s">
        <v>1287</v>
      </c>
      <c r="D1066" s="24">
        <v>74</v>
      </c>
      <c r="E1066" s="24">
        <v>66</v>
      </c>
    </row>
    <row r="1067" spans="1:5" x14ac:dyDescent="0.25">
      <c r="A1067" s="24">
        <v>1066</v>
      </c>
      <c r="B1067" s="24">
        <v>500429</v>
      </c>
      <c r="C1067" s="24" t="s">
        <v>1941</v>
      </c>
      <c r="D1067" s="24">
        <v>31</v>
      </c>
      <c r="E1067" s="24">
        <v>27</v>
      </c>
    </row>
    <row r="1068" spans="1:5" x14ac:dyDescent="0.25">
      <c r="A1068" s="24">
        <v>1067</v>
      </c>
      <c r="B1068" s="24">
        <v>513245</v>
      </c>
      <c r="C1068" s="24" t="s">
        <v>1942</v>
      </c>
      <c r="D1068" s="24">
        <v>21</v>
      </c>
      <c r="E1068" s="24">
        <v>17</v>
      </c>
    </row>
    <row r="1069" spans="1:5" x14ac:dyDescent="0.25">
      <c r="A1069" s="24">
        <v>1068</v>
      </c>
      <c r="B1069" s="24">
        <v>508012</v>
      </c>
      <c r="C1069" s="24" t="s">
        <v>1943</v>
      </c>
      <c r="D1069" s="24">
        <v>6</v>
      </c>
      <c r="E1069" s="24">
        <v>1</v>
      </c>
    </row>
    <row r="1070" spans="1:5" x14ac:dyDescent="0.25">
      <c r="A1070" s="24">
        <v>1069</v>
      </c>
      <c r="B1070" s="24">
        <v>506133</v>
      </c>
      <c r="C1070" s="24" t="s">
        <v>1947</v>
      </c>
      <c r="D1070" s="24">
        <v>24</v>
      </c>
      <c r="E1070" s="24">
        <v>20</v>
      </c>
    </row>
    <row r="1071" spans="1:5" x14ac:dyDescent="0.25">
      <c r="A1071" s="24">
        <v>1070</v>
      </c>
      <c r="B1071" s="24">
        <v>503851</v>
      </c>
      <c r="C1071" s="24" t="s">
        <v>1944</v>
      </c>
      <c r="D1071" s="24">
        <v>8</v>
      </c>
      <c r="E1071" s="24">
        <v>3</v>
      </c>
    </row>
    <row r="1072" spans="1:5" x14ac:dyDescent="0.25">
      <c r="A1072" s="24">
        <v>1071</v>
      </c>
      <c r="B1072" s="24">
        <v>514101</v>
      </c>
      <c r="C1072" s="24" t="s">
        <v>1946</v>
      </c>
      <c r="D1072" s="24">
        <v>22</v>
      </c>
      <c r="E1072" s="24">
        <v>18</v>
      </c>
    </row>
    <row r="1073" spans="1:5" x14ac:dyDescent="0.25">
      <c r="A1073" s="24">
        <v>1072</v>
      </c>
      <c r="B1073" s="24">
        <v>506141</v>
      </c>
      <c r="C1073" s="24" t="s">
        <v>1948</v>
      </c>
      <c r="D1073" s="24">
        <v>18</v>
      </c>
      <c r="E1073" s="24">
        <v>14</v>
      </c>
    </row>
    <row r="1074" spans="1:5" x14ac:dyDescent="0.25">
      <c r="A1074" s="24">
        <v>1073</v>
      </c>
      <c r="B1074" s="24">
        <v>501697</v>
      </c>
      <c r="C1074" s="24" t="s">
        <v>1950</v>
      </c>
      <c r="D1074" s="24">
        <v>9</v>
      </c>
      <c r="E1074" s="24">
        <v>5</v>
      </c>
    </row>
    <row r="1075" spans="1:5" x14ac:dyDescent="0.25">
      <c r="A1075" s="24">
        <v>1074</v>
      </c>
      <c r="B1075" s="24">
        <v>514110</v>
      </c>
      <c r="C1075" s="24" t="s">
        <v>1955</v>
      </c>
      <c r="D1075" s="24">
        <v>22</v>
      </c>
      <c r="E1075" s="24">
        <v>18</v>
      </c>
    </row>
    <row r="1076" spans="1:5" x14ac:dyDescent="0.25">
      <c r="A1076" s="24">
        <v>1075</v>
      </c>
      <c r="B1076" s="24">
        <v>504467</v>
      </c>
      <c r="C1076" s="24" t="s">
        <v>1956</v>
      </c>
      <c r="D1076" s="24">
        <v>18</v>
      </c>
      <c r="E1076" s="24">
        <v>14</v>
      </c>
    </row>
    <row r="1077" spans="1:5" x14ac:dyDescent="0.25">
      <c r="A1077" s="24">
        <v>1076</v>
      </c>
      <c r="B1077" s="24">
        <v>528803</v>
      </c>
      <c r="C1077" s="24" t="s">
        <v>1957</v>
      </c>
      <c r="D1077" s="24">
        <v>57</v>
      </c>
      <c r="E1077" s="24">
        <v>53</v>
      </c>
    </row>
    <row r="1078" spans="1:5" x14ac:dyDescent="0.25">
      <c r="A1078" s="24">
        <v>1077</v>
      </c>
      <c r="B1078" s="24">
        <v>513253</v>
      </c>
      <c r="C1078" s="24" t="s">
        <v>1958</v>
      </c>
      <c r="D1078" s="24">
        <v>17</v>
      </c>
      <c r="E1078" s="24">
        <v>13</v>
      </c>
    </row>
    <row r="1079" spans="1:5" x14ac:dyDescent="0.25">
      <c r="A1079" s="24">
        <v>1078</v>
      </c>
      <c r="B1079" s="24">
        <v>513351</v>
      </c>
      <c r="C1079" s="24" t="s">
        <v>4190</v>
      </c>
      <c r="D1079" s="24">
        <v>17</v>
      </c>
      <c r="E1079" s="24">
        <v>13</v>
      </c>
    </row>
    <row r="1080" spans="1:5" x14ac:dyDescent="0.25">
      <c r="A1080" s="24">
        <v>1079</v>
      </c>
      <c r="B1080" s="24">
        <v>599093</v>
      </c>
      <c r="C1080" s="24" t="s">
        <v>4191</v>
      </c>
      <c r="D1080" s="24">
        <v>73</v>
      </c>
      <c r="E1080" s="24">
        <v>75</v>
      </c>
    </row>
    <row r="1081" spans="1:5" x14ac:dyDescent="0.25">
      <c r="A1081" s="24">
        <v>1080</v>
      </c>
      <c r="B1081" s="24">
        <v>598682</v>
      </c>
      <c r="C1081" s="24" t="s">
        <v>4192</v>
      </c>
      <c r="D1081" s="24">
        <v>72</v>
      </c>
      <c r="E1081" s="24">
        <v>75</v>
      </c>
    </row>
    <row r="1082" spans="1:5" x14ac:dyDescent="0.25">
      <c r="A1082" s="24">
        <v>1081</v>
      </c>
      <c r="B1082" s="24">
        <v>599891</v>
      </c>
      <c r="C1082" s="24" t="s">
        <v>4193</v>
      </c>
      <c r="D1082" s="24">
        <v>70</v>
      </c>
      <c r="E1082" s="24">
        <v>75</v>
      </c>
    </row>
    <row r="1083" spans="1:5" x14ac:dyDescent="0.25">
      <c r="A1083" s="24">
        <v>1082</v>
      </c>
      <c r="B1083" s="24">
        <v>599824</v>
      </c>
      <c r="C1083" s="24" t="s">
        <v>4194</v>
      </c>
      <c r="D1083" s="24">
        <v>73</v>
      </c>
      <c r="E1083" s="24">
        <v>75</v>
      </c>
    </row>
    <row r="1084" spans="1:5" x14ac:dyDescent="0.25">
      <c r="A1084" s="24">
        <v>1083</v>
      </c>
      <c r="B1084" s="24">
        <v>598119</v>
      </c>
      <c r="C1084" s="24" t="s">
        <v>4195</v>
      </c>
      <c r="D1084" s="24">
        <v>70</v>
      </c>
      <c r="E1084" s="24">
        <v>75</v>
      </c>
    </row>
    <row r="1085" spans="1:5" x14ac:dyDescent="0.25">
      <c r="A1085" s="24">
        <v>1084</v>
      </c>
      <c r="B1085" s="24">
        <v>599018</v>
      </c>
      <c r="C1085" s="24" t="s">
        <v>4196</v>
      </c>
      <c r="D1085" s="24">
        <v>72</v>
      </c>
      <c r="E1085" s="24">
        <v>75</v>
      </c>
    </row>
    <row r="1086" spans="1:5" x14ac:dyDescent="0.25">
      <c r="A1086" s="24">
        <v>1085</v>
      </c>
      <c r="B1086" s="24">
        <v>599794</v>
      </c>
      <c r="C1086" s="24" t="s">
        <v>4197</v>
      </c>
      <c r="D1086" s="24">
        <v>73</v>
      </c>
      <c r="E1086" s="24">
        <v>75</v>
      </c>
    </row>
    <row r="1087" spans="1:5" x14ac:dyDescent="0.25">
      <c r="A1087" s="24">
        <v>1086</v>
      </c>
      <c r="B1087" s="24">
        <v>598194</v>
      </c>
      <c r="C1087" s="24" t="s">
        <v>4198</v>
      </c>
      <c r="D1087" s="24">
        <v>71</v>
      </c>
      <c r="E1087" s="24">
        <v>75</v>
      </c>
    </row>
    <row r="1088" spans="1:5" x14ac:dyDescent="0.25">
      <c r="A1088" s="24">
        <v>1087</v>
      </c>
      <c r="B1088" s="24">
        <v>599972</v>
      </c>
      <c r="C1088" s="24" t="s">
        <v>4199</v>
      </c>
      <c r="D1088" s="24">
        <v>71</v>
      </c>
      <c r="E1088" s="24">
        <v>75</v>
      </c>
    </row>
    <row r="1089" spans="1:5" x14ac:dyDescent="0.25">
      <c r="A1089" s="24">
        <v>1088</v>
      </c>
      <c r="B1089" s="24">
        <v>598216</v>
      </c>
      <c r="C1089" s="24" t="s">
        <v>4200</v>
      </c>
      <c r="D1089" s="24">
        <v>71</v>
      </c>
      <c r="E1089" s="24">
        <v>75</v>
      </c>
    </row>
    <row r="1090" spans="1:5" x14ac:dyDescent="0.25">
      <c r="A1090" s="24">
        <v>1089</v>
      </c>
      <c r="B1090" s="24">
        <v>599816</v>
      </c>
      <c r="C1090" s="24" t="s">
        <v>4201</v>
      </c>
      <c r="D1090" s="24">
        <v>73</v>
      </c>
      <c r="E1090" s="24">
        <v>75</v>
      </c>
    </row>
    <row r="1091" spans="1:5" x14ac:dyDescent="0.25">
      <c r="A1091" s="24">
        <v>1090</v>
      </c>
      <c r="B1091" s="24">
        <v>598208</v>
      </c>
      <c r="C1091" s="24" t="s">
        <v>4202</v>
      </c>
      <c r="D1091" s="24">
        <v>71</v>
      </c>
      <c r="E1091" s="24">
        <v>75</v>
      </c>
    </row>
    <row r="1092" spans="1:5" x14ac:dyDescent="0.25">
      <c r="A1092" s="24">
        <v>1091</v>
      </c>
      <c r="B1092" s="24">
        <v>599859</v>
      </c>
      <c r="C1092" s="24" t="s">
        <v>4203</v>
      </c>
      <c r="D1092" s="24">
        <v>71</v>
      </c>
      <c r="E1092" s="24">
        <v>75</v>
      </c>
    </row>
    <row r="1093" spans="1:5" x14ac:dyDescent="0.25">
      <c r="A1093" s="24">
        <v>1092</v>
      </c>
      <c r="B1093" s="24">
        <v>598151</v>
      </c>
      <c r="C1093" s="24" t="s">
        <v>4204</v>
      </c>
      <c r="D1093" s="24">
        <v>70</v>
      </c>
      <c r="E1093" s="24">
        <v>75</v>
      </c>
    </row>
    <row r="1094" spans="1:5" x14ac:dyDescent="0.25">
      <c r="A1094" s="24">
        <v>1093</v>
      </c>
      <c r="B1094" s="24">
        <v>599883</v>
      </c>
      <c r="C1094" s="24" t="s">
        <v>4205</v>
      </c>
      <c r="D1094" s="24">
        <v>71</v>
      </c>
      <c r="E1094" s="24">
        <v>75</v>
      </c>
    </row>
    <row r="1095" spans="1:5" x14ac:dyDescent="0.25">
      <c r="A1095" s="24">
        <v>1094</v>
      </c>
      <c r="B1095" s="24">
        <v>599875</v>
      </c>
      <c r="C1095" s="24" t="s">
        <v>4206</v>
      </c>
      <c r="D1095" s="24">
        <v>70</v>
      </c>
      <c r="E1095" s="24">
        <v>75</v>
      </c>
    </row>
    <row r="1096" spans="1:5" x14ac:dyDescent="0.25">
      <c r="A1096" s="24">
        <v>1095</v>
      </c>
      <c r="B1096" s="24">
        <v>598186</v>
      </c>
      <c r="C1096" s="24" t="s">
        <v>4207</v>
      </c>
      <c r="D1096" s="24">
        <v>70</v>
      </c>
      <c r="E1096" s="24">
        <v>75</v>
      </c>
    </row>
    <row r="1097" spans="1:5" x14ac:dyDescent="0.25">
      <c r="A1097" s="24">
        <v>1096</v>
      </c>
      <c r="B1097" s="24">
        <v>599841</v>
      </c>
      <c r="C1097" s="24" t="s">
        <v>4208</v>
      </c>
      <c r="D1097" s="24">
        <v>71</v>
      </c>
      <c r="E1097" s="24">
        <v>75</v>
      </c>
    </row>
    <row r="1098" spans="1:5" x14ac:dyDescent="0.25">
      <c r="A1098" s="24">
        <v>1097</v>
      </c>
      <c r="B1098" s="24">
        <v>599786</v>
      </c>
      <c r="C1098" s="24" t="s">
        <v>4209</v>
      </c>
      <c r="D1098" s="24">
        <v>73</v>
      </c>
      <c r="E1098" s="24">
        <v>75</v>
      </c>
    </row>
    <row r="1099" spans="1:5" x14ac:dyDescent="0.25">
      <c r="A1099" s="24">
        <v>1098</v>
      </c>
      <c r="B1099" s="24">
        <v>598127</v>
      </c>
      <c r="C1099" s="24" t="s">
        <v>4210</v>
      </c>
      <c r="D1099" s="24">
        <v>70</v>
      </c>
      <c r="E1099" s="24">
        <v>75</v>
      </c>
    </row>
    <row r="1100" spans="1:5" x14ac:dyDescent="0.25">
      <c r="A1100" s="24">
        <v>1099</v>
      </c>
      <c r="B1100" s="24">
        <v>599913</v>
      </c>
      <c r="C1100" s="24" t="s">
        <v>4211</v>
      </c>
      <c r="D1100" s="24">
        <v>73</v>
      </c>
      <c r="E1100" s="24">
        <v>75</v>
      </c>
    </row>
    <row r="1101" spans="1:5" x14ac:dyDescent="0.25">
      <c r="A1101" s="24">
        <v>1100</v>
      </c>
      <c r="B1101" s="24">
        <v>598224</v>
      </c>
      <c r="C1101" s="24" t="s">
        <v>4212</v>
      </c>
      <c r="D1101" s="24">
        <v>71</v>
      </c>
      <c r="E1101" s="24">
        <v>75</v>
      </c>
    </row>
    <row r="1102" spans="1:5" x14ac:dyDescent="0.25">
      <c r="A1102" s="24">
        <v>1101</v>
      </c>
      <c r="B1102" s="24">
        <v>521574</v>
      </c>
      <c r="C1102" s="24" t="s">
        <v>1977</v>
      </c>
      <c r="D1102" s="24">
        <v>74</v>
      </c>
      <c r="E1102" s="24">
        <v>66</v>
      </c>
    </row>
    <row r="1103" spans="1:5" x14ac:dyDescent="0.25">
      <c r="A1103" s="24">
        <v>1102</v>
      </c>
      <c r="B1103" s="24">
        <v>521582</v>
      </c>
      <c r="C1103" s="24" t="s">
        <v>1978</v>
      </c>
      <c r="D1103" s="24">
        <v>74</v>
      </c>
      <c r="E1103" s="24">
        <v>66</v>
      </c>
    </row>
    <row r="1104" spans="1:5" x14ac:dyDescent="0.25">
      <c r="A1104" s="24">
        <v>1103</v>
      </c>
      <c r="B1104" s="24">
        <v>521591</v>
      </c>
      <c r="C1104" s="24" t="s">
        <v>4213</v>
      </c>
      <c r="D1104" s="24">
        <v>74</v>
      </c>
      <c r="E1104" s="24">
        <v>66</v>
      </c>
    </row>
    <row r="1105" spans="1:5" x14ac:dyDescent="0.25">
      <c r="A1105" s="24">
        <v>1104</v>
      </c>
      <c r="B1105" s="24">
        <v>521604</v>
      </c>
      <c r="C1105" s="24" t="s">
        <v>1981</v>
      </c>
      <c r="D1105" s="24">
        <v>74</v>
      </c>
      <c r="E1105" s="24">
        <v>66</v>
      </c>
    </row>
    <row r="1106" spans="1:5" x14ac:dyDescent="0.25">
      <c r="A1106" s="24">
        <v>1105</v>
      </c>
      <c r="B1106" s="24">
        <v>520403</v>
      </c>
      <c r="C1106" s="24" t="s">
        <v>1982</v>
      </c>
      <c r="D1106" s="24">
        <v>57</v>
      </c>
      <c r="E1106" s="24">
        <v>53</v>
      </c>
    </row>
    <row r="1107" spans="1:5" x14ac:dyDescent="0.25">
      <c r="A1107" s="24">
        <v>1106</v>
      </c>
      <c r="B1107" s="24">
        <v>507211</v>
      </c>
      <c r="C1107" s="24" t="s">
        <v>1983</v>
      </c>
      <c r="D1107" s="24">
        <v>15</v>
      </c>
      <c r="E1107" s="24">
        <v>11</v>
      </c>
    </row>
    <row r="1108" spans="1:5" x14ac:dyDescent="0.25">
      <c r="A1108" s="24">
        <v>1107</v>
      </c>
      <c r="B1108" s="24">
        <v>512371</v>
      </c>
      <c r="C1108" s="24" t="s">
        <v>1984</v>
      </c>
      <c r="D1108" s="24">
        <v>37</v>
      </c>
      <c r="E1108" s="24">
        <v>33</v>
      </c>
    </row>
    <row r="1109" spans="1:5" x14ac:dyDescent="0.25">
      <c r="A1109" s="24">
        <v>1108</v>
      </c>
      <c r="B1109" s="24">
        <v>503860</v>
      </c>
      <c r="C1109" s="24" t="s">
        <v>1985</v>
      </c>
      <c r="D1109" s="24">
        <v>10</v>
      </c>
      <c r="E1109" s="24">
        <v>6</v>
      </c>
    </row>
    <row r="1110" spans="1:5" x14ac:dyDescent="0.25">
      <c r="A1110" s="24">
        <v>1109</v>
      </c>
      <c r="B1110" s="24">
        <v>517691</v>
      </c>
      <c r="C1110" s="24" t="s">
        <v>1986</v>
      </c>
      <c r="D1110" s="24">
        <v>32</v>
      </c>
      <c r="E1110" s="24">
        <v>28</v>
      </c>
    </row>
    <row r="1111" spans="1:5" x14ac:dyDescent="0.25">
      <c r="A1111" s="24">
        <v>1110</v>
      </c>
      <c r="B1111" s="24">
        <v>511374</v>
      </c>
      <c r="C1111" s="24" t="s">
        <v>1198</v>
      </c>
      <c r="D1111" s="24">
        <v>48</v>
      </c>
      <c r="E1111" s="24">
        <v>44</v>
      </c>
    </row>
    <row r="1112" spans="1:5" x14ac:dyDescent="0.25">
      <c r="A1112" s="24">
        <v>1111</v>
      </c>
      <c r="B1112" s="24">
        <v>517704</v>
      </c>
      <c r="C1112" s="24" t="s">
        <v>1987</v>
      </c>
      <c r="D1112" s="24">
        <v>42</v>
      </c>
      <c r="E1112" s="24">
        <v>38</v>
      </c>
    </row>
    <row r="1113" spans="1:5" x14ac:dyDescent="0.25">
      <c r="A1113" s="24">
        <v>1112</v>
      </c>
      <c r="B1113" s="24">
        <v>518506</v>
      </c>
      <c r="C1113" s="24" t="s">
        <v>1988</v>
      </c>
      <c r="D1113" s="24">
        <v>53</v>
      </c>
      <c r="E1113" s="24">
        <v>49</v>
      </c>
    </row>
    <row r="1114" spans="1:5" x14ac:dyDescent="0.25">
      <c r="A1114" s="24">
        <v>1113</v>
      </c>
      <c r="B1114" s="24">
        <v>525855</v>
      </c>
      <c r="C1114" s="24" t="s">
        <v>1988</v>
      </c>
      <c r="D1114" s="24">
        <v>76</v>
      </c>
      <c r="E1114" s="24">
        <v>68</v>
      </c>
    </row>
    <row r="1115" spans="1:5" x14ac:dyDescent="0.25">
      <c r="A1115" s="24">
        <v>1114</v>
      </c>
      <c r="B1115" s="24">
        <v>516147</v>
      </c>
      <c r="C1115" s="24" t="s">
        <v>1989</v>
      </c>
      <c r="D1115" s="24">
        <v>52</v>
      </c>
      <c r="E1115" s="24">
        <v>48</v>
      </c>
    </row>
    <row r="1116" spans="1:5" x14ac:dyDescent="0.25">
      <c r="A1116" s="24">
        <v>1115</v>
      </c>
      <c r="B1116" s="24">
        <v>504475</v>
      </c>
      <c r="C1116" s="24" t="s">
        <v>1990</v>
      </c>
      <c r="D1116" s="24">
        <v>13</v>
      </c>
      <c r="E1116" s="24">
        <v>9</v>
      </c>
    </row>
    <row r="1117" spans="1:5" x14ac:dyDescent="0.25">
      <c r="A1117" s="24">
        <v>1116</v>
      </c>
      <c r="B1117" s="24">
        <v>504483</v>
      </c>
      <c r="C1117" s="24" t="s">
        <v>1991</v>
      </c>
      <c r="D1117" s="24">
        <v>14</v>
      </c>
      <c r="E1117" s="24">
        <v>10</v>
      </c>
    </row>
    <row r="1118" spans="1:5" x14ac:dyDescent="0.25">
      <c r="A1118" s="24">
        <v>1117</v>
      </c>
      <c r="B1118" s="24">
        <v>543071</v>
      </c>
      <c r="C1118" s="24" t="s">
        <v>1992</v>
      </c>
      <c r="D1118" s="24">
        <v>30</v>
      </c>
      <c r="E1118" s="24">
        <v>26</v>
      </c>
    </row>
    <row r="1119" spans="1:5" x14ac:dyDescent="0.25">
      <c r="A1119" s="24">
        <v>1118</v>
      </c>
      <c r="B1119" s="24">
        <v>502421</v>
      </c>
      <c r="C1119" s="24" t="s">
        <v>1993</v>
      </c>
      <c r="D1119" s="24">
        <v>26</v>
      </c>
      <c r="E1119" s="24">
        <v>22</v>
      </c>
    </row>
    <row r="1120" spans="1:5" x14ac:dyDescent="0.25">
      <c r="A1120" s="24">
        <v>1119</v>
      </c>
      <c r="B1120" s="24">
        <v>516953</v>
      </c>
      <c r="C1120" s="24" t="s">
        <v>1994</v>
      </c>
      <c r="D1120" s="24">
        <v>44</v>
      </c>
      <c r="E1120" s="24">
        <v>40</v>
      </c>
    </row>
    <row r="1121" spans="1:5" x14ac:dyDescent="0.25">
      <c r="A1121" s="24">
        <v>1120</v>
      </c>
      <c r="B1121" s="24">
        <v>518514</v>
      </c>
      <c r="C1121" s="24" t="s">
        <v>1995</v>
      </c>
      <c r="D1121" s="24">
        <v>47</v>
      </c>
      <c r="E1121" s="24">
        <v>43</v>
      </c>
    </row>
    <row r="1122" spans="1:5" x14ac:dyDescent="0.25">
      <c r="A1122" s="24">
        <v>1121</v>
      </c>
      <c r="B1122" s="24">
        <v>519383</v>
      </c>
      <c r="C1122" s="24" t="s">
        <v>1996</v>
      </c>
      <c r="D1122" s="24">
        <v>56</v>
      </c>
      <c r="E1122" s="24">
        <v>52</v>
      </c>
    </row>
    <row r="1123" spans="1:5" x14ac:dyDescent="0.25">
      <c r="A1123" s="24">
        <v>1122</v>
      </c>
      <c r="B1123" s="24">
        <v>528439</v>
      </c>
      <c r="C1123" s="24" t="s">
        <v>1997</v>
      </c>
      <c r="D1123" s="24">
        <v>79</v>
      </c>
      <c r="E1123" s="24">
        <v>71</v>
      </c>
    </row>
    <row r="1124" spans="1:5" x14ac:dyDescent="0.25">
      <c r="A1124" s="24">
        <v>1123</v>
      </c>
      <c r="B1124" s="24">
        <v>527416</v>
      </c>
      <c r="C1124" s="24" t="s">
        <v>1998</v>
      </c>
      <c r="D1124" s="24">
        <v>66</v>
      </c>
      <c r="E1124" s="24">
        <v>62</v>
      </c>
    </row>
    <row r="1125" spans="1:5" x14ac:dyDescent="0.25">
      <c r="A1125" s="24">
        <v>1124</v>
      </c>
      <c r="B1125" s="24">
        <v>519391</v>
      </c>
      <c r="C1125" s="24" t="s">
        <v>1999</v>
      </c>
      <c r="D1125" s="24">
        <v>67</v>
      </c>
      <c r="E1125" s="24">
        <v>63</v>
      </c>
    </row>
    <row r="1126" spans="1:5" x14ac:dyDescent="0.25">
      <c r="A1126" s="24">
        <v>1125</v>
      </c>
      <c r="B1126" s="24">
        <v>516961</v>
      </c>
      <c r="C1126" s="24" t="s">
        <v>2000</v>
      </c>
      <c r="D1126" s="24">
        <v>55</v>
      </c>
      <c r="E1126" s="24">
        <v>51</v>
      </c>
    </row>
    <row r="1127" spans="1:5" x14ac:dyDescent="0.25">
      <c r="A1127" s="24">
        <v>1126</v>
      </c>
      <c r="B1127" s="24">
        <v>527424</v>
      </c>
      <c r="C1127" s="24" t="s">
        <v>2001</v>
      </c>
      <c r="D1127" s="24">
        <v>67</v>
      </c>
      <c r="E1127" s="24">
        <v>63</v>
      </c>
    </row>
    <row r="1128" spans="1:5" x14ac:dyDescent="0.25">
      <c r="A1128" s="24">
        <v>1127</v>
      </c>
      <c r="B1128" s="24">
        <v>527432</v>
      </c>
      <c r="C1128" s="24" t="s">
        <v>2002</v>
      </c>
      <c r="D1128" s="24">
        <v>67</v>
      </c>
      <c r="E1128" s="24">
        <v>63</v>
      </c>
    </row>
    <row r="1129" spans="1:5" x14ac:dyDescent="0.25">
      <c r="A1129" s="24">
        <v>1128</v>
      </c>
      <c r="B1129" s="24">
        <v>527441</v>
      </c>
      <c r="C1129" s="24" t="s">
        <v>2003</v>
      </c>
      <c r="D1129" s="24">
        <v>67</v>
      </c>
      <c r="E1129" s="24">
        <v>63</v>
      </c>
    </row>
    <row r="1130" spans="1:5" x14ac:dyDescent="0.25">
      <c r="A1130" s="24">
        <v>1129</v>
      </c>
      <c r="B1130" s="24">
        <v>506150</v>
      </c>
      <c r="C1130" s="24" t="s">
        <v>2004</v>
      </c>
      <c r="D1130" s="24">
        <v>18</v>
      </c>
      <c r="E1130" s="24">
        <v>14</v>
      </c>
    </row>
    <row r="1131" spans="1:5" x14ac:dyDescent="0.25">
      <c r="A1131" s="24">
        <v>1130</v>
      </c>
      <c r="B1131" s="24">
        <v>527459</v>
      </c>
      <c r="C1131" s="24" t="s">
        <v>2005</v>
      </c>
      <c r="D1131" s="24">
        <v>67</v>
      </c>
      <c r="E1131" s="24">
        <v>63</v>
      </c>
    </row>
    <row r="1132" spans="1:5" x14ac:dyDescent="0.25">
      <c r="A1132" s="24">
        <v>1131</v>
      </c>
      <c r="B1132" s="24">
        <v>507229</v>
      </c>
      <c r="C1132" s="24" t="s">
        <v>2006</v>
      </c>
      <c r="D1132" s="24">
        <v>12</v>
      </c>
      <c r="E1132" s="24">
        <v>8</v>
      </c>
    </row>
    <row r="1133" spans="1:5" x14ac:dyDescent="0.25">
      <c r="A1133" s="24">
        <v>1132</v>
      </c>
      <c r="B1133" s="24">
        <v>515078</v>
      </c>
      <c r="C1133" s="24" t="s">
        <v>2008</v>
      </c>
      <c r="D1133" s="24">
        <v>51</v>
      </c>
      <c r="E1133" s="24">
        <v>47</v>
      </c>
    </row>
    <row r="1134" spans="1:5" x14ac:dyDescent="0.25">
      <c r="A1134" s="24">
        <v>1133</v>
      </c>
      <c r="B1134" s="24">
        <v>508721</v>
      </c>
      <c r="C1134" s="24" t="s">
        <v>2009</v>
      </c>
      <c r="D1134" s="24">
        <v>43</v>
      </c>
      <c r="E1134" s="24">
        <v>39</v>
      </c>
    </row>
    <row r="1135" spans="1:5" x14ac:dyDescent="0.25">
      <c r="A1135" s="24">
        <v>1134</v>
      </c>
      <c r="B1135" s="24">
        <v>503878</v>
      </c>
      <c r="C1135" s="24" t="s">
        <v>2010</v>
      </c>
      <c r="D1135" s="24">
        <v>10</v>
      </c>
      <c r="E1135" s="24">
        <v>6</v>
      </c>
    </row>
    <row r="1136" spans="1:5" x14ac:dyDescent="0.25">
      <c r="A1136" s="24">
        <v>1135</v>
      </c>
      <c r="B1136" s="24">
        <v>510564</v>
      </c>
      <c r="C1136" s="24" t="s">
        <v>2012</v>
      </c>
      <c r="D1136" s="24">
        <v>36</v>
      </c>
      <c r="E1136" s="24">
        <v>32</v>
      </c>
    </row>
    <row r="1137" spans="1:5" x14ac:dyDescent="0.25">
      <c r="A1137" s="24">
        <v>1136</v>
      </c>
      <c r="B1137" s="24">
        <v>503886</v>
      </c>
      <c r="C1137" s="24" t="s">
        <v>2013</v>
      </c>
      <c r="D1137" s="24">
        <v>29</v>
      </c>
      <c r="E1137" s="24">
        <v>25</v>
      </c>
    </row>
    <row r="1138" spans="1:5" x14ac:dyDescent="0.25">
      <c r="A1138" s="24">
        <v>1137</v>
      </c>
      <c r="B1138" s="24">
        <v>503894</v>
      </c>
      <c r="C1138" s="24" t="s">
        <v>2014</v>
      </c>
      <c r="D1138" s="24">
        <v>8</v>
      </c>
      <c r="E1138" s="24">
        <v>3</v>
      </c>
    </row>
    <row r="1139" spans="1:5" x14ac:dyDescent="0.25">
      <c r="A1139" s="24">
        <v>1138</v>
      </c>
      <c r="B1139" s="24">
        <v>509744</v>
      </c>
      <c r="C1139" s="24" t="s">
        <v>2016</v>
      </c>
      <c r="D1139" s="24">
        <v>34</v>
      </c>
      <c r="E1139" s="24">
        <v>30</v>
      </c>
    </row>
    <row r="1140" spans="1:5" x14ac:dyDescent="0.25">
      <c r="A1140" s="24">
        <v>1139</v>
      </c>
      <c r="B1140" s="24">
        <v>521612</v>
      </c>
      <c r="C1140" s="24" t="s">
        <v>2017</v>
      </c>
      <c r="D1140" s="24">
        <v>74</v>
      </c>
      <c r="E1140" s="24">
        <v>66</v>
      </c>
    </row>
    <row r="1141" spans="1:5" x14ac:dyDescent="0.25">
      <c r="A1141" s="24">
        <v>1140</v>
      </c>
      <c r="B1141" s="24">
        <v>518531</v>
      </c>
      <c r="C1141" s="24" t="s">
        <v>4214</v>
      </c>
      <c r="D1141" s="24">
        <v>47</v>
      </c>
      <c r="E1141" s="24">
        <v>43</v>
      </c>
    </row>
    <row r="1142" spans="1:5" x14ac:dyDescent="0.25">
      <c r="A1142" s="24">
        <v>1141</v>
      </c>
      <c r="B1142" s="24">
        <v>501701</v>
      </c>
      <c r="C1142" s="24" t="s">
        <v>2022</v>
      </c>
      <c r="D1142" s="24">
        <v>9</v>
      </c>
      <c r="E1142" s="24">
        <v>5</v>
      </c>
    </row>
    <row r="1143" spans="1:5" x14ac:dyDescent="0.25">
      <c r="A1143" s="24">
        <v>1142</v>
      </c>
      <c r="B1143" s="24">
        <v>528447</v>
      </c>
      <c r="C1143" s="24" t="s">
        <v>2024</v>
      </c>
      <c r="D1143" s="24">
        <v>79</v>
      </c>
      <c r="E1143" s="24">
        <v>74</v>
      </c>
    </row>
    <row r="1144" spans="1:5" x14ac:dyDescent="0.25">
      <c r="A1144" s="24">
        <v>1143</v>
      </c>
      <c r="B1144" s="24">
        <v>515086</v>
      </c>
      <c r="C1144" s="24" t="s">
        <v>2025</v>
      </c>
      <c r="D1144" s="24">
        <v>51</v>
      </c>
      <c r="E1144" s="24">
        <v>47</v>
      </c>
    </row>
    <row r="1145" spans="1:5" x14ac:dyDescent="0.25">
      <c r="A1145" s="24">
        <v>1144</v>
      </c>
      <c r="B1145" s="24">
        <v>524671</v>
      </c>
      <c r="C1145" s="24" t="s">
        <v>2027</v>
      </c>
      <c r="D1145" s="24">
        <v>63</v>
      </c>
      <c r="E1145" s="24">
        <v>59</v>
      </c>
    </row>
    <row r="1146" spans="1:5" x14ac:dyDescent="0.25">
      <c r="A1146" s="24">
        <v>1145</v>
      </c>
      <c r="B1146" s="24">
        <v>543080</v>
      </c>
      <c r="C1146" s="24" t="s">
        <v>2029</v>
      </c>
      <c r="D1146" s="24">
        <v>16</v>
      </c>
      <c r="E1146" s="24">
        <v>12</v>
      </c>
    </row>
    <row r="1147" spans="1:5" x14ac:dyDescent="0.25">
      <c r="A1147" s="24">
        <v>1146</v>
      </c>
      <c r="B1147" s="24">
        <v>517712</v>
      </c>
      <c r="C1147" s="24" t="s">
        <v>2030</v>
      </c>
      <c r="D1147" s="24">
        <v>42</v>
      </c>
      <c r="E1147" s="24">
        <v>38</v>
      </c>
    </row>
    <row r="1148" spans="1:5" x14ac:dyDescent="0.25">
      <c r="A1148" s="24">
        <v>1147</v>
      </c>
      <c r="B1148" s="24">
        <v>556246</v>
      </c>
      <c r="C1148" s="24" t="s">
        <v>2031</v>
      </c>
      <c r="D1148" s="24">
        <v>20</v>
      </c>
      <c r="E1148" s="24">
        <v>16</v>
      </c>
    </row>
    <row r="1149" spans="1:5" x14ac:dyDescent="0.25">
      <c r="A1149" s="24">
        <v>1148</v>
      </c>
      <c r="B1149" s="24">
        <v>509248</v>
      </c>
      <c r="C1149" s="24" t="s">
        <v>2032</v>
      </c>
      <c r="D1149" s="24">
        <v>33</v>
      </c>
      <c r="E1149" s="24">
        <v>29</v>
      </c>
    </row>
    <row r="1150" spans="1:5" x14ac:dyDescent="0.25">
      <c r="A1150" s="24">
        <v>1149</v>
      </c>
      <c r="B1150" s="24">
        <v>525863</v>
      </c>
      <c r="C1150" s="24" t="s">
        <v>2033</v>
      </c>
      <c r="D1150" s="24">
        <v>76</v>
      </c>
      <c r="E1150" s="24">
        <v>68</v>
      </c>
    </row>
    <row r="1151" spans="1:5" x14ac:dyDescent="0.25">
      <c r="A1151" s="24">
        <v>1150</v>
      </c>
      <c r="B1151" s="24">
        <v>525871</v>
      </c>
      <c r="C1151" s="24" t="s">
        <v>2034</v>
      </c>
      <c r="D1151" s="24">
        <v>76</v>
      </c>
      <c r="E1151" s="24">
        <v>68</v>
      </c>
    </row>
    <row r="1152" spans="1:5" x14ac:dyDescent="0.25">
      <c r="A1152" s="24">
        <v>1151</v>
      </c>
      <c r="B1152" s="24">
        <v>522651</v>
      </c>
      <c r="C1152" s="24" t="s">
        <v>2035</v>
      </c>
      <c r="D1152" s="24">
        <v>75</v>
      </c>
      <c r="E1152" s="24">
        <v>67</v>
      </c>
    </row>
    <row r="1153" spans="1:5" x14ac:dyDescent="0.25">
      <c r="A1153" s="24">
        <v>1152</v>
      </c>
      <c r="B1153" s="24">
        <v>520411</v>
      </c>
      <c r="C1153" s="24" t="s">
        <v>2036</v>
      </c>
      <c r="D1153" s="24">
        <v>60</v>
      </c>
      <c r="E1153" s="24">
        <v>56</v>
      </c>
    </row>
    <row r="1154" spans="1:5" x14ac:dyDescent="0.25">
      <c r="A1154" s="24">
        <v>1153</v>
      </c>
      <c r="B1154" s="24">
        <v>523593</v>
      </c>
      <c r="C1154" s="24" t="s">
        <v>2038</v>
      </c>
      <c r="D1154" s="24">
        <v>61</v>
      </c>
      <c r="E1154" s="24">
        <v>57</v>
      </c>
    </row>
    <row r="1155" spans="1:5" x14ac:dyDescent="0.25">
      <c r="A1155" s="24">
        <v>1154</v>
      </c>
      <c r="B1155" s="24">
        <v>528455</v>
      </c>
      <c r="C1155" s="24" t="s">
        <v>2038</v>
      </c>
      <c r="D1155" s="24">
        <v>79</v>
      </c>
      <c r="E1155" s="24">
        <v>71</v>
      </c>
    </row>
    <row r="1156" spans="1:5" x14ac:dyDescent="0.25">
      <c r="A1156" s="24">
        <v>1155</v>
      </c>
      <c r="B1156" s="24">
        <v>501212</v>
      </c>
      <c r="C1156" s="24" t="s">
        <v>2039</v>
      </c>
      <c r="D1156" s="24">
        <v>25</v>
      </c>
      <c r="E1156" s="24">
        <v>21</v>
      </c>
    </row>
    <row r="1157" spans="1:5" x14ac:dyDescent="0.25">
      <c r="A1157" s="24">
        <v>1156</v>
      </c>
      <c r="B1157" s="24">
        <v>522660</v>
      </c>
      <c r="C1157" s="24" t="s">
        <v>2040</v>
      </c>
      <c r="D1157" s="24">
        <v>77</v>
      </c>
      <c r="E1157" s="24">
        <v>69</v>
      </c>
    </row>
    <row r="1158" spans="1:5" x14ac:dyDescent="0.25">
      <c r="A1158" s="24">
        <v>1157</v>
      </c>
      <c r="B1158" s="24">
        <v>526801</v>
      </c>
      <c r="C1158" s="24" t="s">
        <v>2041</v>
      </c>
      <c r="D1158" s="24">
        <v>65</v>
      </c>
      <c r="E1158" s="24">
        <v>61</v>
      </c>
    </row>
    <row r="1159" spans="1:5" x14ac:dyDescent="0.25">
      <c r="A1159" s="24">
        <v>1158</v>
      </c>
      <c r="B1159" s="24">
        <v>516970</v>
      </c>
      <c r="C1159" s="24" t="s">
        <v>2042</v>
      </c>
      <c r="D1159" s="24">
        <v>55</v>
      </c>
      <c r="E1159" s="24">
        <v>51</v>
      </c>
    </row>
    <row r="1160" spans="1:5" x14ac:dyDescent="0.25">
      <c r="A1160" s="24">
        <v>1159</v>
      </c>
      <c r="B1160" s="24">
        <v>516988</v>
      </c>
      <c r="C1160" s="24" t="s">
        <v>2043</v>
      </c>
      <c r="D1160" s="24">
        <v>55</v>
      </c>
      <c r="E1160" s="24">
        <v>51</v>
      </c>
    </row>
    <row r="1161" spans="1:5" x14ac:dyDescent="0.25">
      <c r="A1161" s="24">
        <v>1160</v>
      </c>
      <c r="B1161" s="24">
        <v>522678</v>
      </c>
      <c r="C1161" s="24" t="s">
        <v>2044</v>
      </c>
      <c r="D1161" s="24">
        <v>77</v>
      </c>
      <c r="E1161" s="24">
        <v>69</v>
      </c>
    </row>
    <row r="1162" spans="1:5" x14ac:dyDescent="0.25">
      <c r="A1162" s="24">
        <v>1161</v>
      </c>
      <c r="B1162" s="24">
        <v>527467</v>
      </c>
      <c r="C1162" s="24" t="s">
        <v>2045</v>
      </c>
      <c r="D1162" s="24">
        <v>66</v>
      </c>
      <c r="E1162" s="24">
        <v>62</v>
      </c>
    </row>
    <row r="1163" spans="1:5" x14ac:dyDescent="0.25">
      <c r="A1163" s="24">
        <v>1162</v>
      </c>
      <c r="B1163" s="24">
        <v>528463</v>
      </c>
      <c r="C1163" s="24" t="s">
        <v>2046</v>
      </c>
      <c r="D1163" s="24">
        <v>75</v>
      </c>
      <c r="E1163" s="24">
        <v>73</v>
      </c>
    </row>
    <row r="1164" spans="1:5" x14ac:dyDescent="0.25">
      <c r="A1164" s="24">
        <v>1163</v>
      </c>
      <c r="B1164" s="24">
        <v>509761</v>
      </c>
      <c r="C1164" s="24" t="s">
        <v>2047</v>
      </c>
      <c r="D1164" s="24">
        <v>34</v>
      </c>
      <c r="E1164" s="24">
        <v>30</v>
      </c>
    </row>
    <row r="1165" spans="1:5" x14ac:dyDescent="0.25">
      <c r="A1165" s="24">
        <v>1164</v>
      </c>
      <c r="B1165" s="24">
        <v>518549</v>
      </c>
      <c r="C1165" s="24" t="s">
        <v>2049</v>
      </c>
      <c r="D1165" s="24">
        <v>46</v>
      </c>
      <c r="E1165" s="24">
        <v>42</v>
      </c>
    </row>
    <row r="1166" spans="1:5" x14ac:dyDescent="0.25">
      <c r="A1166" s="24">
        <v>1165</v>
      </c>
      <c r="B1166" s="24">
        <v>524689</v>
      </c>
      <c r="C1166" s="24" t="s">
        <v>2050</v>
      </c>
      <c r="D1166" s="24">
        <v>63</v>
      </c>
      <c r="E1166" s="24">
        <v>59</v>
      </c>
    </row>
    <row r="1167" spans="1:5" x14ac:dyDescent="0.25">
      <c r="A1167" s="24">
        <v>1166</v>
      </c>
      <c r="B1167" s="24">
        <v>519405</v>
      </c>
      <c r="C1167" s="24" t="s">
        <v>2051</v>
      </c>
      <c r="D1167" s="24">
        <v>56</v>
      </c>
      <c r="E1167" s="24">
        <v>52</v>
      </c>
    </row>
    <row r="1168" spans="1:5" x14ac:dyDescent="0.25">
      <c r="A1168" s="24">
        <v>1167</v>
      </c>
      <c r="B1168" s="24">
        <v>557617</v>
      </c>
      <c r="C1168" s="24" t="s">
        <v>2052</v>
      </c>
      <c r="D1168" s="24">
        <v>17</v>
      </c>
      <c r="E1168" s="24">
        <v>13</v>
      </c>
    </row>
    <row r="1169" spans="1:5" x14ac:dyDescent="0.25">
      <c r="A1169" s="24">
        <v>1168</v>
      </c>
      <c r="B1169" s="24">
        <v>506168</v>
      </c>
      <c r="C1169" s="24" t="s">
        <v>2053</v>
      </c>
      <c r="D1169" s="24">
        <v>24</v>
      </c>
      <c r="E1169" s="24">
        <v>20</v>
      </c>
    </row>
    <row r="1170" spans="1:5" x14ac:dyDescent="0.25">
      <c r="A1170" s="24">
        <v>1169</v>
      </c>
      <c r="B1170" s="24">
        <v>519413</v>
      </c>
      <c r="C1170" s="24" t="s">
        <v>2054</v>
      </c>
      <c r="D1170" s="24">
        <v>56</v>
      </c>
      <c r="E1170" s="24">
        <v>52</v>
      </c>
    </row>
    <row r="1171" spans="1:5" x14ac:dyDescent="0.25">
      <c r="A1171" s="24">
        <v>1170</v>
      </c>
      <c r="B1171" s="24">
        <v>523607</v>
      </c>
      <c r="C1171" s="24" t="s">
        <v>2055</v>
      </c>
      <c r="D1171" s="24">
        <v>58</v>
      </c>
      <c r="E1171" s="24">
        <v>54</v>
      </c>
    </row>
    <row r="1172" spans="1:5" x14ac:dyDescent="0.25">
      <c r="A1172" s="24">
        <v>1171</v>
      </c>
      <c r="B1172" s="24">
        <v>524697</v>
      </c>
      <c r="C1172" s="24" t="s">
        <v>2056</v>
      </c>
      <c r="D1172" s="24">
        <v>62</v>
      </c>
      <c r="E1172" s="24">
        <v>58</v>
      </c>
    </row>
    <row r="1173" spans="1:5" x14ac:dyDescent="0.25">
      <c r="A1173" s="24">
        <v>1172</v>
      </c>
      <c r="B1173" s="24">
        <v>556483</v>
      </c>
      <c r="C1173" s="24" t="s">
        <v>2057</v>
      </c>
      <c r="D1173" s="24">
        <v>15</v>
      </c>
      <c r="E1173" s="24">
        <v>11</v>
      </c>
    </row>
    <row r="1174" spans="1:5" x14ac:dyDescent="0.25">
      <c r="A1174" s="24">
        <v>1173</v>
      </c>
      <c r="B1174" s="24">
        <v>511501</v>
      </c>
      <c r="C1174" s="24" t="s">
        <v>2058</v>
      </c>
      <c r="D1174" s="24">
        <v>49</v>
      </c>
      <c r="E1174" s="24">
        <v>45</v>
      </c>
    </row>
    <row r="1175" spans="1:5" x14ac:dyDescent="0.25">
      <c r="A1175" s="24">
        <v>1174</v>
      </c>
      <c r="B1175" s="24">
        <v>543101</v>
      </c>
      <c r="C1175" s="24" t="s">
        <v>2059</v>
      </c>
      <c r="D1175" s="24">
        <v>30</v>
      </c>
      <c r="E1175" s="24">
        <v>26</v>
      </c>
    </row>
    <row r="1176" spans="1:5" x14ac:dyDescent="0.25">
      <c r="A1176" s="24">
        <v>1175</v>
      </c>
      <c r="B1176" s="24">
        <v>515094</v>
      </c>
      <c r="C1176" s="24" t="s">
        <v>2060</v>
      </c>
      <c r="D1176" s="24">
        <v>51</v>
      </c>
      <c r="E1176" s="24">
        <v>47</v>
      </c>
    </row>
    <row r="1177" spans="1:5" x14ac:dyDescent="0.25">
      <c r="A1177" s="24">
        <v>1176</v>
      </c>
      <c r="B1177" s="24">
        <v>543268</v>
      </c>
      <c r="C1177" s="24" t="s">
        <v>2061</v>
      </c>
      <c r="D1177" s="24">
        <v>78</v>
      </c>
      <c r="E1177" s="24">
        <v>70</v>
      </c>
    </row>
    <row r="1178" spans="1:5" x14ac:dyDescent="0.25">
      <c r="A1178" s="24">
        <v>1177</v>
      </c>
      <c r="B1178" s="24">
        <v>512389</v>
      </c>
      <c r="C1178" s="24" t="s">
        <v>2062</v>
      </c>
      <c r="D1178" s="24">
        <v>37</v>
      </c>
      <c r="E1178" s="24">
        <v>33</v>
      </c>
    </row>
    <row r="1179" spans="1:5" x14ac:dyDescent="0.25">
      <c r="A1179" s="24">
        <v>1178</v>
      </c>
      <c r="B1179" s="24">
        <v>502430</v>
      </c>
      <c r="C1179" s="24" t="s">
        <v>4215</v>
      </c>
      <c r="D1179" s="24">
        <v>26</v>
      </c>
      <c r="E1179" s="24">
        <v>22</v>
      </c>
    </row>
    <row r="1180" spans="1:5" x14ac:dyDescent="0.25">
      <c r="A1180" s="24">
        <v>1179</v>
      </c>
      <c r="B1180" s="24">
        <v>543110</v>
      </c>
      <c r="C1180" s="24" t="s">
        <v>2065</v>
      </c>
      <c r="D1180" s="24">
        <v>30</v>
      </c>
      <c r="E1180" s="24">
        <v>26</v>
      </c>
    </row>
    <row r="1181" spans="1:5" x14ac:dyDescent="0.25">
      <c r="A1181" s="24">
        <v>1180</v>
      </c>
      <c r="B1181" s="24">
        <v>527793</v>
      </c>
      <c r="C1181" s="24" t="s">
        <v>3136</v>
      </c>
      <c r="D1181" s="24">
        <v>66</v>
      </c>
      <c r="E1181" s="24">
        <v>62</v>
      </c>
    </row>
    <row r="1182" spans="1:5" x14ac:dyDescent="0.25">
      <c r="A1182" s="24">
        <v>1181</v>
      </c>
      <c r="B1182" s="24">
        <v>518557</v>
      </c>
      <c r="C1182" s="24" t="s">
        <v>2066</v>
      </c>
      <c r="D1182" s="24">
        <v>47</v>
      </c>
      <c r="E1182" s="24">
        <v>43</v>
      </c>
    </row>
    <row r="1183" spans="1:5" x14ac:dyDescent="0.25">
      <c r="A1183" s="24">
        <v>1182</v>
      </c>
      <c r="B1183" s="24">
        <v>509779</v>
      </c>
      <c r="C1183" s="24" t="s">
        <v>2067</v>
      </c>
      <c r="D1183" s="24">
        <v>38</v>
      </c>
      <c r="E1183" s="24">
        <v>34</v>
      </c>
    </row>
    <row r="1184" spans="1:5" x14ac:dyDescent="0.25">
      <c r="A1184" s="24">
        <v>1183</v>
      </c>
      <c r="B1184" s="24">
        <v>527475</v>
      </c>
      <c r="C1184" s="24" t="s">
        <v>2068</v>
      </c>
      <c r="D1184" s="24">
        <v>66</v>
      </c>
      <c r="E1184" s="24">
        <v>62</v>
      </c>
    </row>
    <row r="1185" spans="1:5" x14ac:dyDescent="0.25">
      <c r="A1185" s="24">
        <v>1184</v>
      </c>
      <c r="B1185" s="24">
        <v>556149</v>
      </c>
      <c r="C1185" s="24" t="s">
        <v>2070</v>
      </c>
      <c r="D1185" s="24">
        <v>30</v>
      </c>
      <c r="E1185" s="24">
        <v>26</v>
      </c>
    </row>
    <row r="1186" spans="1:5" x14ac:dyDescent="0.25">
      <c r="A1186" s="24">
        <v>1185</v>
      </c>
      <c r="B1186" s="24">
        <v>519421</v>
      </c>
      <c r="C1186" s="24" t="s">
        <v>2071</v>
      </c>
      <c r="D1186" s="24">
        <v>56</v>
      </c>
      <c r="E1186" s="24">
        <v>52</v>
      </c>
    </row>
    <row r="1187" spans="1:5" x14ac:dyDescent="0.25">
      <c r="A1187" s="24">
        <v>1186</v>
      </c>
      <c r="B1187" s="24">
        <v>527483</v>
      </c>
      <c r="C1187" s="24" t="s">
        <v>2072</v>
      </c>
      <c r="D1187" s="24">
        <v>67</v>
      </c>
      <c r="E1187" s="24">
        <v>63</v>
      </c>
    </row>
    <row r="1188" spans="1:5" x14ac:dyDescent="0.25">
      <c r="A1188" s="24">
        <v>1187</v>
      </c>
      <c r="B1188" s="24">
        <v>560065</v>
      </c>
      <c r="C1188" s="24" t="s">
        <v>2073</v>
      </c>
      <c r="D1188" s="24">
        <v>76</v>
      </c>
      <c r="E1188" s="24">
        <v>68</v>
      </c>
    </row>
    <row r="1189" spans="1:5" x14ac:dyDescent="0.25">
      <c r="A1189" s="24">
        <v>1188</v>
      </c>
      <c r="B1189" s="24">
        <v>515108</v>
      </c>
      <c r="C1189" s="24" t="s">
        <v>2074</v>
      </c>
      <c r="D1189" s="24">
        <v>51</v>
      </c>
      <c r="E1189" s="24">
        <v>47</v>
      </c>
    </row>
    <row r="1190" spans="1:5" x14ac:dyDescent="0.25">
      <c r="A1190" s="24">
        <v>1189</v>
      </c>
      <c r="B1190" s="24">
        <v>543136</v>
      </c>
      <c r="C1190" s="24" t="s">
        <v>2075</v>
      </c>
      <c r="D1190" s="24">
        <v>16</v>
      </c>
      <c r="E1190" s="24">
        <v>12</v>
      </c>
    </row>
    <row r="1191" spans="1:5" x14ac:dyDescent="0.25">
      <c r="A1191" s="24">
        <v>1190</v>
      </c>
      <c r="B1191" s="24">
        <v>502448</v>
      </c>
      <c r="C1191" s="24" t="s">
        <v>2076</v>
      </c>
      <c r="D1191" s="24">
        <v>26</v>
      </c>
      <c r="E1191" s="24">
        <v>22</v>
      </c>
    </row>
    <row r="1192" spans="1:5" x14ac:dyDescent="0.25">
      <c r="A1192" s="24">
        <v>1191</v>
      </c>
      <c r="B1192" s="24">
        <v>519430</v>
      </c>
      <c r="C1192" s="24" t="s">
        <v>2079</v>
      </c>
      <c r="D1192" s="24">
        <v>56</v>
      </c>
      <c r="E1192" s="24">
        <v>52</v>
      </c>
    </row>
    <row r="1193" spans="1:5" x14ac:dyDescent="0.25">
      <c r="A1193" s="24">
        <v>1192</v>
      </c>
      <c r="B1193" s="24">
        <v>528811</v>
      </c>
      <c r="C1193" s="24" t="s">
        <v>2079</v>
      </c>
      <c r="D1193" s="24">
        <v>68</v>
      </c>
      <c r="E1193" s="24">
        <v>64</v>
      </c>
    </row>
    <row r="1194" spans="1:5" x14ac:dyDescent="0.25">
      <c r="A1194" s="24">
        <v>1193</v>
      </c>
      <c r="B1194" s="24">
        <v>508021</v>
      </c>
      <c r="C1194" s="24" t="s">
        <v>2081</v>
      </c>
      <c r="D1194" s="24">
        <v>6</v>
      </c>
      <c r="E1194" s="24">
        <v>1</v>
      </c>
    </row>
    <row r="1195" spans="1:5" x14ac:dyDescent="0.25">
      <c r="A1195" s="24">
        <v>1194</v>
      </c>
      <c r="B1195" s="24">
        <v>504491</v>
      </c>
      <c r="C1195" s="24" t="s">
        <v>2082</v>
      </c>
      <c r="D1195" s="24">
        <v>13</v>
      </c>
      <c r="E1195" s="24">
        <v>9</v>
      </c>
    </row>
    <row r="1196" spans="1:5" x14ac:dyDescent="0.25">
      <c r="A1196" s="24">
        <v>1195</v>
      </c>
      <c r="B1196" s="24">
        <v>519448</v>
      </c>
      <c r="C1196" s="24" t="s">
        <v>2083</v>
      </c>
      <c r="D1196" s="24">
        <v>67</v>
      </c>
      <c r="E1196" s="24">
        <v>63</v>
      </c>
    </row>
    <row r="1197" spans="1:5" x14ac:dyDescent="0.25">
      <c r="A1197" s="24">
        <v>1196</v>
      </c>
      <c r="B1197" s="24">
        <v>502456</v>
      </c>
      <c r="C1197" s="24" t="s">
        <v>2084</v>
      </c>
      <c r="D1197" s="24">
        <v>26</v>
      </c>
      <c r="E1197" s="24">
        <v>22</v>
      </c>
    </row>
    <row r="1198" spans="1:5" x14ac:dyDescent="0.25">
      <c r="A1198" s="24">
        <v>1197</v>
      </c>
      <c r="B1198" s="24">
        <v>517721</v>
      </c>
      <c r="C1198" s="24" t="s">
        <v>2086</v>
      </c>
      <c r="D1198" s="24">
        <v>42</v>
      </c>
      <c r="E1198" s="24">
        <v>38</v>
      </c>
    </row>
    <row r="1199" spans="1:5" x14ac:dyDescent="0.25">
      <c r="A1199" s="24">
        <v>1198</v>
      </c>
      <c r="B1199" s="24">
        <v>516996</v>
      </c>
      <c r="C1199" s="24" t="s">
        <v>2087</v>
      </c>
      <c r="D1199" s="24">
        <v>55</v>
      </c>
      <c r="E1199" s="24">
        <v>51</v>
      </c>
    </row>
    <row r="1200" spans="1:5" x14ac:dyDescent="0.25">
      <c r="A1200" s="24">
        <v>1199</v>
      </c>
      <c r="B1200" s="24">
        <v>525898</v>
      </c>
      <c r="C1200" s="24" t="s">
        <v>2089</v>
      </c>
      <c r="D1200" s="24">
        <v>76</v>
      </c>
      <c r="E1200" s="24">
        <v>68</v>
      </c>
    </row>
    <row r="1201" spans="1:5" x14ac:dyDescent="0.25">
      <c r="A1201" s="24">
        <v>1200</v>
      </c>
      <c r="B1201" s="24">
        <v>502464</v>
      </c>
      <c r="C1201" s="24" t="s">
        <v>2090</v>
      </c>
      <c r="D1201" s="24">
        <v>26</v>
      </c>
      <c r="E1201" s="24">
        <v>22</v>
      </c>
    </row>
    <row r="1202" spans="1:5" x14ac:dyDescent="0.25">
      <c r="A1202" s="24">
        <v>1201</v>
      </c>
      <c r="B1202" s="24">
        <v>519456</v>
      </c>
      <c r="C1202" s="24" t="s">
        <v>2091</v>
      </c>
      <c r="D1202" s="24">
        <v>56</v>
      </c>
      <c r="E1202" s="24">
        <v>52</v>
      </c>
    </row>
    <row r="1203" spans="1:5" x14ac:dyDescent="0.25">
      <c r="A1203" s="24">
        <v>1202</v>
      </c>
      <c r="B1203" s="24">
        <v>543276</v>
      </c>
      <c r="C1203" s="24" t="s">
        <v>2092</v>
      </c>
      <c r="D1203" s="24">
        <v>59</v>
      </c>
      <c r="E1203" s="24">
        <v>55</v>
      </c>
    </row>
    <row r="1204" spans="1:5" x14ac:dyDescent="0.25">
      <c r="A1204" s="24">
        <v>1203</v>
      </c>
      <c r="B1204" s="24">
        <v>527491</v>
      </c>
      <c r="C1204" s="24" t="s">
        <v>2093</v>
      </c>
      <c r="D1204" s="24">
        <v>67</v>
      </c>
      <c r="E1204" s="24">
        <v>63</v>
      </c>
    </row>
    <row r="1205" spans="1:5" x14ac:dyDescent="0.25">
      <c r="A1205" s="24">
        <v>1204</v>
      </c>
      <c r="B1205" s="24">
        <v>519464</v>
      </c>
      <c r="C1205" s="24" t="s">
        <v>2094</v>
      </c>
      <c r="D1205" s="24">
        <v>56</v>
      </c>
      <c r="E1205" s="24">
        <v>52</v>
      </c>
    </row>
    <row r="1206" spans="1:5" x14ac:dyDescent="0.25">
      <c r="A1206" s="24">
        <v>1205</v>
      </c>
      <c r="B1206" s="24">
        <v>522686</v>
      </c>
      <c r="C1206" s="24" t="s">
        <v>2095</v>
      </c>
      <c r="D1206" s="24">
        <v>75</v>
      </c>
      <c r="E1206" s="24">
        <v>67</v>
      </c>
    </row>
    <row r="1207" spans="1:5" x14ac:dyDescent="0.25">
      <c r="A1207" s="24">
        <v>1206</v>
      </c>
      <c r="B1207" s="24">
        <v>501719</v>
      </c>
      <c r="C1207" s="24" t="s">
        <v>4216</v>
      </c>
      <c r="D1207" s="24">
        <v>9</v>
      </c>
      <c r="E1207" s="24">
        <v>5</v>
      </c>
    </row>
    <row r="1208" spans="1:5" x14ac:dyDescent="0.25">
      <c r="A1208" s="24">
        <v>1207</v>
      </c>
      <c r="B1208" s="24">
        <v>504513</v>
      </c>
      <c r="C1208" s="24" t="s">
        <v>2102</v>
      </c>
      <c r="D1208" s="24">
        <v>13</v>
      </c>
      <c r="E1208" s="24">
        <v>9</v>
      </c>
    </row>
    <row r="1209" spans="1:5" x14ac:dyDescent="0.25">
      <c r="A1209" s="24">
        <v>1208</v>
      </c>
      <c r="B1209" s="24">
        <v>528471</v>
      </c>
      <c r="C1209" s="24" t="s">
        <v>2103</v>
      </c>
      <c r="D1209" s="24">
        <v>79</v>
      </c>
      <c r="E1209" s="24">
        <v>71</v>
      </c>
    </row>
    <row r="1210" spans="1:5" x14ac:dyDescent="0.25">
      <c r="A1210" s="24">
        <v>1209</v>
      </c>
      <c r="B1210" s="24">
        <v>581704</v>
      </c>
      <c r="C1210" s="24" t="s">
        <v>2103</v>
      </c>
      <c r="D1210" s="24">
        <v>30</v>
      </c>
      <c r="E1210" s="24">
        <v>26</v>
      </c>
    </row>
    <row r="1211" spans="1:5" x14ac:dyDescent="0.25">
      <c r="A1211" s="24">
        <v>1210</v>
      </c>
      <c r="B1211" s="24">
        <v>510572</v>
      </c>
      <c r="C1211" s="24" t="s">
        <v>2104</v>
      </c>
      <c r="D1211" s="24">
        <v>36</v>
      </c>
      <c r="E1211" s="24">
        <v>32</v>
      </c>
    </row>
    <row r="1212" spans="1:5" x14ac:dyDescent="0.25">
      <c r="A1212" s="24">
        <v>1211</v>
      </c>
      <c r="B1212" s="24">
        <v>524701</v>
      </c>
      <c r="C1212" s="24" t="s">
        <v>2104</v>
      </c>
      <c r="D1212" s="24">
        <v>62</v>
      </c>
      <c r="E1212" s="24">
        <v>58</v>
      </c>
    </row>
    <row r="1213" spans="1:5" x14ac:dyDescent="0.25">
      <c r="A1213" s="24">
        <v>1212</v>
      </c>
      <c r="B1213" s="24">
        <v>528820</v>
      </c>
      <c r="C1213" s="24" t="s">
        <v>2105</v>
      </c>
      <c r="D1213" s="24">
        <v>68</v>
      </c>
      <c r="E1213" s="24">
        <v>64</v>
      </c>
    </row>
    <row r="1214" spans="1:5" x14ac:dyDescent="0.25">
      <c r="A1214" s="24">
        <v>1213</v>
      </c>
      <c r="B1214" s="24">
        <v>557501</v>
      </c>
      <c r="C1214" s="24" t="s">
        <v>2106</v>
      </c>
      <c r="D1214" s="24">
        <v>23</v>
      </c>
      <c r="E1214" s="24">
        <v>19</v>
      </c>
    </row>
    <row r="1215" spans="1:5" x14ac:dyDescent="0.25">
      <c r="A1215" s="24">
        <v>1214</v>
      </c>
      <c r="B1215" s="24">
        <v>501727</v>
      </c>
      <c r="C1215" s="24" t="s">
        <v>2108</v>
      </c>
      <c r="D1215" s="24">
        <v>9</v>
      </c>
      <c r="E1215" s="24">
        <v>5</v>
      </c>
    </row>
    <row r="1216" spans="1:5" x14ac:dyDescent="0.25">
      <c r="A1216" s="24">
        <v>1215</v>
      </c>
      <c r="B1216" s="24">
        <v>515116</v>
      </c>
      <c r="C1216" s="24" t="s">
        <v>2109</v>
      </c>
      <c r="D1216" s="24">
        <v>51</v>
      </c>
      <c r="E1216" s="24">
        <v>47</v>
      </c>
    </row>
    <row r="1217" spans="1:5" x14ac:dyDescent="0.25">
      <c r="A1217" s="24">
        <v>1216</v>
      </c>
      <c r="B1217" s="24">
        <v>526819</v>
      </c>
      <c r="C1217" s="24" t="s">
        <v>2110</v>
      </c>
      <c r="D1217" s="24">
        <v>65</v>
      </c>
      <c r="E1217" s="24">
        <v>61</v>
      </c>
    </row>
    <row r="1218" spans="1:5" x14ac:dyDescent="0.25">
      <c r="A1218" s="24">
        <v>1217</v>
      </c>
      <c r="B1218" s="24">
        <v>557277</v>
      </c>
      <c r="C1218" s="24" t="s">
        <v>792</v>
      </c>
      <c r="D1218" s="24">
        <v>43</v>
      </c>
      <c r="E1218" s="24">
        <v>39</v>
      </c>
    </row>
    <row r="1219" spans="1:5" x14ac:dyDescent="0.25">
      <c r="A1219" s="24">
        <v>1218</v>
      </c>
      <c r="B1219" s="24">
        <v>521639</v>
      </c>
      <c r="C1219" s="24" t="s">
        <v>2111</v>
      </c>
      <c r="D1219" s="24">
        <v>74</v>
      </c>
      <c r="E1219" s="24">
        <v>66</v>
      </c>
    </row>
    <row r="1220" spans="1:5" x14ac:dyDescent="0.25">
      <c r="A1220" s="24">
        <v>1219</v>
      </c>
      <c r="B1220" s="24">
        <v>580597</v>
      </c>
      <c r="C1220" s="24" t="s">
        <v>3853</v>
      </c>
      <c r="D1220" s="24">
        <v>9</v>
      </c>
      <c r="E1220" s="24">
        <v>5</v>
      </c>
    </row>
    <row r="1221" spans="1:5" x14ac:dyDescent="0.25">
      <c r="A1221" s="24">
        <v>1220</v>
      </c>
      <c r="B1221" s="24">
        <v>528480</v>
      </c>
      <c r="C1221" s="24" t="s">
        <v>2112</v>
      </c>
      <c r="D1221" s="24">
        <v>79</v>
      </c>
      <c r="E1221" s="24">
        <v>71</v>
      </c>
    </row>
    <row r="1222" spans="1:5" x14ac:dyDescent="0.25">
      <c r="A1222" s="24">
        <v>1221</v>
      </c>
      <c r="B1222" s="24">
        <v>509256</v>
      </c>
      <c r="C1222" s="24" t="s">
        <v>2113</v>
      </c>
      <c r="D1222" s="24">
        <v>35</v>
      </c>
      <c r="E1222" s="24">
        <v>31</v>
      </c>
    </row>
    <row r="1223" spans="1:5" x14ac:dyDescent="0.25">
      <c r="A1223" s="24">
        <v>1222</v>
      </c>
      <c r="B1223" s="24">
        <v>509264</v>
      </c>
      <c r="C1223" s="24" t="s">
        <v>2114</v>
      </c>
      <c r="D1223" s="24">
        <v>35</v>
      </c>
      <c r="E1223" s="24">
        <v>31</v>
      </c>
    </row>
    <row r="1224" spans="1:5" x14ac:dyDescent="0.25">
      <c r="A1224" s="24">
        <v>1223</v>
      </c>
      <c r="B1224" s="24">
        <v>508039</v>
      </c>
      <c r="C1224" s="24" t="s">
        <v>2115</v>
      </c>
      <c r="D1224" s="24">
        <v>6</v>
      </c>
      <c r="E1224" s="24">
        <v>1</v>
      </c>
    </row>
    <row r="1225" spans="1:5" x14ac:dyDescent="0.25">
      <c r="A1225" s="24">
        <v>1224</v>
      </c>
      <c r="B1225" s="24">
        <v>518565</v>
      </c>
      <c r="C1225" s="24" t="s">
        <v>2116</v>
      </c>
      <c r="D1225" s="24">
        <v>47</v>
      </c>
      <c r="E1225" s="24">
        <v>43</v>
      </c>
    </row>
    <row r="1226" spans="1:5" x14ac:dyDescent="0.25">
      <c r="A1226" s="24">
        <v>1225</v>
      </c>
      <c r="B1226" s="24">
        <v>526827</v>
      </c>
      <c r="C1226" s="24" t="s">
        <v>2117</v>
      </c>
      <c r="D1226" s="24">
        <v>65</v>
      </c>
      <c r="E1226" s="24">
        <v>61</v>
      </c>
    </row>
    <row r="1227" spans="1:5" x14ac:dyDescent="0.25">
      <c r="A1227" s="24">
        <v>1226</v>
      </c>
      <c r="B1227" s="24">
        <v>582140</v>
      </c>
      <c r="C1227" s="24" t="s">
        <v>2118</v>
      </c>
      <c r="D1227" s="24">
        <v>57</v>
      </c>
      <c r="E1227" s="24">
        <v>53</v>
      </c>
    </row>
    <row r="1228" spans="1:5" x14ac:dyDescent="0.25">
      <c r="A1228" s="24">
        <v>1227</v>
      </c>
      <c r="B1228" s="24">
        <v>524727</v>
      </c>
      <c r="C1228" s="24" t="s">
        <v>2120</v>
      </c>
      <c r="D1228" s="24">
        <v>62</v>
      </c>
      <c r="E1228" s="24">
        <v>58</v>
      </c>
    </row>
    <row r="1229" spans="1:5" x14ac:dyDescent="0.25">
      <c r="A1229" s="24">
        <v>1228</v>
      </c>
      <c r="B1229" s="24">
        <v>513296</v>
      </c>
      <c r="C1229" s="24" t="s">
        <v>2121</v>
      </c>
      <c r="D1229" s="24">
        <v>17</v>
      </c>
      <c r="E1229" s="24">
        <v>13</v>
      </c>
    </row>
    <row r="1230" spans="1:5" x14ac:dyDescent="0.25">
      <c r="A1230" s="24">
        <v>1229</v>
      </c>
      <c r="B1230" s="24">
        <v>500437</v>
      </c>
      <c r="C1230" s="24" t="s">
        <v>2122</v>
      </c>
      <c r="D1230" s="24">
        <v>31</v>
      </c>
      <c r="E1230" s="24">
        <v>27</v>
      </c>
    </row>
    <row r="1231" spans="1:5" x14ac:dyDescent="0.25">
      <c r="A1231" s="24">
        <v>1230</v>
      </c>
      <c r="B1231" s="24">
        <v>528498</v>
      </c>
      <c r="C1231" s="24" t="s">
        <v>2123</v>
      </c>
      <c r="D1231" s="24">
        <v>79</v>
      </c>
      <c r="E1231" s="24">
        <v>74</v>
      </c>
    </row>
    <row r="1232" spans="1:5" x14ac:dyDescent="0.25">
      <c r="A1232" s="24">
        <v>1231</v>
      </c>
      <c r="B1232" s="24">
        <v>599328</v>
      </c>
      <c r="C1232" s="24" t="s">
        <v>4217</v>
      </c>
      <c r="D1232" s="24">
        <v>55</v>
      </c>
      <c r="E1232" s="24">
        <v>51</v>
      </c>
    </row>
    <row r="1233" spans="1:5" x14ac:dyDescent="0.25">
      <c r="A1233" s="24">
        <v>1232</v>
      </c>
      <c r="B1233" s="24">
        <v>520438</v>
      </c>
      <c r="C1233" s="24" t="s">
        <v>2125</v>
      </c>
      <c r="D1233" s="24">
        <v>64</v>
      </c>
      <c r="E1233" s="24">
        <v>60</v>
      </c>
    </row>
    <row r="1234" spans="1:5" x14ac:dyDescent="0.25">
      <c r="A1234" s="24">
        <v>1233</v>
      </c>
      <c r="B1234" s="24">
        <v>527505</v>
      </c>
      <c r="C1234" s="24" t="s">
        <v>2126</v>
      </c>
      <c r="D1234" s="24">
        <v>67</v>
      </c>
      <c r="E1234" s="24">
        <v>63</v>
      </c>
    </row>
    <row r="1235" spans="1:5" x14ac:dyDescent="0.25">
      <c r="A1235" s="24">
        <v>1234</v>
      </c>
      <c r="B1235" s="24">
        <v>518573</v>
      </c>
      <c r="C1235" s="24" t="s">
        <v>2127</v>
      </c>
      <c r="D1235" s="24">
        <v>47</v>
      </c>
      <c r="E1235" s="24">
        <v>43</v>
      </c>
    </row>
    <row r="1236" spans="1:5" x14ac:dyDescent="0.25">
      <c r="A1236" s="24">
        <v>1235</v>
      </c>
      <c r="B1236" s="24">
        <v>504521</v>
      </c>
      <c r="C1236" s="24" t="s">
        <v>2128</v>
      </c>
      <c r="D1236" s="24">
        <v>13</v>
      </c>
      <c r="E1236" s="24">
        <v>9</v>
      </c>
    </row>
    <row r="1237" spans="1:5" x14ac:dyDescent="0.25">
      <c r="A1237" s="24">
        <v>1236</v>
      </c>
      <c r="B1237" s="24">
        <v>519472</v>
      </c>
      <c r="C1237" s="24" t="s">
        <v>2133</v>
      </c>
      <c r="D1237" s="24">
        <v>56</v>
      </c>
      <c r="E1237" s="24">
        <v>52</v>
      </c>
    </row>
    <row r="1238" spans="1:5" x14ac:dyDescent="0.25">
      <c r="A1238" s="24">
        <v>1237</v>
      </c>
      <c r="B1238" s="24">
        <v>512397</v>
      </c>
      <c r="C1238" s="24" t="s">
        <v>2134</v>
      </c>
      <c r="D1238" s="24">
        <v>37</v>
      </c>
      <c r="E1238" s="24">
        <v>33</v>
      </c>
    </row>
    <row r="1239" spans="1:5" x14ac:dyDescent="0.25">
      <c r="A1239" s="24">
        <v>1238</v>
      </c>
      <c r="B1239" s="24">
        <v>522694</v>
      </c>
      <c r="C1239" s="24" t="s">
        <v>2135</v>
      </c>
      <c r="D1239" s="24">
        <v>75</v>
      </c>
      <c r="E1239" s="24">
        <v>67</v>
      </c>
    </row>
    <row r="1240" spans="1:5" x14ac:dyDescent="0.25">
      <c r="A1240" s="24">
        <v>1239</v>
      </c>
      <c r="B1240" s="24">
        <v>528501</v>
      </c>
      <c r="C1240" s="24" t="s">
        <v>2136</v>
      </c>
      <c r="D1240" s="24">
        <v>79</v>
      </c>
      <c r="E1240" s="24">
        <v>71</v>
      </c>
    </row>
    <row r="1241" spans="1:5" x14ac:dyDescent="0.25">
      <c r="A1241" s="24">
        <v>1240</v>
      </c>
      <c r="B1241" s="24">
        <v>522708</v>
      </c>
      <c r="C1241" s="24" t="s">
        <v>2137</v>
      </c>
      <c r="D1241" s="24">
        <v>75</v>
      </c>
      <c r="E1241" s="24">
        <v>67</v>
      </c>
    </row>
    <row r="1242" spans="1:5" x14ac:dyDescent="0.25">
      <c r="A1242" s="24">
        <v>1241</v>
      </c>
      <c r="B1242" s="24">
        <v>511510</v>
      </c>
      <c r="C1242" s="24" t="s">
        <v>2138</v>
      </c>
      <c r="D1242" s="24">
        <v>46</v>
      </c>
      <c r="E1242" s="24">
        <v>42</v>
      </c>
    </row>
    <row r="1243" spans="1:5" x14ac:dyDescent="0.25">
      <c r="A1243" s="24">
        <v>1242</v>
      </c>
      <c r="B1243" s="24">
        <v>514128</v>
      </c>
      <c r="C1243" s="24" t="s">
        <v>2139</v>
      </c>
      <c r="D1243" s="24">
        <v>22</v>
      </c>
      <c r="E1243" s="24">
        <v>18</v>
      </c>
    </row>
    <row r="1244" spans="1:5" x14ac:dyDescent="0.25">
      <c r="A1244" s="24">
        <v>1243</v>
      </c>
      <c r="B1244" s="24">
        <v>510581</v>
      </c>
      <c r="C1244" s="24" t="s">
        <v>2140</v>
      </c>
      <c r="D1244" s="24">
        <v>36</v>
      </c>
      <c r="E1244" s="24">
        <v>32</v>
      </c>
    </row>
    <row r="1245" spans="1:5" x14ac:dyDescent="0.25">
      <c r="A1245" s="24">
        <v>1244</v>
      </c>
      <c r="B1245" s="24">
        <v>513300</v>
      </c>
      <c r="C1245" s="24" t="s">
        <v>2142</v>
      </c>
      <c r="D1245" s="24">
        <v>23</v>
      </c>
      <c r="E1245" s="24">
        <v>19</v>
      </c>
    </row>
    <row r="1246" spans="1:5" x14ac:dyDescent="0.25">
      <c r="A1246" s="24">
        <v>1245</v>
      </c>
      <c r="B1246" s="24">
        <v>524735</v>
      </c>
      <c r="C1246" s="24" t="s">
        <v>2143</v>
      </c>
      <c r="D1246" s="24">
        <v>62</v>
      </c>
      <c r="E1246" s="24">
        <v>58</v>
      </c>
    </row>
    <row r="1247" spans="1:5" x14ac:dyDescent="0.25">
      <c r="A1247" s="24">
        <v>1246</v>
      </c>
      <c r="B1247" s="24">
        <v>513318</v>
      </c>
      <c r="C1247" s="24" t="s">
        <v>2144</v>
      </c>
      <c r="D1247" s="24">
        <v>23</v>
      </c>
      <c r="E1247" s="24">
        <v>19</v>
      </c>
    </row>
    <row r="1248" spans="1:5" x14ac:dyDescent="0.25">
      <c r="A1248" s="24">
        <v>1247</v>
      </c>
      <c r="B1248" s="24">
        <v>513326</v>
      </c>
      <c r="C1248" s="24" t="s">
        <v>2145</v>
      </c>
      <c r="D1248" s="24">
        <v>23</v>
      </c>
      <c r="E1248" s="24">
        <v>19</v>
      </c>
    </row>
    <row r="1249" spans="1:5" x14ac:dyDescent="0.25">
      <c r="A1249" s="24">
        <v>1248</v>
      </c>
      <c r="B1249" s="24">
        <v>526835</v>
      </c>
      <c r="C1249" s="24" t="s">
        <v>2146</v>
      </c>
      <c r="D1249" s="24">
        <v>65</v>
      </c>
      <c r="E1249" s="24">
        <v>61</v>
      </c>
    </row>
    <row r="1250" spans="1:5" x14ac:dyDescent="0.25">
      <c r="A1250" s="24">
        <v>1249</v>
      </c>
      <c r="B1250" s="24">
        <v>501735</v>
      </c>
      <c r="C1250" s="24" t="s">
        <v>4218</v>
      </c>
      <c r="D1250" s="24">
        <v>9</v>
      </c>
      <c r="E1250" s="24">
        <v>5</v>
      </c>
    </row>
    <row r="1251" spans="1:5" x14ac:dyDescent="0.25">
      <c r="A1251" s="24">
        <v>1250</v>
      </c>
      <c r="B1251" s="24">
        <v>500453</v>
      </c>
      <c r="C1251" s="24" t="s">
        <v>2151</v>
      </c>
      <c r="D1251" s="24">
        <v>27</v>
      </c>
      <c r="E1251" s="24">
        <v>23</v>
      </c>
    </row>
    <row r="1252" spans="1:5" x14ac:dyDescent="0.25">
      <c r="A1252" s="24">
        <v>1251</v>
      </c>
      <c r="B1252" s="24">
        <v>515124</v>
      </c>
      <c r="C1252" s="24" t="s">
        <v>4219</v>
      </c>
      <c r="D1252" s="24">
        <v>51</v>
      </c>
      <c r="E1252" s="24">
        <v>47</v>
      </c>
    </row>
    <row r="1253" spans="1:5" x14ac:dyDescent="0.25">
      <c r="A1253" s="24">
        <v>1252</v>
      </c>
      <c r="B1253" s="24">
        <v>514136</v>
      </c>
      <c r="C1253" s="24" t="s">
        <v>2154</v>
      </c>
      <c r="D1253" s="24">
        <v>22</v>
      </c>
      <c r="E1253" s="24">
        <v>18</v>
      </c>
    </row>
    <row r="1254" spans="1:5" x14ac:dyDescent="0.25">
      <c r="A1254" s="24">
        <v>1253</v>
      </c>
      <c r="B1254" s="24">
        <v>511528</v>
      </c>
      <c r="C1254" s="24" t="s">
        <v>2155</v>
      </c>
      <c r="D1254" s="24">
        <v>48</v>
      </c>
      <c r="E1254" s="24">
        <v>44</v>
      </c>
    </row>
    <row r="1255" spans="1:5" x14ac:dyDescent="0.25">
      <c r="A1255" s="24">
        <v>1254</v>
      </c>
      <c r="B1255" s="24">
        <v>517011</v>
      </c>
      <c r="C1255" s="24" t="s">
        <v>2156</v>
      </c>
      <c r="D1255" s="24">
        <v>55</v>
      </c>
      <c r="E1255" s="24">
        <v>51</v>
      </c>
    </row>
    <row r="1256" spans="1:5" x14ac:dyDescent="0.25">
      <c r="A1256" s="24">
        <v>1255</v>
      </c>
      <c r="B1256" s="24">
        <v>523615</v>
      </c>
      <c r="C1256" s="24" t="s">
        <v>2157</v>
      </c>
      <c r="D1256" s="24">
        <v>58</v>
      </c>
      <c r="E1256" s="24">
        <v>54</v>
      </c>
    </row>
    <row r="1257" spans="1:5" x14ac:dyDescent="0.25">
      <c r="A1257" s="24">
        <v>1256</v>
      </c>
      <c r="B1257" s="24">
        <v>522716</v>
      </c>
      <c r="C1257" s="24" t="s">
        <v>2158</v>
      </c>
      <c r="D1257" s="24">
        <v>77</v>
      </c>
      <c r="E1257" s="24">
        <v>69</v>
      </c>
    </row>
    <row r="1258" spans="1:5" x14ac:dyDescent="0.25">
      <c r="A1258" s="24">
        <v>1257</v>
      </c>
      <c r="B1258" s="24">
        <v>503312</v>
      </c>
      <c r="C1258" s="24" t="s">
        <v>2159</v>
      </c>
      <c r="D1258" s="24">
        <v>28</v>
      </c>
      <c r="E1258" s="24">
        <v>24</v>
      </c>
    </row>
    <row r="1259" spans="1:5" x14ac:dyDescent="0.25">
      <c r="A1259" s="24">
        <v>1258</v>
      </c>
      <c r="B1259" s="24">
        <v>528510</v>
      </c>
      <c r="C1259" s="24" t="s">
        <v>2161</v>
      </c>
      <c r="D1259" s="24">
        <v>79</v>
      </c>
      <c r="E1259" s="24">
        <v>74</v>
      </c>
    </row>
    <row r="1260" spans="1:5" x14ac:dyDescent="0.25">
      <c r="A1260" s="24">
        <v>1259</v>
      </c>
      <c r="B1260" s="24">
        <v>524743</v>
      </c>
      <c r="C1260" s="24" t="s">
        <v>2163</v>
      </c>
      <c r="D1260" s="24">
        <v>62</v>
      </c>
      <c r="E1260" s="24">
        <v>58</v>
      </c>
    </row>
    <row r="1261" spans="1:5" x14ac:dyDescent="0.25">
      <c r="A1261" s="24">
        <v>1260</v>
      </c>
      <c r="B1261" s="24">
        <v>519481</v>
      </c>
      <c r="C1261" s="24" t="s">
        <v>2164</v>
      </c>
      <c r="D1261" s="24">
        <v>56</v>
      </c>
      <c r="E1261" s="24">
        <v>52</v>
      </c>
    </row>
    <row r="1262" spans="1:5" x14ac:dyDescent="0.25">
      <c r="A1262" s="24">
        <v>1261</v>
      </c>
      <c r="B1262" s="24">
        <v>515132</v>
      </c>
      <c r="C1262" s="24" t="s">
        <v>2165</v>
      </c>
      <c r="D1262" s="24">
        <v>51</v>
      </c>
      <c r="E1262" s="24">
        <v>47</v>
      </c>
    </row>
    <row r="1263" spans="1:5" x14ac:dyDescent="0.25">
      <c r="A1263" s="24">
        <v>1262</v>
      </c>
      <c r="B1263" s="24">
        <v>523623</v>
      </c>
      <c r="C1263" s="24" t="s">
        <v>2166</v>
      </c>
      <c r="D1263" s="24">
        <v>58</v>
      </c>
      <c r="E1263" s="24">
        <v>54</v>
      </c>
    </row>
    <row r="1264" spans="1:5" x14ac:dyDescent="0.25">
      <c r="A1264" s="24">
        <v>1263</v>
      </c>
      <c r="B1264" s="24">
        <v>515141</v>
      </c>
      <c r="C1264" s="24" t="s">
        <v>2167</v>
      </c>
      <c r="D1264" s="24">
        <v>51</v>
      </c>
      <c r="E1264" s="24">
        <v>47</v>
      </c>
    </row>
    <row r="1265" spans="1:5" x14ac:dyDescent="0.25">
      <c r="A1265" s="24">
        <v>1264</v>
      </c>
      <c r="B1265" s="24">
        <v>511536</v>
      </c>
      <c r="C1265" s="24" t="s">
        <v>2168</v>
      </c>
      <c r="D1265" s="24">
        <v>48</v>
      </c>
      <c r="E1265" s="24">
        <v>44</v>
      </c>
    </row>
    <row r="1266" spans="1:5" x14ac:dyDescent="0.25">
      <c r="A1266" s="24">
        <v>1265</v>
      </c>
      <c r="B1266" s="24">
        <v>507253</v>
      </c>
      <c r="C1266" s="24" t="s">
        <v>2169</v>
      </c>
      <c r="D1266" s="24">
        <v>11</v>
      </c>
      <c r="E1266" s="24">
        <v>7</v>
      </c>
    </row>
    <row r="1267" spans="1:5" x14ac:dyDescent="0.25">
      <c r="A1267" s="24">
        <v>1266</v>
      </c>
      <c r="B1267" s="24">
        <v>516155</v>
      </c>
      <c r="C1267" s="24" t="s">
        <v>2170</v>
      </c>
      <c r="D1267" s="24">
        <v>52</v>
      </c>
      <c r="E1267" s="24">
        <v>48</v>
      </c>
    </row>
    <row r="1268" spans="1:5" x14ac:dyDescent="0.25">
      <c r="A1268" s="24">
        <v>1267</v>
      </c>
      <c r="B1268" s="24">
        <v>524751</v>
      </c>
      <c r="C1268" s="24" t="s">
        <v>2171</v>
      </c>
      <c r="D1268" s="24">
        <v>62</v>
      </c>
      <c r="E1268" s="24">
        <v>58</v>
      </c>
    </row>
    <row r="1269" spans="1:5" x14ac:dyDescent="0.25">
      <c r="A1269" s="24">
        <v>1268</v>
      </c>
      <c r="B1269" s="24">
        <v>522724</v>
      </c>
      <c r="C1269" s="24" t="s">
        <v>2172</v>
      </c>
      <c r="D1269" s="24">
        <v>75</v>
      </c>
      <c r="E1269" s="24">
        <v>67</v>
      </c>
    </row>
    <row r="1270" spans="1:5" x14ac:dyDescent="0.25">
      <c r="A1270" s="24">
        <v>1269</v>
      </c>
      <c r="B1270" s="24">
        <v>526843</v>
      </c>
      <c r="C1270" s="24" t="s">
        <v>2173</v>
      </c>
      <c r="D1270" s="24">
        <v>65</v>
      </c>
      <c r="E1270" s="24">
        <v>61</v>
      </c>
    </row>
    <row r="1271" spans="1:5" x14ac:dyDescent="0.25">
      <c r="A1271" s="24">
        <v>1270</v>
      </c>
      <c r="B1271" s="24">
        <v>518581</v>
      </c>
      <c r="C1271" s="24" t="s">
        <v>4220</v>
      </c>
      <c r="D1271" s="24">
        <v>53</v>
      </c>
      <c r="E1271" s="24">
        <v>49</v>
      </c>
    </row>
    <row r="1272" spans="1:5" x14ac:dyDescent="0.25">
      <c r="A1272" s="24">
        <v>1271</v>
      </c>
      <c r="B1272" s="24">
        <v>509787</v>
      </c>
      <c r="C1272" s="24" t="s">
        <v>2178</v>
      </c>
      <c r="D1272" s="24">
        <v>34</v>
      </c>
      <c r="E1272" s="24">
        <v>30</v>
      </c>
    </row>
    <row r="1273" spans="1:5" x14ac:dyDescent="0.25">
      <c r="A1273" s="24">
        <v>1272</v>
      </c>
      <c r="B1273" s="24">
        <v>543284</v>
      </c>
      <c r="C1273" s="24" t="s">
        <v>2179</v>
      </c>
      <c r="D1273" s="24">
        <v>78</v>
      </c>
      <c r="E1273" s="24">
        <v>70</v>
      </c>
    </row>
    <row r="1274" spans="1:5" x14ac:dyDescent="0.25">
      <c r="A1274" s="24">
        <v>1273</v>
      </c>
      <c r="B1274" s="24">
        <v>504530</v>
      </c>
      <c r="C1274" s="24" t="s">
        <v>2180</v>
      </c>
      <c r="D1274" s="24">
        <v>14</v>
      </c>
      <c r="E1274" s="24">
        <v>10</v>
      </c>
    </row>
    <row r="1275" spans="1:5" x14ac:dyDescent="0.25">
      <c r="A1275" s="24">
        <v>1274</v>
      </c>
      <c r="B1275" s="24">
        <v>515574</v>
      </c>
      <c r="C1275" s="24" t="s">
        <v>4221</v>
      </c>
      <c r="D1275" s="24">
        <v>50</v>
      </c>
      <c r="E1275" s="24">
        <v>46</v>
      </c>
    </row>
    <row r="1276" spans="1:5" x14ac:dyDescent="0.25">
      <c r="A1276" s="24">
        <v>1275</v>
      </c>
      <c r="B1276" s="24">
        <v>502031</v>
      </c>
      <c r="C1276" s="24" t="s">
        <v>2181</v>
      </c>
      <c r="D1276" s="24">
        <v>26</v>
      </c>
      <c r="E1276" s="24">
        <v>22</v>
      </c>
    </row>
    <row r="1277" spans="1:5" x14ac:dyDescent="0.25">
      <c r="A1277" s="24">
        <v>1276</v>
      </c>
      <c r="B1277" s="24">
        <v>515159</v>
      </c>
      <c r="C1277" s="24" t="s">
        <v>2182</v>
      </c>
      <c r="D1277" s="24">
        <v>50</v>
      </c>
      <c r="E1277" s="24">
        <v>46</v>
      </c>
    </row>
    <row r="1278" spans="1:5" x14ac:dyDescent="0.25">
      <c r="A1278" s="24">
        <v>1277</v>
      </c>
      <c r="B1278" s="24">
        <v>543292</v>
      </c>
      <c r="C1278" s="24" t="s">
        <v>2183</v>
      </c>
      <c r="D1278" s="24">
        <v>59</v>
      </c>
      <c r="E1278" s="24">
        <v>55</v>
      </c>
    </row>
    <row r="1279" spans="1:5" x14ac:dyDescent="0.25">
      <c r="A1279" s="24">
        <v>1278</v>
      </c>
      <c r="B1279" s="24">
        <v>512419</v>
      </c>
      <c r="C1279" s="24" t="s">
        <v>2184</v>
      </c>
      <c r="D1279" s="24">
        <v>37</v>
      </c>
      <c r="E1279" s="24">
        <v>33</v>
      </c>
    </row>
    <row r="1280" spans="1:5" x14ac:dyDescent="0.25">
      <c r="A1280" s="24">
        <v>1279</v>
      </c>
      <c r="B1280" s="24">
        <v>556360</v>
      </c>
      <c r="C1280" s="24" t="s">
        <v>2185</v>
      </c>
      <c r="D1280" s="24">
        <v>16</v>
      </c>
      <c r="E1280" s="24">
        <v>12</v>
      </c>
    </row>
    <row r="1281" spans="1:5" x14ac:dyDescent="0.25">
      <c r="A1281" s="24">
        <v>1280</v>
      </c>
      <c r="B1281" s="24">
        <v>525901</v>
      </c>
      <c r="C1281" s="24" t="s">
        <v>2186</v>
      </c>
      <c r="D1281" s="24">
        <v>50</v>
      </c>
      <c r="E1281" s="24">
        <v>46</v>
      </c>
    </row>
    <row r="1282" spans="1:5" x14ac:dyDescent="0.25">
      <c r="A1282" s="24">
        <v>1281</v>
      </c>
      <c r="B1282" s="24">
        <v>524760</v>
      </c>
      <c r="C1282" s="24" t="s">
        <v>2187</v>
      </c>
      <c r="D1282" s="24">
        <v>62</v>
      </c>
      <c r="E1282" s="24">
        <v>58</v>
      </c>
    </row>
    <row r="1283" spans="1:5" x14ac:dyDescent="0.25">
      <c r="A1283" s="24">
        <v>1282</v>
      </c>
      <c r="B1283" s="24">
        <v>509795</v>
      </c>
      <c r="C1283" s="24" t="s">
        <v>2188</v>
      </c>
      <c r="D1283" s="24">
        <v>41</v>
      </c>
      <c r="E1283" s="24">
        <v>37</v>
      </c>
    </row>
    <row r="1284" spans="1:5" x14ac:dyDescent="0.25">
      <c r="A1284" s="24">
        <v>1283</v>
      </c>
      <c r="B1284" s="24">
        <v>543306</v>
      </c>
      <c r="C1284" s="24" t="s">
        <v>2189</v>
      </c>
      <c r="D1284" s="24">
        <v>78</v>
      </c>
      <c r="E1284" s="24">
        <v>70</v>
      </c>
    </row>
    <row r="1285" spans="1:5" x14ac:dyDescent="0.25">
      <c r="A1285" s="24">
        <v>1284</v>
      </c>
      <c r="B1285" s="24">
        <v>520446</v>
      </c>
      <c r="C1285" s="24" t="s">
        <v>2190</v>
      </c>
      <c r="D1285" s="24">
        <v>57</v>
      </c>
      <c r="E1285" s="24">
        <v>53</v>
      </c>
    </row>
    <row r="1286" spans="1:5" x14ac:dyDescent="0.25">
      <c r="A1286" s="24">
        <v>1285</v>
      </c>
      <c r="B1286" s="24">
        <v>558133</v>
      </c>
      <c r="C1286" s="24" t="s">
        <v>2190</v>
      </c>
      <c r="D1286" s="24">
        <v>53</v>
      </c>
      <c r="E1286" s="24">
        <v>49</v>
      </c>
    </row>
    <row r="1287" spans="1:5" x14ac:dyDescent="0.25">
      <c r="A1287" s="24">
        <v>1286</v>
      </c>
      <c r="B1287" s="24">
        <v>512427</v>
      </c>
      <c r="C1287" s="24" t="s">
        <v>2191</v>
      </c>
      <c r="D1287" s="24">
        <v>40</v>
      </c>
      <c r="E1287" s="24">
        <v>36</v>
      </c>
    </row>
    <row r="1288" spans="1:5" x14ac:dyDescent="0.25">
      <c r="A1288" s="24">
        <v>1287</v>
      </c>
      <c r="B1288" s="24">
        <v>514144</v>
      </c>
      <c r="C1288" s="24" t="s">
        <v>2193</v>
      </c>
      <c r="D1288" s="24">
        <v>22</v>
      </c>
      <c r="E1288" s="24">
        <v>18</v>
      </c>
    </row>
    <row r="1289" spans="1:5" x14ac:dyDescent="0.25">
      <c r="A1289" s="24">
        <v>1288</v>
      </c>
      <c r="B1289" s="24">
        <v>517739</v>
      </c>
      <c r="C1289" s="24" t="s">
        <v>2195</v>
      </c>
      <c r="D1289" s="24">
        <v>42</v>
      </c>
      <c r="E1289" s="24">
        <v>38</v>
      </c>
    </row>
    <row r="1290" spans="1:5" x14ac:dyDescent="0.25">
      <c r="A1290" s="24">
        <v>1289</v>
      </c>
      <c r="B1290" s="24">
        <v>557935</v>
      </c>
      <c r="C1290" s="24" t="s">
        <v>2196</v>
      </c>
      <c r="D1290" s="24">
        <v>42</v>
      </c>
      <c r="E1290" s="24">
        <v>38</v>
      </c>
    </row>
    <row r="1291" spans="1:5" x14ac:dyDescent="0.25">
      <c r="A1291" s="24">
        <v>1290</v>
      </c>
      <c r="B1291" s="24">
        <v>517755</v>
      </c>
      <c r="C1291" s="24" t="s">
        <v>4222</v>
      </c>
      <c r="D1291" s="24">
        <v>42</v>
      </c>
      <c r="E1291" s="24">
        <v>38</v>
      </c>
    </row>
    <row r="1292" spans="1:5" x14ac:dyDescent="0.25">
      <c r="A1292" s="24">
        <v>1291</v>
      </c>
      <c r="B1292" s="24">
        <v>510599</v>
      </c>
      <c r="C1292" s="24" t="s">
        <v>2199</v>
      </c>
      <c r="D1292" s="24">
        <v>39</v>
      </c>
      <c r="E1292" s="24">
        <v>35</v>
      </c>
    </row>
    <row r="1293" spans="1:5" x14ac:dyDescent="0.25">
      <c r="A1293" s="24">
        <v>1292</v>
      </c>
      <c r="B1293" s="24">
        <v>508047</v>
      </c>
      <c r="C1293" s="24" t="s">
        <v>2200</v>
      </c>
      <c r="D1293" s="24">
        <v>7</v>
      </c>
      <c r="E1293" s="24">
        <v>2</v>
      </c>
    </row>
    <row r="1294" spans="1:5" x14ac:dyDescent="0.25">
      <c r="A1294" s="24">
        <v>1293</v>
      </c>
      <c r="B1294" s="24">
        <v>524778</v>
      </c>
      <c r="C1294" s="24" t="s">
        <v>2201</v>
      </c>
      <c r="D1294" s="24">
        <v>63</v>
      </c>
      <c r="E1294" s="24">
        <v>59</v>
      </c>
    </row>
    <row r="1295" spans="1:5" x14ac:dyDescent="0.25">
      <c r="A1295" s="24">
        <v>1294</v>
      </c>
      <c r="B1295" s="24">
        <v>557706</v>
      </c>
      <c r="C1295" s="24" t="s">
        <v>2202</v>
      </c>
      <c r="D1295" s="24">
        <v>22</v>
      </c>
      <c r="E1295" s="24">
        <v>18</v>
      </c>
    </row>
    <row r="1296" spans="1:5" x14ac:dyDescent="0.25">
      <c r="A1296" s="24">
        <v>1295</v>
      </c>
      <c r="B1296" s="24">
        <v>559971</v>
      </c>
      <c r="C1296" s="24" t="s">
        <v>3418</v>
      </c>
      <c r="D1296" s="24">
        <v>62</v>
      </c>
      <c r="E1296" s="24">
        <v>58</v>
      </c>
    </row>
    <row r="1297" spans="1:5" x14ac:dyDescent="0.25">
      <c r="A1297" s="24">
        <v>1296</v>
      </c>
      <c r="B1297" s="24">
        <v>503321</v>
      </c>
      <c r="C1297" s="24" t="s">
        <v>2205</v>
      </c>
      <c r="D1297" s="24">
        <v>28</v>
      </c>
      <c r="E1297" s="24">
        <v>24</v>
      </c>
    </row>
    <row r="1298" spans="1:5" x14ac:dyDescent="0.25">
      <c r="A1298" s="24">
        <v>1297</v>
      </c>
      <c r="B1298" s="24">
        <v>519499</v>
      </c>
      <c r="C1298" s="24" t="s">
        <v>2205</v>
      </c>
      <c r="D1298" s="24">
        <v>56</v>
      </c>
      <c r="E1298" s="24">
        <v>52</v>
      </c>
    </row>
    <row r="1299" spans="1:5" x14ac:dyDescent="0.25">
      <c r="A1299" s="24">
        <v>1298</v>
      </c>
      <c r="B1299" s="24">
        <v>511544</v>
      </c>
      <c r="C1299" s="24" t="s">
        <v>2206</v>
      </c>
      <c r="D1299" s="24">
        <v>48</v>
      </c>
      <c r="E1299" s="24">
        <v>44</v>
      </c>
    </row>
    <row r="1300" spans="1:5" x14ac:dyDescent="0.25">
      <c r="A1300" s="24">
        <v>1299</v>
      </c>
      <c r="B1300" s="24">
        <v>524786</v>
      </c>
      <c r="C1300" s="24" t="s">
        <v>2207</v>
      </c>
      <c r="D1300" s="24">
        <v>62</v>
      </c>
      <c r="E1300" s="24">
        <v>58</v>
      </c>
    </row>
    <row r="1301" spans="1:5" x14ac:dyDescent="0.25">
      <c r="A1301" s="24">
        <v>1300</v>
      </c>
      <c r="B1301" s="24">
        <v>501221</v>
      </c>
      <c r="C1301" s="24" t="s">
        <v>2208</v>
      </c>
      <c r="D1301" s="24">
        <v>25</v>
      </c>
      <c r="E1301" s="24">
        <v>21</v>
      </c>
    </row>
    <row r="1302" spans="1:5" x14ac:dyDescent="0.25">
      <c r="A1302" s="24">
        <v>1301</v>
      </c>
      <c r="B1302" s="24">
        <v>512435</v>
      </c>
      <c r="C1302" s="24" t="s">
        <v>2209</v>
      </c>
      <c r="D1302" s="24">
        <v>37</v>
      </c>
      <c r="E1302" s="24">
        <v>33</v>
      </c>
    </row>
    <row r="1303" spans="1:5" x14ac:dyDescent="0.25">
      <c r="A1303" s="24">
        <v>1302</v>
      </c>
      <c r="B1303" s="24">
        <v>515167</v>
      </c>
      <c r="C1303" s="24" t="s">
        <v>2209</v>
      </c>
      <c r="D1303" s="24">
        <v>51</v>
      </c>
      <c r="E1303" s="24">
        <v>47</v>
      </c>
    </row>
    <row r="1304" spans="1:5" x14ac:dyDescent="0.25">
      <c r="A1304" s="24">
        <v>1303</v>
      </c>
      <c r="B1304" s="24">
        <v>505021</v>
      </c>
      <c r="C1304" s="24" t="s">
        <v>2210</v>
      </c>
      <c r="D1304" s="24">
        <v>30</v>
      </c>
      <c r="E1304" s="24">
        <v>26</v>
      </c>
    </row>
    <row r="1305" spans="1:5" x14ac:dyDescent="0.25">
      <c r="A1305" s="24">
        <v>1304</v>
      </c>
      <c r="B1305" s="24">
        <v>525910</v>
      </c>
      <c r="C1305" s="24" t="s">
        <v>2210</v>
      </c>
      <c r="D1305" s="24">
        <v>76</v>
      </c>
      <c r="E1305" s="24">
        <v>68</v>
      </c>
    </row>
    <row r="1306" spans="1:5" x14ac:dyDescent="0.25">
      <c r="A1306" s="24">
        <v>1305</v>
      </c>
      <c r="B1306" s="24">
        <v>510602</v>
      </c>
      <c r="C1306" s="24" t="s">
        <v>2211</v>
      </c>
      <c r="D1306" s="24">
        <v>36</v>
      </c>
      <c r="E1306" s="24">
        <v>32</v>
      </c>
    </row>
    <row r="1307" spans="1:5" x14ac:dyDescent="0.25">
      <c r="A1307" s="24">
        <v>1306</v>
      </c>
      <c r="B1307" s="24">
        <v>510611</v>
      </c>
      <c r="C1307" s="24" t="s">
        <v>2212</v>
      </c>
      <c r="D1307" s="24">
        <v>36</v>
      </c>
      <c r="E1307" s="24">
        <v>32</v>
      </c>
    </row>
    <row r="1308" spans="1:5" x14ac:dyDescent="0.25">
      <c r="A1308" s="24">
        <v>1307</v>
      </c>
      <c r="B1308" s="24">
        <v>510629</v>
      </c>
      <c r="C1308" s="24" t="s">
        <v>2213</v>
      </c>
      <c r="D1308" s="24">
        <v>39</v>
      </c>
      <c r="E1308" s="24">
        <v>35</v>
      </c>
    </row>
    <row r="1309" spans="1:5" x14ac:dyDescent="0.25">
      <c r="A1309" s="24">
        <v>1308</v>
      </c>
      <c r="B1309" s="24">
        <v>510637</v>
      </c>
      <c r="C1309" s="24" t="s">
        <v>2214</v>
      </c>
      <c r="D1309" s="24">
        <v>39</v>
      </c>
      <c r="E1309" s="24">
        <v>35</v>
      </c>
    </row>
    <row r="1310" spans="1:5" x14ac:dyDescent="0.25">
      <c r="A1310" s="24">
        <v>1309</v>
      </c>
      <c r="B1310" s="24">
        <v>558281</v>
      </c>
      <c r="C1310" s="24" t="s">
        <v>2215</v>
      </c>
      <c r="D1310" s="24">
        <v>36</v>
      </c>
      <c r="E1310" s="24">
        <v>32</v>
      </c>
    </row>
    <row r="1311" spans="1:5" x14ac:dyDescent="0.25">
      <c r="A1311" s="24">
        <v>1310</v>
      </c>
      <c r="B1311" s="24">
        <v>510653</v>
      </c>
      <c r="C1311" s="24" t="s">
        <v>2216</v>
      </c>
      <c r="D1311" s="24">
        <v>36</v>
      </c>
      <c r="E1311" s="24">
        <v>32</v>
      </c>
    </row>
    <row r="1312" spans="1:5" x14ac:dyDescent="0.25">
      <c r="A1312" s="24">
        <v>1311</v>
      </c>
      <c r="B1312" s="24">
        <v>510661</v>
      </c>
      <c r="C1312" s="24" t="s">
        <v>2219</v>
      </c>
      <c r="D1312" s="24">
        <v>39</v>
      </c>
      <c r="E1312" s="24">
        <v>35</v>
      </c>
    </row>
    <row r="1313" spans="1:5" x14ac:dyDescent="0.25">
      <c r="A1313" s="24">
        <v>1312</v>
      </c>
      <c r="B1313" s="24">
        <v>510670</v>
      </c>
      <c r="C1313" s="24" t="s">
        <v>2220</v>
      </c>
      <c r="D1313" s="24">
        <v>39</v>
      </c>
      <c r="E1313" s="24">
        <v>35</v>
      </c>
    </row>
    <row r="1314" spans="1:5" x14ac:dyDescent="0.25">
      <c r="A1314" s="24">
        <v>1313</v>
      </c>
      <c r="B1314" s="24">
        <v>523631</v>
      </c>
      <c r="C1314" s="24" t="s">
        <v>2222</v>
      </c>
      <c r="D1314" s="24">
        <v>61</v>
      </c>
      <c r="E1314" s="24">
        <v>57</v>
      </c>
    </row>
    <row r="1315" spans="1:5" x14ac:dyDescent="0.25">
      <c r="A1315" s="24">
        <v>1314</v>
      </c>
      <c r="B1315" s="24">
        <v>510688</v>
      </c>
      <c r="C1315" s="24" t="s">
        <v>2223</v>
      </c>
      <c r="D1315" s="24">
        <v>36</v>
      </c>
      <c r="E1315" s="24">
        <v>32</v>
      </c>
    </row>
    <row r="1316" spans="1:5" x14ac:dyDescent="0.25">
      <c r="A1316" s="24">
        <v>1315</v>
      </c>
      <c r="B1316" s="24">
        <v>510696</v>
      </c>
      <c r="C1316" s="24" t="s">
        <v>2224</v>
      </c>
      <c r="D1316" s="24">
        <v>36</v>
      </c>
      <c r="E1316" s="24">
        <v>32</v>
      </c>
    </row>
    <row r="1317" spans="1:5" x14ac:dyDescent="0.25">
      <c r="A1317" s="24">
        <v>1316</v>
      </c>
      <c r="B1317" s="24">
        <v>510700</v>
      </c>
      <c r="C1317" s="24" t="s">
        <v>2225</v>
      </c>
      <c r="D1317" s="24">
        <v>36</v>
      </c>
      <c r="E1317" s="24">
        <v>32</v>
      </c>
    </row>
    <row r="1318" spans="1:5" x14ac:dyDescent="0.25">
      <c r="A1318" s="24">
        <v>1317</v>
      </c>
      <c r="B1318" s="24">
        <v>510718</v>
      </c>
      <c r="C1318" s="24" t="s">
        <v>2226</v>
      </c>
      <c r="D1318" s="24">
        <v>39</v>
      </c>
      <c r="E1318" s="24">
        <v>35</v>
      </c>
    </row>
    <row r="1319" spans="1:5" x14ac:dyDescent="0.25">
      <c r="A1319" s="24">
        <v>1318</v>
      </c>
      <c r="B1319" s="24">
        <v>511005</v>
      </c>
      <c r="C1319" s="24" t="s">
        <v>3241</v>
      </c>
      <c r="D1319" s="24">
        <v>39</v>
      </c>
      <c r="E1319" s="24">
        <v>35</v>
      </c>
    </row>
    <row r="1320" spans="1:5" x14ac:dyDescent="0.25">
      <c r="A1320" s="24">
        <v>1319</v>
      </c>
      <c r="B1320" s="24">
        <v>510726</v>
      </c>
      <c r="C1320" s="24" t="s">
        <v>2227</v>
      </c>
      <c r="D1320" s="24">
        <v>36</v>
      </c>
      <c r="E1320" s="24">
        <v>32</v>
      </c>
    </row>
    <row r="1321" spans="1:5" x14ac:dyDescent="0.25">
      <c r="A1321" s="24">
        <v>1320</v>
      </c>
      <c r="B1321" s="24">
        <v>510734</v>
      </c>
      <c r="C1321" s="24" t="s">
        <v>2228</v>
      </c>
      <c r="D1321" s="24">
        <v>36</v>
      </c>
      <c r="E1321" s="24">
        <v>32</v>
      </c>
    </row>
    <row r="1322" spans="1:5" x14ac:dyDescent="0.25">
      <c r="A1322" s="24">
        <v>1321</v>
      </c>
      <c r="B1322" s="24">
        <v>510742</v>
      </c>
      <c r="C1322" s="24" t="s">
        <v>2229</v>
      </c>
      <c r="D1322" s="24">
        <v>39</v>
      </c>
      <c r="E1322" s="24">
        <v>35</v>
      </c>
    </row>
    <row r="1323" spans="1:5" x14ac:dyDescent="0.25">
      <c r="A1323" s="24">
        <v>1322</v>
      </c>
      <c r="B1323" s="24">
        <v>510262</v>
      </c>
      <c r="C1323" s="24" t="s">
        <v>2230</v>
      </c>
      <c r="D1323" s="24">
        <v>36</v>
      </c>
      <c r="E1323" s="24">
        <v>32</v>
      </c>
    </row>
    <row r="1324" spans="1:5" x14ac:dyDescent="0.25">
      <c r="A1324" s="24">
        <v>1323</v>
      </c>
      <c r="B1324" s="24">
        <v>510751</v>
      </c>
      <c r="C1324" s="24" t="s">
        <v>2233</v>
      </c>
      <c r="D1324" s="24">
        <v>36</v>
      </c>
      <c r="E1324" s="24">
        <v>32</v>
      </c>
    </row>
    <row r="1325" spans="1:5" x14ac:dyDescent="0.25">
      <c r="A1325" s="24">
        <v>1324</v>
      </c>
      <c r="B1325" s="24">
        <v>580287</v>
      </c>
      <c r="C1325" s="24" t="s">
        <v>2234</v>
      </c>
      <c r="D1325" s="24">
        <v>36</v>
      </c>
      <c r="E1325" s="24">
        <v>32</v>
      </c>
    </row>
    <row r="1326" spans="1:5" x14ac:dyDescent="0.25">
      <c r="A1326" s="24">
        <v>1325</v>
      </c>
      <c r="B1326" s="24">
        <v>510777</v>
      </c>
      <c r="C1326" s="24" t="s">
        <v>2235</v>
      </c>
      <c r="D1326" s="24">
        <v>36</v>
      </c>
      <c r="E1326" s="24">
        <v>32</v>
      </c>
    </row>
    <row r="1327" spans="1:5" x14ac:dyDescent="0.25">
      <c r="A1327" s="24">
        <v>1326</v>
      </c>
      <c r="B1327" s="24">
        <v>510785</v>
      </c>
      <c r="C1327" s="24" t="s">
        <v>2236</v>
      </c>
      <c r="D1327" s="24">
        <v>39</v>
      </c>
      <c r="E1327" s="24">
        <v>35</v>
      </c>
    </row>
    <row r="1328" spans="1:5" x14ac:dyDescent="0.25">
      <c r="A1328" s="24">
        <v>1327</v>
      </c>
      <c r="B1328" s="24">
        <v>518603</v>
      </c>
      <c r="C1328" s="24" t="s">
        <v>2237</v>
      </c>
      <c r="D1328" s="24">
        <v>47</v>
      </c>
      <c r="E1328" s="24">
        <v>43</v>
      </c>
    </row>
    <row r="1329" spans="1:5" x14ac:dyDescent="0.25">
      <c r="A1329" s="24">
        <v>1328</v>
      </c>
      <c r="B1329" s="24">
        <v>518611</v>
      </c>
      <c r="C1329" s="24" t="s">
        <v>2238</v>
      </c>
      <c r="D1329" s="24">
        <v>47</v>
      </c>
      <c r="E1329" s="24">
        <v>43</v>
      </c>
    </row>
    <row r="1330" spans="1:5" x14ac:dyDescent="0.25">
      <c r="A1330" s="24">
        <v>1329</v>
      </c>
      <c r="B1330" s="24">
        <v>526851</v>
      </c>
      <c r="C1330" s="24" t="s">
        <v>2239</v>
      </c>
      <c r="D1330" s="24">
        <v>65</v>
      </c>
      <c r="E1330" s="24">
        <v>61</v>
      </c>
    </row>
    <row r="1331" spans="1:5" x14ac:dyDescent="0.25">
      <c r="A1331" s="24">
        <v>1330</v>
      </c>
      <c r="B1331" s="24">
        <v>556173</v>
      </c>
      <c r="C1331" s="24" t="s">
        <v>2537</v>
      </c>
      <c r="D1331" s="24">
        <v>20</v>
      </c>
      <c r="E1331" s="24">
        <v>16</v>
      </c>
    </row>
    <row r="1332" spans="1:5" x14ac:dyDescent="0.25">
      <c r="A1332" s="24">
        <v>1331</v>
      </c>
      <c r="B1332" s="24">
        <v>556190</v>
      </c>
      <c r="C1332" s="24" t="s">
        <v>2240</v>
      </c>
      <c r="D1332" s="24">
        <v>20</v>
      </c>
      <c r="E1332" s="24">
        <v>16</v>
      </c>
    </row>
    <row r="1333" spans="1:5" x14ac:dyDescent="0.25">
      <c r="A1333" s="24">
        <v>1332</v>
      </c>
      <c r="B1333" s="24">
        <v>519502</v>
      </c>
      <c r="C1333" s="24" t="s">
        <v>2241</v>
      </c>
      <c r="D1333" s="24">
        <v>56</v>
      </c>
      <c r="E1333" s="24">
        <v>52</v>
      </c>
    </row>
    <row r="1334" spans="1:5" x14ac:dyDescent="0.25">
      <c r="A1334" s="24">
        <v>1333</v>
      </c>
      <c r="B1334" s="24">
        <v>519511</v>
      </c>
      <c r="C1334" s="24" t="s">
        <v>2242</v>
      </c>
      <c r="D1334" s="24">
        <v>56</v>
      </c>
      <c r="E1334" s="24">
        <v>52</v>
      </c>
    </row>
    <row r="1335" spans="1:5" x14ac:dyDescent="0.25">
      <c r="A1335" s="24">
        <v>1334</v>
      </c>
      <c r="B1335" s="24">
        <v>509272</v>
      </c>
      <c r="C1335" s="24" t="s">
        <v>2243</v>
      </c>
      <c r="D1335" s="24">
        <v>35</v>
      </c>
      <c r="E1335" s="24">
        <v>31</v>
      </c>
    </row>
    <row r="1336" spans="1:5" x14ac:dyDescent="0.25">
      <c r="A1336" s="24">
        <v>1335</v>
      </c>
      <c r="B1336" s="24">
        <v>502481</v>
      </c>
      <c r="C1336" s="24" t="s">
        <v>2244</v>
      </c>
      <c r="D1336" s="24">
        <v>26</v>
      </c>
      <c r="E1336" s="24">
        <v>22</v>
      </c>
    </row>
    <row r="1337" spans="1:5" x14ac:dyDescent="0.25">
      <c r="A1337" s="24">
        <v>1336</v>
      </c>
      <c r="B1337" s="24">
        <v>509809</v>
      </c>
      <c r="C1337" s="24" t="s">
        <v>2245</v>
      </c>
      <c r="D1337" s="24">
        <v>38</v>
      </c>
      <c r="E1337" s="24">
        <v>34</v>
      </c>
    </row>
    <row r="1338" spans="1:5" x14ac:dyDescent="0.25">
      <c r="A1338" s="24">
        <v>1337</v>
      </c>
      <c r="B1338" s="24">
        <v>508730</v>
      </c>
      <c r="C1338" s="24" t="s">
        <v>2246</v>
      </c>
      <c r="D1338" s="24">
        <v>45</v>
      </c>
      <c r="E1338" s="24">
        <v>41</v>
      </c>
    </row>
    <row r="1339" spans="1:5" x14ac:dyDescent="0.25">
      <c r="A1339" s="24">
        <v>1338</v>
      </c>
      <c r="B1339" s="24">
        <v>509817</v>
      </c>
      <c r="C1339" s="24" t="s">
        <v>2247</v>
      </c>
      <c r="D1339" s="24">
        <v>38</v>
      </c>
      <c r="E1339" s="24">
        <v>34</v>
      </c>
    </row>
    <row r="1340" spans="1:5" x14ac:dyDescent="0.25">
      <c r="A1340" s="24">
        <v>1339</v>
      </c>
      <c r="B1340" s="24">
        <v>527513</v>
      </c>
      <c r="C1340" s="24" t="s">
        <v>2248</v>
      </c>
      <c r="D1340" s="24">
        <v>66</v>
      </c>
      <c r="E1340" s="24">
        <v>62</v>
      </c>
    </row>
    <row r="1341" spans="1:5" x14ac:dyDescent="0.25">
      <c r="A1341" s="24">
        <v>1340</v>
      </c>
      <c r="B1341" s="24">
        <v>526860</v>
      </c>
      <c r="C1341" s="24" t="s">
        <v>2249</v>
      </c>
      <c r="D1341" s="24">
        <v>65</v>
      </c>
      <c r="E1341" s="24">
        <v>61</v>
      </c>
    </row>
    <row r="1342" spans="1:5" x14ac:dyDescent="0.25">
      <c r="A1342" s="24">
        <v>1341</v>
      </c>
      <c r="B1342" s="24">
        <v>502499</v>
      </c>
      <c r="C1342" s="24" t="s">
        <v>2250</v>
      </c>
      <c r="D1342" s="24">
        <v>26</v>
      </c>
      <c r="E1342" s="24">
        <v>22</v>
      </c>
    </row>
    <row r="1343" spans="1:5" x14ac:dyDescent="0.25">
      <c r="A1343" s="24">
        <v>1342</v>
      </c>
      <c r="B1343" s="24">
        <v>504548</v>
      </c>
      <c r="C1343" s="24" t="s">
        <v>2251</v>
      </c>
      <c r="D1343" s="24">
        <v>14</v>
      </c>
      <c r="E1343" s="24">
        <v>10</v>
      </c>
    </row>
    <row r="1344" spans="1:5" x14ac:dyDescent="0.25">
      <c r="A1344" s="24">
        <v>1343</v>
      </c>
      <c r="B1344" s="24">
        <v>519529</v>
      </c>
      <c r="C1344" s="24" t="s">
        <v>2252</v>
      </c>
      <c r="D1344" s="24">
        <v>56</v>
      </c>
      <c r="E1344" s="24">
        <v>52</v>
      </c>
    </row>
    <row r="1345" spans="1:5" x14ac:dyDescent="0.25">
      <c r="A1345" s="24">
        <v>1344</v>
      </c>
      <c r="B1345" s="24">
        <v>509281</v>
      </c>
      <c r="C1345" s="24" t="s">
        <v>2253</v>
      </c>
      <c r="D1345" s="24">
        <v>35</v>
      </c>
      <c r="E1345" s="24">
        <v>31</v>
      </c>
    </row>
    <row r="1346" spans="1:5" x14ac:dyDescent="0.25">
      <c r="A1346" s="24">
        <v>1345</v>
      </c>
      <c r="B1346" s="24">
        <v>556688</v>
      </c>
      <c r="C1346" s="24" t="s">
        <v>2255</v>
      </c>
      <c r="D1346" s="24">
        <v>15</v>
      </c>
      <c r="E1346" s="24">
        <v>11</v>
      </c>
    </row>
    <row r="1347" spans="1:5" x14ac:dyDescent="0.25">
      <c r="A1347" s="24">
        <v>1346</v>
      </c>
      <c r="B1347" s="24">
        <v>500461</v>
      </c>
      <c r="C1347" s="24" t="s">
        <v>2256</v>
      </c>
      <c r="D1347" s="24">
        <v>31</v>
      </c>
      <c r="E1347" s="24">
        <v>27</v>
      </c>
    </row>
    <row r="1348" spans="1:5" x14ac:dyDescent="0.25">
      <c r="A1348" s="24">
        <v>1347</v>
      </c>
      <c r="B1348" s="24">
        <v>517020</v>
      </c>
      <c r="C1348" s="24" t="s">
        <v>2257</v>
      </c>
      <c r="D1348" s="24">
        <v>55</v>
      </c>
      <c r="E1348" s="24">
        <v>51</v>
      </c>
    </row>
    <row r="1349" spans="1:5" x14ac:dyDescent="0.25">
      <c r="A1349" s="24">
        <v>1348</v>
      </c>
      <c r="B1349" s="24">
        <v>517038</v>
      </c>
      <c r="C1349" s="24" t="s">
        <v>4223</v>
      </c>
      <c r="D1349" s="24">
        <v>55</v>
      </c>
      <c r="E1349" s="24">
        <v>51</v>
      </c>
    </row>
    <row r="1350" spans="1:5" x14ac:dyDescent="0.25">
      <c r="A1350" s="24">
        <v>1349</v>
      </c>
      <c r="B1350" s="24">
        <v>511552</v>
      </c>
      <c r="C1350" s="24" t="s">
        <v>2261</v>
      </c>
      <c r="D1350" s="24">
        <v>48</v>
      </c>
      <c r="E1350" s="24">
        <v>44</v>
      </c>
    </row>
    <row r="1351" spans="1:5" x14ac:dyDescent="0.25">
      <c r="A1351" s="24">
        <v>1350</v>
      </c>
      <c r="B1351" s="24">
        <v>508055</v>
      </c>
      <c r="C1351" s="24" t="s">
        <v>2262</v>
      </c>
      <c r="D1351" s="24">
        <v>6</v>
      </c>
      <c r="E1351" s="24">
        <v>1</v>
      </c>
    </row>
    <row r="1352" spans="1:5" x14ac:dyDescent="0.25">
      <c r="A1352" s="24">
        <v>1351</v>
      </c>
      <c r="B1352" s="24">
        <v>522732</v>
      </c>
      <c r="C1352" s="24" t="s">
        <v>2263</v>
      </c>
      <c r="D1352" s="24">
        <v>75</v>
      </c>
      <c r="E1352" s="24">
        <v>67</v>
      </c>
    </row>
    <row r="1353" spans="1:5" x14ac:dyDescent="0.25">
      <c r="A1353" s="24">
        <v>1352</v>
      </c>
      <c r="B1353" s="24">
        <v>503339</v>
      </c>
      <c r="C1353" s="24" t="s">
        <v>2264</v>
      </c>
      <c r="D1353" s="24">
        <v>28</v>
      </c>
      <c r="E1353" s="24">
        <v>24</v>
      </c>
    </row>
    <row r="1354" spans="1:5" x14ac:dyDescent="0.25">
      <c r="A1354" s="24">
        <v>1353</v>
      </c>
      <c r="B1354" s="24">
        <v>510793</v>
      </c>
      <c r="C1354" s="24" t="s">
        <v>4224</v>
      </c>
      <c r="D1354" s="24">
        <v>36</v>
      </c>
      <c r="E1354" s="24">
        <v>32</v>
      </c>
    </row>
    <row r="1355" spans="1:5" x14ac:dyDescent="0.25">
      <c r="A1355" s="24">
        <v>1354</v>
      </c>
      <c r="B1355" s="24">
        <v>525928</v>
      </c>
      <c r="C1355" s="24" t="s">
        <v>2267</v>
      </c>
      <c r="D1355" s="24">
        <v>50</v>
      </c>
      <c r="E1355" s="24">
        <v>46</v>
      </c>
    </row>
    <row r="1356" spans="1:5" x14ac:dyDescent="0.25">
      <c r="A1356" s="24">
        <v>1355</v>
      </c>
      <c r="B1356" s="24">
        <v>523682</v>
      </c>
      <c r="C1356" s="24" t="s">
        <v>2268</v>
      </c>
      <c r="D1356" s="24">
        <v>58</v>
      </c>
      <c r="E1356" s="24">
        <v>54</v>
      </c>
    </row>
    <row r="1357" spans="1:5" x14ac:dyDescent="0.25">
      <c r="A1357" s="24">
        <v>1356</v>
      </c>
      <c r="B1357" s="24">
        <v>508748</v>
      </c>
      <c r="C1357" s="24" t="s">
        <v>2269</v>
      </c>
      <c r="D1357" s="24">
        <v>43</v>
      </c>
      <c r="E1357" s="24">
        <v>39</v>
      </c>
    </row>
    <row r="1358" spans="1:5" x14ac:dyDescent="0.25">
      <c r="A1358" s="24">
        <v>1357</v>
      </c>
      <c r="B1358" s="24">
        <v>506184</v>
      </c>
      <c r="C1358" s="24" t="s">
        <v>2270</v>
      </c>
      <c r="D1358" s="24">
        <v>19</v>
      </c>
      <c r="E1358" s="24">
        <v>15</v>
      </c>
    </row>
    <row r="1359" spans="1:5" x14ac:dyDescent="0.25">
      <c r="A1359" s="24">
        <v>1358</v>
      </c>
      <c r="B1359" s="24">
        <v>520454</v>
      </c>
      <c r="C1359" s="24" t="s">
        <v>2271</v>
      </c>
      <c r="D1359" s="24">
        <v>57</v>
      </c>
      <c r="E1359" s="24">
        <v>53</v>
      </c>
    </row>
    <row r="1360" spans="1:5" x14ac:dyDescent="0.25">
      <c r="A1360" s="24">
        <v>1359</v>
      </c>
      <c r="B1360" s="24">
        <v>510807</v>
      </c>
      <c r="C1360" s="24" t="s">
        <v>2272</v>
      </c>
      <c r="D1360" s="24">
        <v>39</v>
      </c>
      <c r="E1360" s="24">
        <v>35</v>
      </c>
    </row>
    <row r="1361" spans="1:5" x14ac:dyDescent="0.25">
      <c r="A1361" s="24">
        <v>1360</v>
      </c>
      <c r="B1361" s="24">
        <v>511561</v>
      </c>
      <c r="C1361" s="24" t="s">
        <v>2274</v>
      </c>
      <c r="D1361" s="24">
        <v>48</v>
      </c>
      <c r="E1361" s="24">
        <v>44</v>
      </c>
    </row>
    <row r="1362" spans="1:5" x14ac:dyDescent="0.25">
      <c r="A1362" s="24">
        <v>1361</v>
      </c>
      <c r="B1362" s="24">
        <v>516163</v>
      </c>
      <c r="C1362" s="24" t="s">
        <v>2275</v>
      </c>
      <c r="D1362" s="24">
        <v>52</v>
      </c>
      <c r="E1362" s="24">
        <v>48</v>
      </c>
    </row>
    <row r="1363" spans="1:5" x14ac:dyDescent="0.25">
      <c r="A1363" s="24">
        <v>1362</v>
      </c>
      <c r="B1363" s="24">
        <v>518590</v>
      </c>
      <c r="C1363" s="24" t="s">
        <v>2276</v>
      </c>
      <c r="D1363" s="24">
        <v>62</v>
      </c>
      <c r="E1363" s="24">
        <v>58</v>
      </c>
    </row>
    <row r="1364" spans="1:5" x14ac:dyDescent="0.25">
      <c r="A1364" s="24">
        <v>1363</v>
      </c>
      <c r="B1364" s="24">
        <v>526878</v>
      </c>
      <c r="C1364" s="24" t="s">
        <v>2277</v>
      </c>
      <c r="D1364" s="24">
        <v>65</v>
      </c>
      <c r="E1364" s="24">
        <v>61</v>
      </c>
    </row>
    <row r="1365" spans="1:5" x14ac:dyDescent="0.25">
      <c r="A1365" s="24">
        <v>1364</v>
      </c>
      <c r="B1365" s="24">
        <v>524794</v>
      </c>
      <c r="C1365" s="24" t="s">
        <v>2278</v>
      </c>
      <c r="D1365" s="24">
        <v>62</v>
      </c>
      <c r="E1365" s="24">
        <v>58</v>
      </c>
    </row>
    <row r="1366" spans="1:5" x14ac:dyDescent="0.25">
      <c r="A1366" s="24">
        <v>1365</v>
      </c>
      <c r="B1366" s="24">
        <v>501743</v>
      </c>
      <c r="C1366" s="24" t="s">
        <v>4225</v>
      </c>
      <c r="D1366" s="24">
        <v>9</v>
      </c>
      <c r="E1366" s="24">
        <v>5</v>
      </c>
    </row>
    <row r="1367" spans="1:5" x14ac:dyDescent="0.25">
      <c r="A1367" s="24">
        <v>1366</v>
      </c>
      <c r="B1367" s="24">
        <v>508756</v>
      </c>
      <c r="C1367" s="24" t="s">
        <v>2282</v>
      </c>
      <c r="D1367" s="24">
        <v>43</v>
      </c>
      <c r="E1367" s="24">
        <v>39</v>
      </c>
    </row>
    <row r="1368" spans="1:5" x14ac:dyDescent="0.25">
      <c r="A1368" s="24">
        <v>1367</v>
      </c>
      <c r="B1368" s="24">
        <v>511218</v>
      </c>
      <c r="C1368" s="24" t="s">
        <v>2283</v>
      </c>
      <c r="D1368" s="24">
        <v>48</v>
      </c>
      <c r="E1368" s="24">
        <v>44</v>
      </c>
    </row>
    <row r="1369" spans="1:5" x14ac:dyDescent="0.25">
      <c r="A1369" s="24">
        <v>1368</v>
      </c>
      <c r="B1369" s="24">
        <v>524808</v>
      </c>
      <c r="C1369" s="24" t="s">
        <v>2286</v>
      </c>
      <c r="D1369" s="24">
        <v>62</v>
      </c>
      <c r="E1369" s="24">
        <v>58</v>
      </c>
    </row>
    <row r="1370" spans="1:5" x14ac:dyDescent="0.25">
      <c r="A1370" s="24">
        <v>1369</v>
      </c>
      <c r="B1370" s="24">
        <v>523658</v>
      </c>
      <c r="C1370" s="24" t="s">
        <v>2287</v>
      </c>
      <c r="D1370" s="24">
        <v>61</v>
      </c>
      <c r="E1370" s="24">
        <v>57</v>
      </c>
    </row>
    <row r="1371" spans="1:5" x14ac:dyDescent="0.25">
      <c r="A1371" s="24">
        <v>1370</v>
      </c>
      <c r="B1371" s="24">
        <v>519537</v>
      </c>
      <c r="C1371" s="24" t="s">
        <v>2288</v>
      </c>
      <c r="D1371" s="24">
        <v>67</v>
      </c>
      <c r="E1371" s="24">
        <v>63</v>
      </c>
    </row>
    <row r="1372" spans="1:5" x14ac:dyDescent="0.25">
      <c r="A1372" s="24">
        <v>1371</v>
      </c>
      <c r="B1372" s="24">
        <v>524816</v>
      </c>
      <c r="C1372" s="24" t="s">
        <v>2288</v>
      </c>
      <c r="D1372" s="24">
        <v>63</v>
      </c>
      <c r="E1372" s="24">
        <v>59</v>
      </c>
    </row>
    <row r="1373" spans="1:5" x14ac:dyDescent="0.25">
      <c r="A1373" s="24">
        <v>1372</v>
      </c>
      <c r="B1373" s="24">
        <v>525936</v>
      </c>
      <c r="C1373" s="24" t="s">
        <v>2288</v>
      </c>
      <c r="D1373" s="24">
        <v>76</v>
      </c>
      <c r="E1373" s="24">
        <v>68</v>
      </c>
    </row>
    <row r="1374" spans="1:5" x14ac:dyDescent="0.25">
      <c r="A1374" s="24">
        <v>1373</v>
      </c>
      <c r="B1374" s="24">
        <v>543314</v>
      </c>
      <c r="C1374" s="24" t="s">
        <v>2288</v>
      </c>
      <c r="D1374" s="24">
        <v>59</v>
      </c>
      <c r="E1374" s="24">
        <v>55</v>
      </c>
    </row>
    <row r="1375" spans="1:5" x14ac:dyDescent="0.25">
      <c r="A1375" s="24">
        <v>1374</v>
      </c>
      <c r="B1375" s="24">
        <v>510815</v>
      </c>
      <c r="C1375" s="24" t="s">
        <v>2289</v>
      </c>
      <c r="D1375" s="24">
        <v>39</v>
      </c>
      <c r="E1375" s="24">
        <v>35</v>
      </c>
    </row>
    <row r="1376" spans="1:5" x14ac:dyDescent="0.25">
      <c r="A1376" s="24">
        <v>1375</v>
      </c>
      <c r="B1376" s="24">
        <v>517046</v>
      </c>
      <c r="C1376" s="24" t="s">
        <v>2289</v>
      </c>
      <c r="D1376" s="24">
        <v>55</v>
      </c>
      <c r="E1376" s="24">
        <v>51</v>
      </c>
    </row>
    <row r="1377" spans="1:5" x14ac:dyDescent="0.25">
      <c r="A1377" s="24">
        <v>1376</v>
      </c>
      <c r="B1377" s="24">
        <v>522741</v>
      </c>
      <c r="C1377" s="24" t="s">
        <v>2289</v>
      </c>
      <c r="D1377" s="24">
        <v>75</v>
      </c>
      <c r="E1377" s="24">
        <v>67</v>
      </c>
    </row>
    <row r="1378" spans="1:5" x14ac:dyDescent="0.25">
      <c r="A1378" s="24">
        <v>1377</v>
      </c>
      <c r="B1378" s="24">
        <v>500470</v>
      </c>
      <c r="C1378" s="24" t="s">
        <v>4226</v>
      </c>
      <c r="D1378" s="24">
        <v>27</v>
      </c>
      <c r="E1378" s="24">
        <v>23</v>
      </c>
    </row>
    <row r="1379" spans="1:5" x14ac:dyDescent="0.25">
      <c r="A1379" s="24">
        <v>1378</v>
      </c>
      <c r="B1379" s="24">
        <v>505048</v>
      </c>
      <c r="C1379" s="24" t="s">
        <v>2292</v>
      </c>
      <c r="D1379" s="24">
        <v>30</v>
      </c>
      <c r="E1379" s="24">
        <v>26</v>
      </c>
    </row>
    <row r="1380" spans="1:5" x14ac:dyDescent="0.25">
      <c r="A1380" s="24">
        <v>1379</v>
      </c>
      <c r="B1380" s="24">
        <v>581097</v>
      </c>
      <c r="C1380" s="24" t="s">
        <v>3885</v>
      </c>
      <c r="D1380" s="24">
        <v>27</v>
      </c>
      <c r="E1380" s="24">
        <v>23</v>
      </c>
    </row>
    <row r="1381" spans="1:5" x14ac:dyDescent="0.25">
      <c r="A1381" s="24">
        <v>1380</v>
      </c>
      <c r="B1381" s="24">
        <v>510823</v>
      </c>
      <c r="C1381" s="24" t="s">
        <v>2293</v>
      </c>
      <c r="D1381" s="24">
        <v>39</v>
      </c>
      <c r="E1381" s="24">
        <v>35</v>
      </c>
    </row>
    <row r="1382" spans="1:5" x14ac:dyDescent="0.25">
      <c r="A1382" s="24">
        <v>1381</v>
      </c>
      <c r="B1382" s="24">
        <v>528528</v>
      </c>
      <c r="C1382" s="24" t="s">
        <v>2294</v>
      </c>
      <c r="D1382" s="24">
        <v>79</v>
      </c>
      <c r="E1382" s="24">
        <v>71</v>
      </c>
    </row>
    <row r="1383" spans="1:5" x14ac:dyDescent="0.25">
      <c r="A1383" s="24">
        <v>1382</v>
      </c>
      <c r="B1383" s="24">
        <v>506206</v>
      </c>
      <c r="C1383" s="24" t="s">
        <v>2295</v>
      </c>
      <c r="D1383" s="24">
        <v>19</v>
      </c>
      <c r="E1383" s="24">
        <v>15</v>
      </c>
    </row>
    <row r="1384" spans="1:5" x14ac:dyDescent="0.25">
      <c r="A1384" s="24">
        <v>1383</v>
      </c>
      <c r="B1384" s="24">
        <v>520462</v>
      </c>
      <c r="C1384" s="24" t="s">
        <v>2297</v>
      </c>
      <c r="D1384" s="24">
        <v>57</v>
      </c>
      <c r="E1384" s="24">
        <v>53</v>
      </c>
    </row>
    <row r="1385" spans="1:5" x14ac:dyDescent="0.25">
      <c r="A1385" s="24">
        <v>1384</v>
      </c>
      <c r="B1385" s="24">
        <v>500488</v>
      </c>
      <c r="C1385" s="24" t="s">
        <v>2296</v>
      </c>
      <c r="D1385" s="24">
        <v>27</v>
      </c>
      <c r="E1385" s="24">
        <v>23</v>
      </c>
    </row>
    <row r="1386" spans="1:5" x14ac:dyDescent="0.25">
      <c r="A1386" s="24">
        <v>1385</v>
      </c>
      <c r="B1386" s="24">
        <v>519545</v>
      </c>
      <c r="C1386" s="24" t="s">
        <v>2298</v>
      </c>
      <c r="D1386" s="24">
        <v>56</v>
      </c>
      <c r="E1386" s="24">
        <v>52</v>
      </c>
    </row>
    <row r="1387" spans="1:5" x14ac:dyDescent="0.25">
      <c r="A1387" s="24">
        <v>1386</v>
      </c>
      <c r="B1387" s="24">
        <v>558087</v>
      </c>
      <c r="C1387" s="24" t="s">
        <v>2298</v>
      </c>
      <c r="D1387" s="24">
        <v>53</v>
      </c>
      <c r="E1387" s="24">
        <v>49</v>
      </c>
    </row>
    <row r="1388" spans="1:5" x14ac:dyDescent="0.25">
      <c r="A1388" s="24">
        <v>1387</v>
      </c>
      <c r="B1388" s="24">
        <v>519553</v>
      </c>
      <c r="C1388" s="24" t="s">
        <v>2299</v>
      </c>
      <c r="D1388" s="24">
        <v>56</v>
      </c>
      <c r="E1388" s="24">
        <v>52</v>
      </c>
    </row>
    <row r="1389" spans="1:5" x14ac:dyDescent="0.25">
      <c r="A1389" s="24">
        <v>1388</v>
      </c>
      <c r="B1389" s="24">
        <v>515175</v>
      </c>
      <c r="C1389" s="24" t="s">
        <v>2302</v>
      </c>
      <c r="D1389" s="24">
        <v>51</v>
      </c>
      <c r="E1389" s="24">
        <v>47</v>
      </c>
    </row>
    <row r="1390" spans="1:5" x14ac:dyDescent="0.25">
      <c r="A1390" s="24">
        <v>1389</v>
      </c>
      <c r="B1390" s="24">
        <v>513334</v>
      </c>
      <c r="C1390" s="24" t="s">
        <v>2303</v>
      </c>
      <c r="D1390" s="24">
        <v>23</v>
      </c>
      <c r="E1390" s="24">
        <v>19</v>
      </c>
    </row>
    <row r="1391" spans="1:5" x14ac:dyDescent="0.25">
      <c r="A1391" s="24">
        <v>1390</v>
      </c>
      <c r="B1391" s="24">
        <v>502502</v>
      </c>
      <c r="C1391" s="24" t="s">
        <v>2304</v>
      </c>
      <c r="D1391" s="24">
        <v>26</v>
      </c>
      <c r="E1391" s="24">
        <v>22</v>
      </c>
    </row>
    <row r="1392" spans="1:5" x14ac:dyDescent="0.25">
      <c r="A1392" s="24">
        <v>1391</v>
      </c>
      <c r="B1392" s="24">
        <v>511579</v>
      </c>
      <c r="C1392" s="24" t="s">
        <v>2305</v>
      </c>
      <c r="D1392" s="24">
        <v>48</v>
      </c>
      <c r="E1392" s="24">
        <v>44</v>
      </c>
    </row>
    <row r="1393" spans="1:5" x14ac:dyDescent="0.25">
      <c r="A1393" s="24">
        <v>1392</v>
      </c>
      <c r="B1393" s="24">
        <v>599336</v>
      </c>
      <c r="C1393" s="24" t="s">
        <v>2306</v>
      </c>
      <c r="D1393" s="24">
        <v>55</v>
      </c>
      <c r="E1393" s="24">
        <v>51</v>
      </c>
    </row>
    <row r="1394" spans="1:5" x14ac:dyDescent="0.25">
      <c r="A1394" s="24">
        <v>1393</v>
      </c>
      <c r="B1394" s="24">
        <v>524824</v>
      </c>
      <c r="C1394" s="24" t="s">
        <v>2307</v>
      </c>
      <c r="D1394" s="24">
        <v>63</v>
      </c>
      <c r="E1394" s="24">
        <v>59</v>
      </c>
    </row>
    <row r="1395" spans="1:5" x14ac:dyDescent="0.25">
      <c r="A1395" s="24">
        <v>1394</v>
      </c>
      <c r="B1395" s="24">
        <v>517763</v>
      </c>
      <c r="C1395" s="24" t="s">
        <v>2308</v>
      </c>
      <c r="D1395" s="24">
        <v>42</v>
      </c>
      <c r="E1395" s="24">
        <v>38</v>
      </c>
    </row>
    <row r="1396" spans="1:5" x14ac:dyDescent="0.25">
      <c r="A1396" s="24">
        <v>1395</v>
      </c>
      <c r="B1396" s="24">
        <v>505056</v>
      </c>
      <c r="C1396" s="24" t="s">
        <v>2309</v>
      </c>
      <c r="D1396" s="24">
        <v>16</v>
      </c>
      <c r="E1396" s="24">
        <v>12</v>
      </c>
    </row>
    <row r="1397" spans="1:5" x14ac:dyDescent="0.25">
      <c r="A1397" s="24">
        <v>1396</v>
      </c>
      <c r="B1397" s="24">
        <v>505064</v>
      </c>
      <c r="C1397" s="24" t="s">
        <v>2310</v>
      </c>
      <c r="D1397" s="24">
        <v>30</v>
      </c>
      <c r="E1397" s="24">
        <v>26</v>
      </c>
    </row>
    <row r="1398" spans="1:5" x14ac:dyDescent="0.25">
      <c r="A1398" s="24">
        <v>1397</v>
      </c>
      <c r="B1398" s="24">
        <v>519561</v>
      </c>
      <c r="C1398" s="24" t="s">
        <v>2311</v>
      </c>
      <c r="D1398" s="24">
        <v>67</v>
      </c>
      <c r="E1398" s="24">
        <v>63</v>
      </c>
    </row>
    <row r="1399" spans="1:5" x14ac:dyDescent="0.25">
      <c r="A1399" s="24">
        <v>1398</v>
      </c>
      <c r="B1399" s="24">
        <v>580899</v>
      </c>
      <c r="C1399" s="24" t="s">
        <v>2312</v>
      </c>
      <c r="D1399" s="24">
        <v>27</v>
      </c>
      <c r="E1399" s="24">
        <v>23</v>
      </c>
    </row>
    <row r="1400" spans="1:5" x14ac:dyDescent="0.25">
      <c r="A1400" s="24">
        <v>1399</v>
      </c>
      <c r="B1400" s="24">
        <v>513342</v>
      </c>
      <c r="C1400" s="24" t="s">
        <v>2314</v>
      </c>
      <c r="D1400" s="24">
        <v>23</v>
      </c>
      <c r="E1400" s="24">
        <v>19</v>
      </c>
    </row>
    <row r="1401" spans="1:5" x14ac:dyDescent="0.25">
      <c r="A1401" s="24">
        <v>1400</v>
      </c>
      <c r="B1401" s="24">
        <v>517771</v>
      </c>
      <c r="C1401" s="24" t="s">
        <v>2315</v>
      </c>
      <c r="D1401" s="24">
        <v>42</v>
      </c>
      <c r="E1401" s="24">
        <v>38</v>
      </c>
    </row>
    <row r="1402" spans="1:5" x14ac:dyDescent="0.25">
      <c r="A1402" s="24">
        <v>1401</v>
      </c>
      <c r="B1402" s="24">
        <v>555606</v>
      </c>
      <c r="C1402" s="24" t="s">
        <v>2316</v>
      </c>
      <c r="D1402" s="24">
        <v>9</v>
      </c>
      <c r="E1402" s="24">
        <v>5</v>
      </c>
    </row>
    <row r="1403" spans="1:5" x14ac:dyDescent="0.25">
      <c r="A1403" s="24">
        <v>1402</v>
      </c>
      <c r="B1403" s="24">
        <v>555649</v>
      </c>
      <c r="C1403" s="24" t="s">
        <v>1244</v>
      </c>
      <c r="D1403" s="24">
        <v>9</v>
      </c>
      <c r="E1403" s="24">
        <v>5</v>
      </c>
    </row>
    <row r="1404" spans="1:5" x14ac:dyDescent="0.25">
      <c r="A1404" s="24">
        <v>1403</v>
      </c>
      <c r="B1404" s="24">
        <v>507288</v>
      </c>
      <c r="C1404" s="24" t="s">
        <v>2319</v>
      </c>
      <c r="D1404" s="24">
        <v>11</v>
      </c>
      <c r="E1404" s="24">
        <v>7</v>
      </c>
    </row>
    <row r="1405" spans="1:5" x14ac:dyDescent="0.25">
      <c r="A1405" s="24">
        <v>1404</v>
      </c>
      <c r="B1405" s="24">
        <v>525944</v>
      </c>
      <c r="C1405" s="24" t="s">
        <v>4227</v>
      </c>
      <c r="D1405" s="24">
        <v>50</v>
      </c>
      <c r="E1405" s="24">
        <v>46</v>
      </c>
    </row>
    <row r="1406" spans="1:5" x14ac:dyDescent="0.25">
      <c r="A1406" s="24">
        <v>1405</v>
      </c>
      <c r="B1406" s="24">
        <v>500500</v>
      </c>
      <c r="C1406" s="24" t="s">
        <v>2322</v>
      </c>
      <c r="D1406" s="24">
        <v>31</v>
      </c>
      <c r="E1406" s="24">
        <v>27</v>
      </c>
    </row>
    <row r="1407" spans="1:5" x14ac:dyDescent="0.25">
      <c r="A1407" s="24">
        <v>1406</v>
      </c>
      <c r="B1407" s="24">
        <v>507296</v>
      </c>
      <c r="C1407" s="24" t="s">
        <v>2323</v>
      </c>
      <c r="D1407" s="24">
        <v>15</v>
      </c>
      <c r="E1407" s="24">
        <v>11</v>
      </c>
    </row>
    <row r="1408" spans="1:5" x14ac:dyDescent="0.25">
      <c r="A1408" s="24">
        <v>1407</v>
      </c>
      <c r="B1408" s="24">
        <v>523674</v>
      </c>
      <c r="C1408" s="24" t="s">
        <v>2324</v>
      </c>
      <c r="D1408" s="24">
        <v>58</v>
      </c>
      <c r="E1408" s="24">
        <v>54</v>
      </c>
    </row>
    <row r="1409" spans="1:5" x14ac:dyDescent="0.25">
      <c r="A1409" s="24">
        <v>1408</v>
      </c>
      <c r="B1409" s="24">
        <v>528838</v>
      </c>
      <c r="C1409" s="24" t="s">
        <v>2325</v>
      </c>
      <c r="D1409" s="24">
        <v>68</v>
      </c>
      <c r="E1409" s="24">
        <v>64</v>
      </c>
    </row>
    <row r="1410" spans="1:5" x14ac:dyDescent="0.25">
      <c r="A1410" s="24">
        <v>1409</v>
      </c>
      <c r="B1410" s="24">
        <v>509299</v>
      </c>
      <c r="C1410" s="24" t="s">
        <v>2326</v>
      </c>
      <c r="D1410" s="24">
        <v>33</v>
      </c>
      <c r="E1410" s="24">
        <v>29</v>
      </c>
    </row>
    <row r="1411" spans="1:5" x14ac:dyDescent="0.25">
      <c r="A1411" s="24">
        <v>1410</v>
      </c>
      <c r="B1411" s="24">
        <v>527521</v>
      </c>
      <c r="C1411" s="24" t="s">
        <v>2327</v>
      </c>
      <c r="D1411" s="24">
        <v>66</v>
      </c>
      <c r="E1411" s="24">
        <v>62</v>
      </c>
    </row>
    <row r="1412" spans="1:5" x14ac:dyDescent="0.25">
      <c r="A1412" s="24">
        <v>1411</v>
      </c>
      <c r="B1412" s="24">
        <v>516171</v>
      </c>
      <c r="C1412" s="24" t="s">
        <v>2328</v>
      </c>
      <c r="D1412" s="24">
        <v>52</v>
      </c>
      <c r="E1412" s="24">
        <v>48</v>
      </c>
    </row>
    <row r="1413" spans="1:5" x14ac:dyDescent="0.25">
      <c r="A1413" s="24">
        <v>1412</v>
      </c>
      <c r="B1413" s="24">
        <v>514179</v>
      </c>
      <c r="C1413" s="24" t="s">
        <v>2329</v>
      </c>
      <c r="D1413" s="24">
        <v>22</v>
      </c>
      <c r="E1413" s="24">
        <v>18</v>
      </c>
    </row>
    <row r="1414" spans="1:5" x14ac:dyDescent="0.25">
      <c r="A1414" s="24">
        <v>1413</v>
      </c>
      <c r="B1414" s="24">
        <v>517780</v>
      </c>
      <c r="C1414" s="24" t="s">
        <v>2330</v>
      </c>
      <c r="D1414" s="24">
        <v>42</v>
      </c>
      <c r="E1414" s="24">
        <v>38</v>
      </c>
    </row>
    <row r="1415" spans="1:5" x14ac:dyDescent="0.25">
      <c r="A1415" s="24">
        <v>1414</v>
      </c>
      <c r="B1415" s="24">
        <v>528846</v>
      </c>
      <c r="C1415" s="24" t="s">
        <v>2331</v>
      </c>
      <c r="D1415" s="24">
        <v>68</v>
      </c>
      <c r="E1415" s="24">
        <v>64</v>
      </c>
    </row>
    <row r="1416" spans="1:5" x14ac:dyDescent="0.25">
      <c r="A1416" s="24">
        <v>1415</v>
      </c>
      <c r="B1416" s="24">
        <v>559938</v>
      </c>
      <c r="C1416" s="24" t="s">
        <v>2332</v>
      </c>
      <c r="D1416" s="24">
        <v>58</v>
      </c>
      <c r="E1416" s="24">
        <v>54</v>
      </c>
    </row>
    <row r="1417" spans="1:5" x14ac:dyDescent="0.25">
      <c r="A1417" s="24">
        <v>1416</v>
      </c>
      <c r="B1417" s="24">
        <v>505072</v>
      </c>
      <c r="C1417" s="24" t="s">
        <v>2333</v>
      </c>
      <c r="D1417" s="24">
        <v>16</v>
      </c>
      <c r="E1417" s="24">
        <v>12</v>
      </c>
    </row>
    <row r="1418" spans="1:5" x14ac:dyDescent="0.25">
      <c r="A1418" s="24">
        <v>1417</v>
      </c>
      <c r="B1418" s="24">
        <v>521655</v>
      </c>
      <c r="C1418" s="24" t="s">
        <v>2334</v>
      </c>
      <c r="D1418" s="24">
        <v>74</v>
      </c>
      <c r="E1418" s="24">
        <v>66</v>
      </c>
    </row>
    <row r="1419" spans="1:5" x14ac:dyDescent="0.25">
      <c r="A1419" s="24">
        <v>1418</v>
      </c>
      <c r="B1419" s="24">
        <v>517062</v>
      </c>
      <c r="C1419" s="24" t="s">
        <v>2335</v>
      </c>
      <c r="D1419" s="24">
        <v>54</v>
      </c>
      <c r="E1419" s="24">
        <v>50</v>
      </c>
    </row>
    <row r="1420" spans="1:5" x14ac:dyDescent="0.25">
      <c r="A1420" s="24">
        <v>1419</v>
      </c>
      <c r="B1420" s="24">
        <v>521663</v>
      </c>
      <c r="C1420" s="24" t="s">
        <v>2336</v>
      </c>
      <c r="D1420" s="24">
        <v>74</v>
      </c>
      <c r="E1420" s="24">
        <v>66</v>
      </c>
    </row>
    <row r="1421" spans="1:5" x14ac:dyDescent="0.25">
      <c r="A1421" s="24">
        <v>1420</v>
      </c>
      <c r="B1421" s="24">
        <v>582638</v>
      </c>
      <c r="C1421" s="24" t="s">
        <v>2337</v>
      </c>
      <c r="D1421" s="24">
        <v>10</v>
      </c>
      <c r="E1421" s="24">
        <v>6</v>
      </c>
    </row>
    <row r="1422" spans="1:5" x14ac:dyDescent="0.25">
      <c r="A1422" s="24">
        <v>1421</v>
      </c>
      <c r="B1422" s="24">
        <v>503347</v>
      </c>
      <c r="C1422" s="24" t="s">
        <v>2338</v>
      </c>
      <c r="D1422" s="24">
        <v>28</v>
      </c>
      <c r="E1422" s="24">
        <v>24</v>
      </c>
    </row>
    <row r="1423" spans="1:5" x14ac:dyDescent="0.25">
      <c r="A1423" s="24">
        <v>1422</v>
      </c>
      <c r="B1423" s="24">
        <v>527530</v>
      </c>
      <c r="C1423" s="24" t="s">
        <v>2339</v>
      </c>
      <c r="D1423" s="24">
        <v>66</v>
      </c>
      <c r="E1423" s="24">
        <v>62</v>
      </c>
    </row>
    <row r="1424" spans="1:5" x14ac:dyDescent="0.25">
      <c r="A1424" s="24">
        <v>1423</v>
      </c>
      <c r="B1424" s="24">
        <v>513792</v>
      </c>
      <c r="C1424" s="24" t="s">
        <v>3588</v>
      </c>
      <c r="D1424" s="24">
        <v>79</v>
      </c>
      <c r="E1424" s="24">
        <v>71</v>
      </c>
    </row>
    <row r="1425" spans="1:5" x14ac:dyDescent="0.25">
      <c r="A1425" s="24">
        <v>1424</v>
      </c>
      <c r="B1425" s="24">
        <v>508063</v>
      </c>
      <c r="C1425" s="24" t="s">
        <v>2340</v>
      </c>
      <c r="D1425" s="24">
        <v>6</v>
      </c>
      <c r="E1425" s="24">
        <v>1</v>
      </c>
    </row>
    <row r="1426" spans="1:5" x14ac:dyDescent="0.25">
      <c r="A1426" s="24">
        <v>1425</v>
      </c>
      <c r="B1426" s="24">
        <v>580244</v>
      </c>
      <c r="C1426" s="24" t="s">
        <v>788</v>
      </c>
      <c r="D1426" s="24">
        <v>43</v>
      </c>
      <c r="E1426" s="24">
        <v>39</v>
      </c>
    </row>
    <row r="1427" spans="1:5" x14ac:dyDescent="0.25">
      <c r="A1427" s="24">
        <v>1426</v>
      </c>
      <c r="B1427" s="24">
        <v>502511</v>
      </c>
      <c r="C1427" s="24" t="s">
        <v>2341</v>
      </c>
      <c r="D1427" s="24">
        <v>26</v>
      </c>
      <c r="E1427" s="24">
        <v>22</v>
      </c>
    </row>
    <row r="1428" spans="1:5" x14ac:dyDescent="0.25">
      <c r="A1428" s="24">
        <v>1427</v>
      </c>
      <c r="B1428" s="24">
        <v>509825</v>
      </c>
      <c r="C1428" s="24" t="s">
        <v>2342</v>
      </c>
      <c r="D1428" s="24">
        <v>34</v>
      </c>
      <c r="E1428" s="24">
        <v>30</v>
      </c>
    </row>
    <row r="1429" spans="1:5" x14ac:dyDescent="0.25">
      <c r="A1429" s="24">
        <v>1428</v>
      </c>
      <c r="B1429" s="24">
        <v>510831</v>
      </c>
      <c r="C1429" s="24" t="s">
        <v>2343</v>
      </c>
      <c r="D1429" s="24">
        <v>36</v>
      </c>
      <c r="E1429" s="24">
        <v>32</v>
      </c>
    </row>
    <row r="1430" spans="1:5" x14ac:dyDescent="0.25">
      <c r="A1430" s="24">
        <v>1429</v>
      </c>
      <c r="B1430" s="24">
        <v>519570</v>
      </c>
      <c r="C1430" s="24" t="s">
        <v>2344</v>
      </c>
      <c r="D1430" s="24">
        <v>56</v>
      </c>
      <c r="E1430" s="24">
        <v>52</v>
      </c>
    </row>
    <row r="1431" spans="1:5" x14ac:dyDescent="0.25">
      <c r="A1431" s="24">
        <v>1430</v>
      </c>
      <c r="B1431" s="24">
        <v>522759</v>
      </c>
      <c r="C1431" s="24" t="s">
        <v>2346</v>
      </c>
      <c r="D1431" s="24">
        <v>75</v>
      </c>
      <c r="E1431" s="24">
        <v>67</v>
      </c>
    </row>
    <row r="1432" spans="1:5" x14ac:dyDescent="0.25">
      <c r="A1432" s="24">
        <v>1431</v>
      </c>
      <c r="B1432" s="24">
        <v>510840</v>
      </c>
      <c r="C1432" s="24" t="s">
        <v>2349</v>
      </c>
      <c r="D1432" s="24">
        <v>36</v>
      </c>
      <c r="E1432" s="24">
        <v>32</v>
      </c>
    </row>
    <row r="1433" spans="1:5" x14ac:dyDescent="0.25">
      <c r="A1433" s="24">
        <v>1432</v>
      </c>
      <c r="B1433" s="24">
        <v>555665</v>
      </c>
      <c r="C1433" s="24" t="s">
        <v>1337</v>
      </c>
      <c r="D1433" s="24">
        <v>9</v>
      </c>
      <c r="E1433" s="24">
        <v>5</v>
      </c>
    </row>
    <row r="1434" spans="1:5" x14ac:dyDescent="0.25">
      <c r="A1434" s="24">
        <v>1433</v>
      </c>
      <c r="B1434" s="24">
        <v>505102</v>
      </c>
      <c r="C1434" s="24" t="s">
        <v>2350</v>
      </c>
      <c r="D1434" s="24">
        <v>16</v>
      </c>
      <c r="E1434" s="24">
        <v>12</v>
      </c>
    </row>
    <row r="1435" spans="1:5" x14ac:dyDescent="0.25">
      <c r="A1435" s="24">
        <v>1434</v>
      </c>
      <c r="B1435" s="24">
        <v>556785</v>
      </c>
      <c r="C1435" s="24" t="s">
        <v>2352</v>
      </c>
      <c r="D1435" s="24">
        <v>27</v>
      </c>
      <c r="E1435" s="24">
        <v>23</v>
      </c>
    </row>
    <row r="1436" spans="1:5" x14ac:dyDescent="0.25">
      <c r="A1436" s="24">
        <v>1435</v>
      </c>
      <c r="B1436" s="24">
        <v>503355</v>
      </c>
      <c r="C1436" s="24" t="s">
        <v>2353</v>
      </c>
      <c r="D1436" s="24">
        <v>28</v>
      </c>
      <c r="E1436" s="24">
        <v>24</v>
      </c>
    </row>
    <row r="1437" spans="1:5" x14ac:dyDescent="0.25">
      <c r="A1437" s="24">
        <v>1436</v>
      </c>
      <c r="B1437" s="24">
        <v>581135</v>
      </c>
      <c r="C1437" s="24" t="s">
        <v>2355</v>
      </c>
      <c r="D1437" s="24">
        <v>26</v>
      </c>
      <c r="E1437" s="24">
        <v>22</v>
      </c>
    </row>
    <row r="1438" spans="1:5" x14ac:dyDescent="0.25">
      <c r="A1438" s="24">
        <v>1437</v>
      </c>
      <c r="B1438" s="24">
        <v>505129</v>
      </c>
      <c r="C1438" s="24" t="s">
        <v>2356</v>
      </c>
      <c r="D1438" s="24">
        <v>20</v>
      </c>
      <c r="E1438" s="24">
        <v>16</v>
      </c>
    </row>
    <row r="1439" spans="1:5" x14ac:dyDescent="0.25">
      <c r="A1439" s="24">
        <v>1438</v>
      </c>
      <c r="B1439" s="24">
        <v>557579</v>
      </c>
      <c r="C1439" s="24" t="s">
        <v>2357</v>
      </c>
      <c r="D1439" s="24">
        <v>21</v>
      </c>
      <c r="E1439" s="24">
        <v>17</v>
      </c>
    </row>
    <row r="1440" spans="1:5" x14ac:dyDescent="0.25">
      <c r="A1440" s="24">
        <v>1439</v>
      </c>
      <c r="B1440" s="24">
        <v>504556</v>
      </c>
      <c r="C1440" s="24" t="s">
        <v>2358</v>
      </c>
      <c r="D1440" s="24">
        <v>6</v>
      </c>
      <c r="E1440" s="24">
        <v>1</v>
      </c>
    </row>
    <row r="1441" spans="1:5" x14ac:dyDescent="0.25">
      <c r="A1441" s="24">
        <v>1440</v>
      </c>
      <c r="B1441" s="24">
        <v>502537</v>
      </c>
      <c r="C1441" s="24" t="s">
        <v>2359</v>
      </c>
      <c r="D1441" s="24">
        <v>26</v>
      </c>
      <c r="E1441" s="24">
        <v>22</v>
      </c>
    </row>
    <row r="1442" spans="1:5" x14ac:dyDescent="0.25">
      <c r="A1442" s="24">
        <v>1441</v>
      </c>
      <c r="B1442" s="24">
        <v>528536</v>
      </c>
      <c r="C1442" s="24" t="s">
        <v>2361</v>
      </c>
      <c r="D1442" s="24">
        <v>79</v>
      </c>
      <c r="E1442" s="24">
        <v>71</v>
      </c>
    </row>
    <row r="1443" spans="1:5" x14ac:dyDescent="0.25">
      <c r="A1443" s="24">
        <v>1442</v>
      </c>
      <c r="B1443" s="24">
        <v>522767</v>
      </c>
      <c r="C1443" s="24" t="s">
        <v>2362</v>
      </c>
      <c r="D1443" s="24">
        <v>75</v>
      </c>
      <c r="E1443" s="24">
        <v>67</v>
      </c>
    </row>
    <row r="1444" spans="1:5" x14ac:dyDescent="0.25">
      <c r="A1444" s="24">
        <v>1443</v>
      </c>
      <c r="B1444" s="24">
        <v>505137</v>
      </c>
      <c r="C1444" s="24" t="s">
        <v>2363</v>
      </c>
      <c r="D1444" s="24">
        <v>30</v>
      </c>
      <c r="E1444" s="24">
        <v>26</v>
      </c>
    </row>
    <row r="1445" spans="1:5" x14ac:dyDescent="0.25">
      <c r="A1445" s="24">
        <v>1444</v>
      </c>
      <c r="B1445" s="24">
        <v>558206</v>
      </c>
      <c r="C1445" s="24" t="s">
        <v>2365</v>
      </c>
      <c r="D1445" s="24">
        <v>52</v>
      </c>
      <c r="E1445" s="24">
        <v>48</v>
      </c>
    </row>
    <row r="1446" spans="1:5" x14ac:dyDescent="0.25">
      <c r="A1446" s="24">
        <v>1445</v>
      </c>
      <c r="B1446" s="24">
        <v>528544</v>
      </c>
      <c r="C1446" s="24" t="s">
        <v>2366</v>
      </c>
      <c r="D1446" s="24">
        <v>79</v>
      </c>
      <c r="E1446" s="24">
        <v>74</v>
      </c>
    </row>
    <row r="1447" spans="1:5" x14ac:dyDescent="0.25">
      <c r="A1447" s="24">
        <v>1446</v>
      </c>
      <c r="B1447" s="24">
        <v>580953</v>
      </c>
      <c r="C1447" s="24" t="s">
        <v>2367</v>
      </c>
      <c r="D1447" s="24">
        <v>20</v>
      </c>
      <c r="E1447" s="24">
        <v>16</v>
      </c>
    </row>
    <row r="1448" spans="1:5" x14ac:dyDescent="0.25">
      <c r="A1448" s="24">
        <v>1447</v>
      </c>
      <c r="B1448" s="24">
        <v>555924</v>
      </c>
      <c r="C1448" s="24" t="s">
        <v>2368</v>
      </c>
      <c r="D1448" s="24">
        <v>31</v>
      </c>
      <c r="E1448" s="24">
        <v>27</v>
      </c>
    </row>
    <row r="1449" spans="1:5" x14ac:dyDescent="0.25">
      <c r="A1449" s="24">
        <v>1448</v>
      </c>
      <c r="B1449" s="24">
        <v>500534</v>
      </c>
      <c r="C1449" s="24" t="s">
        <v>2369</v>
      </c>
      <c r="D1449" s="24">
        <v>27</v>
      </c>
      <c r="E1449" s="24">
        <v>23</v>
      </c>
    </row>
    <row r="1450" spans="1:5" x14ac:dyDescent="0.25">
      <c r="A1450" s="24">
        <v>1449</v>
      </c>
      <c r="B1450" s="24">
        <v>516198</v>
      </c>
      <c r="C1450" s="24" t="s">
        <v>2370</v>
      </c>
      <c r="D1450" s="24">
        <v>52</v>
      </c>
      <c r="E1450" s="24">
        <v>48</v>
      </c>
    </row>
    <row r="1451" spans="1:5" x14ac:dyDescent="0.25">
      <c r="A1451" s="24">
        <v>1450</v>
      </c>
      <c r="B1451" s="24">
        <v>511595</v>
      </c>
      <c r="C1451" s="24" t="s">
        <v>2371</v>
      </c>
      <c r="D1451" s="24">
        <v>49</v>
      </c>
      <c r="E1451" s="24">
        <v>45</v>
      </c>
    </row>
    <row r="1452" spans="1:5" x14ac:dyDescent="0.25">
      <c r="A1452" s="24">
        <v>1451</v>
      </c>
      <c r="B1452" s="24">
        <v>514187</v>
      </c>
      <c r="C1452" s="24" t="s">
        <v>2372</v>
      </c>
      <c r="D1452" s="24">
        <v>22</v>
      </c>
      <c r="E1452" s="24">
        <v>18</v>
      </c>
    </row>
    <row r="1453" spans="1:5" x14ac:dyDescent="0.25">
      <c r="A1453" s="24">
        <v>1452</v>
      </c>
      <c r="B1453" s="24">
        <v>508071</v>
      </c>
      <c r="C1453" s="24" t="s">
        <v>2373</v>
      </c>
      <c r="D1453" s="24">
        <v>8</v>
      </c>
      <c r="E1453" s="24">
        <v>3</v>
      </c>
    </row>
    <row r="1454" spans="1:5" x14ac:dyDescent="0.25">
      <c r="A1454" s="24">
        <v>1453</v>
      </c>
      <c r="B1454" s="24">
        <v>510858</v>
      </c>
      <c r="C1454" s="24" t="s">
        <v>2375</v>
      </c>
      <c r="D1454" s="24">
        <v>36</v>
      </c>
      <c r="E1454" s="24">
        <v>32</v>
      </c>
    </row>
    <row r="1455" spans="1:5" x14ac:dyDescent="0.25">
      <c r="A1455" s="24">
        <v>1454</v>
      </c>
      <c r="B1455" s="24">
        <v>555908</v>
      </c>
      <c r="C1455" s="24" t="s">
        <v>2583</v>
      </c>
      <c r="D1455" s="24">
        <v>27</v>
      </c>
      <c r="E1455" s="24">
        <v>23</v>
      </c>
    </row>
    <row r="1456" spans="1:5" x14ac:dyDescent="0.25">
      <c r="A1456" s="24">
        <v>1455</v>
      </c>
      <c r="B1456" s="24">
        <v>512443</v>
      </c>
      <c r="C1456" s="24" t="s">
        <v>2376</v>
      </c>
      <c r="D1456" s="24">
        <v>40</v>
      </c>
      <c r="E1456" s="24">
        <v>36</v>
      </c>
    </row>
    <row r="1457" spans="1:5" x14ac:dyDescent="0.25">
      <c r="A1457" s="24">
        <v>1456</v>
      </c>
      <c r="B1457" s="24">
        <v>528552</v>
      </c>
      <c r="C1457" s="24" t="s">
        <v>2377</v>
      </c>
      <c r="D1457" s="24">
        <v>79</v>
      </c>
      <c r="E1457" s="24">
        <v>74</v>
      </c>
    </row>
    <row r="1458" spans="1:5" x14ac:dyDescent="0.25">
      <c r="A1458" s="24">
        <v>1457</v>
      </c>
      <c r="B1458" s="24">
        <v>528561</v>
      </c>
      <c r="C1458" s="24" t="s">
        <v>2378</v>
      </c>
      <c r="D1458" s="24">
        <v>79</v>
      </c>
      <c r="E1458" s="24">
        <v>74</v>
      </c>
    </row>
    <row r="1459" spans="1:5" x14ac:dyDescent="0.25">
      <c r="A1459" s="24">
        <v>1458</v>
      </c>
      <c r="B1459" s="24">
        <v>558192</v>
      </c>
      <c r="C1459" s="24" t="s">
        <v>2380</v>
      </c>
      <c r="D1459" s="24">
        <v>52</v>
      </c>
      <c r="E1459" s="24">
        <v>48</v>
      </c>
    </row>
    <row r="1460" spans="1:5" x14ac:dyDescent="0.25">
      <c r="A1460" s="24">
        <v>1459</v>
      </c>
      <c r="B1460" s="24">
        <v>555851</v>
      </c>
      <c r="C1460" s="24" t="s">
        <v>2131</v>
      </c>
      <c r="D1460" s="24">
        <v>27</v>
      </c>
      <c r="E1460" s="24">
        <v>23</v>
      </c>
    </row>
    <row r="1461" spans="1:5" x14ac:dyDescent="0.25">
      <c r="A1461" s="24">
        <v>1460</v>
      </c>
      <c r="B1461" s="24">
        <v>526886</v>
      </c>
      <c r="C1461" s="24" t="s">
        <v>2381</v>
      </c>
      <c r="D1461" s="24">
        <v>65</v>
      </c>
      <c r="E1461" s="24">
        <v>61</v>
      </c>
    </row>
    <row r="1462" spans="1:5" x14ac:dyDescent="0.25">
      <c r="A1462" s="24">
        <v>1461</v>
      </c>
      <c r="B1462" s="24">
        <v>581241</v>
      </c>
      <c r="C1462" s="24" t="s">
        <v>2382</v>
      </c>
      <c r="D1462" s="24">
        <v>58</v>
      </c>
      <c r="E1462" s="24">
        <v>54</v>
      </c>
    </row>
    <row r="1463" spans="1:5" x14ac:dyDescent="0.25">
      <c r="A1463" s="24">
        <v>1462</v>
      </c>
      <c r="B1463" s="24">
        <v>524832</v>
      </c>
      <c r="C1463" s="24" t="s">
        <v>2383</v>
      </c>
      <c r="D1463" s="24">
        <v>62</v>
      </c>
      <c r="E1463" s="24">
        <v>58</v>
      </c>
    </row>
    <row r="1464" spans="1:5" x14ac:dyDescent="0.25">
      <c r="A1464" s="24">
        <v>1463</v>
      </c>
      <c r="B1464" s="24">
        <v>524841</v>
      </c>
      <c r="C1464" s="24" t="s">
        <v>2384</v>
      </c>
      <c r="D1464" s="24">
        <v>62</v>
      </c>
      <c r="E1464" s="24">
        <v>58</v>
      </c>
    </row>
    <row r="1465" spans="1:5" x14ac:dyDescent="0.25">
      <c r="A1465" s="24">
        <v>1464</v>
      </c>
      <c r="B1465" s="24">
        <v>507318</v>
      </c>
      <c r="C1465" s="24" t="s">
        <v>2385</v>
      </c>
      <c r="D1465" s="24">
        <v>15</v>
      </c>
      <c r="E1465" s="24">
        <v>11</v>
      </c>
    </row>
    <row r="1466" spans="1:5" x14ac:dyDescent="0.25">
      <c r="A1466" s="24">
        <v>1465</v>
      </c>
      <c r="B1466" s="24">
        <v>503363</v>
      </c>
      <c r="C1466" s="24" t="s">
        <v>4228</v>
      </c>
      <c r="D1466" s="24">
        <v>28</v>
      </c>
      <c r="E1466" s="24">
        <v>24</v>
      </c>
    </row>
    <row r="1467" spans="1:5" x14ac:dyDescent="0.25">
      <c r="A1467" s="24">
        <v>1466</v>
      </c>
      <c r="B1467" s="24">
        <v>500542</v>
      </c>
      <c r="C1467" s="24" t="s">
        <v>2388</v>
      </c>
      <c r="D1467" s="24">
        <v>31</v>
      </c>
      <c r="E1467" s="24">
        <v>27</v>
      </c>
    </row>
    <row r="1468" spans="1:5" x14ac:dyDescent="0.25">
      <c r="A1468" s="24">
        <v>1467</v>
      </c>
      <c r="B1468" s="24">
        <v>501239</v>
      </c>
      <c r="C1468" s="24" t="s">
        <v>2390</v>
      </c>
      <c r="D1468" s="24">
        <v>25</v>
      </c>
      <c r="E1468" s="24">
        <v>21</v>
      </c>
    </row>
    <row r="1469" spans="1:5" x14ac:dyDescent="0.25">
      <c r="A1469" s="24">
        <v>1468</v>
      </c>
      <c r="B1469" s="24">
        <v>543322</v>
      </c>
      <c r="C1469" s="24" t="s">
        <v>2391</v>
      </c>
      <c r="D1469" s="24">
        <v>69</v>
      </c>
      <c r="E1469" s="24">
        <v>65</v>
      </c>
    </row>
    <row r="1470" spans="1:5" x14ac:dyDescent="0.25">
      <c r="A1470" s="24">
        <v>1469</v>
      </c>
      <c r="B1470" s="24">
        <v>519588</v>
      </c>
      <c r="C1470" s="24" t="s">
        <v>2393</v>
      </c>
      <c r="D1470" s="24">
        <v>56</v>
      </c>
      <c r="E1470" s="24">
        <v>52</v>
      </c>
    </row>
    <row r="1471" spans="1:5" x14ac:dyDescent="0.25">
      <c r="A1471" s="24">
        <v>1470</v>
      </c>
      <c r="B1471" s="24">
        <v>508080</v>
      </c>
      <c r="C1471" s="24" t="s">
        <v>2394</v>
      </c>
      <c r="D1471" s="24">
        <v>6</v>
      </c>
      <c r="E1471" s="24">
        <v>1</v>
      </c>
    </row>
    <row r="1472" spans="1:5" x14ac:dyDescent="0.25">
      <c r="A1472" s="24">
        <v>1471</v>
      </c>
      <c r="B1472" s="24">
        <v>522783</v>
      </c>
      <c r="C1472" s="24" t="s">
        <v>2395</v>
      </c>
      <c r="D1472" s="24">
        <v>75</v>
      </c>
      <c r="E1472" s="24">
        <v>67</v>
      </c>
    </row>
    <row r="1473" spans="1:5" x14ac:dyDescent="0.25">
      <c r="A1473" s="24">
        <v>1472</v>
      </c>
      <c r="B1473" s="24">
        <v>525952</v>
      </c>
      <c r="C1473" s="24" t="s">
        <v>2396</v>
      </c>
      <c r="D1473" s="24">
        <v>76</v>
      </c>
      <c r="E1473" s="24">
        <v>68</v>
      </c>
    </row>
    <row r="1474" spans="1:5" x14ac:dyDescent="0.25">
      <c r="A1474" s="24">
        <v>1473</v>
      </c>
      <c r="B1474" s="24">
        <v>543331</v>
      </c>
      <c r="C1474" s="24" t="s">
        <v>2397</v>
      </c>
      <c r="D1474" s="24">
        <v>78</v>
      </c>
      <c r="E1474" s="24">
        <v>70</v>
      </c>
    </row>
    <row r="1475" spans="1:5" x14ac:dyDescent="0.25">
      <c r="A1475" s="24">
        <v>1474</v>
      </c>
      <c r="B1475" s="24">
        <v>517798</v>
      </c>
      <c r="C1475" s="24" t="s">
        <v>4229</v>
      </c>
      <c r="D1475" s="24">
        <v>32</v>
      </c>
      <c r="E1475" s="24">
        <v>28</v>
      </c>
    </row>
    <row r="1476" spans="1:5" x14ac:dyDescent="0.25">
      <c r="A1476" s="24">
        <v>1475</v>
      </c>
      <c r="B1476" s="24">
        <v>512036</v>
      </c>
      <c r="C1476" s="24" t="s">
        <v>2399</v>
      </c>
      <c r="D1476" s="24">
        <v>37</v>
      </c>
      <c r="E1476" s="24">
        <v>33</v>
      </c>
    </row>
    <row r="1477" spans="1:5" x14ac:dyDescent="0.25">
      <c r="A1477" s="24">
        <v>1476</v>
      </c>
      <c r="B1477" s="24">
        <v>500551</v>
      </c>
      <c r="C1477" s="24" t="s">
        <v>2401</v>
      </c>
      <c r="D1477" s="24">
        <v>31</v>
      </c>
      <c r="E1477" s="24">
        <v>27</v>
      </c>
    </row>
    <row r="1478" spans="1:5" x14ac:dyDescent="0.25">
      <c r="A1478" s="24">
        <v>1477</v>
      </c>
      <c r="B1478" s="24">
        <v>510866</v>
      </c>
      <c r="C1478" s="24" t="s">
        <v>2402</v>
      </c>
      <c r="D1478" s="24">
        <v>39</v>
      </c>
      <c r="E1478" s="24">
        <v>35</v>
      </c>
    </row>
    <row r="1479" spans="1:5" x14ac:dyDescent="0.25">
      <c r="A1479" s="24">
        <v>1478</v>
      </c>
      <c r="B1479" s="24">
        <v>515183</v>
      </c>
      <c r="C1479" s="24" t="s">
        <v>2290</v>
      </c>
      <c r="D1479" s="24">
        <v>51</v>
      </c>
      <c r="E1479" s="24">
        <v>47</v>
      </c>
    </row>
    <row r="1480" spans="1:5" x14ac:dyDescent="0.25">
      <c r="A1480" s="24">
        <v>1479</v>
      </c>
      <c r="B1480" s="24">
        <v>501247</v>
      </c>
      <c r="C1480" s="24" t="s">
        <v>2403</v>
      </c>
      <c r="D1480" s="24">
        <v>25</v>
      </c>
      <c r="E1480" s="24">
        <v>21</v>
      </c>
    </row>
    <row r="1481" spans="1:5" x14ac:dyDescent="0.25">
      <c r="A1481" s="24">
        <v>1480</v>
      </c>
      <c r="B1481" s="24">
        <v>511609</v>
      </c>
      <c r="C1481" s="24" t="s">
        <v>2404</v>
      </c>
      <c r="D1481" s="24">
        <v>48</v>
      </c>
      <c r="E1481" s="24">
        <v>44</v>
      </c>
    </row>
    <row r="1482" spans="1:5" x14ac:dyDescent="0.25">
      <c r="A1482" s="24">
        <v>1481</v>
      </c>
      <c r="B1482" s="24">
        <v>559652</v>
      </c>
      <c r="C1482" s="24" t="s">
        <v>3925</v>
      </c>
      <c r="D1482" s="24">
        <v>57</v>
      </c>
      <c r="E1482" s="24">
        <v>53</v>
      </c>
    </row>
    <row r="1483" spans="1:5" x14ac:dyDescent="0.25">
      <c r="A1483" s="24">
        <v>1482</v>
      </c>
      <c r="B1483" s="24">
        <v>543349</v>
      </c>
      <c r="C1483" s="24" t="s">
        <v>2406</v>
      </c>
      <c r="D1483" s="24">
        <v>78</v>
      </c>
      <c r="E1483" s="24">
        <v>70</v>
      </c>
    </row>
    <row r="1484" spans="1:5" x14ac:dyDescent="0.25">
      <c r="A1484" s="24">
        <v>1483</v>
      </c>
      <c r="B1484" s="24">
        <v>528854</v>
      </c>
      <c r="C1484" s="24" t="s">
        <v>2407</v>
      </c>
      <c r="D1484" s="24">
        <v>68</v>
      </c>
      <c r="E1484" s="24">
        <v>64</v>
      </c>
    </row>
    <row r="1485" spans="1:5" x14ac:dyDescent="0.25">
      <c r="A1485" s="24">
        <v>1484</v>
      </c>
      <c r="B1485" s="24">
        <v>523712</v>
      </c>
      <c r="C1485" s="24" t="s">
        <v>2408</v>
      </c>
      <c r="D1485" s="24">
        <v>58</v>
      </c>
      <c r="E1485" s="24">
        <v>54</v>
      </c>
    </row>
    <row r="1486" spans="1:5" x14ac:dyDescent="0.25">
      <c r="A1486" s="24">
        <v>1485</v>
      </c>
      <c r="B1486" s="24">
        <v>527548</v>
      </c>
      <c r="C1486" s="24" t="s">
        <v>2409</v>
      </c>
      <c r="D1486" s="24">
        <v>67</v>
      </c>
      <c r="E1486" s="24">
        <v>63</v>
      </c>
    </row>
    <row r="1487" spans="1:5" x14ac:dyDescent="0.25">
      <c r="A1487" s="24">
        <v>1486</v>
      </c>
      <c r="B1487" s="24">
        <v>528579</v>
      </c>
      <c r="C1487" s="24" t="s">
        <v>4230</v>
      </c>
      <c r="D1487" s="24">
        <v>75</v>
      </c>
      <c r="E1487" s="24">
        <v>73</v>
      </c>
    </row>
    <row r="1488" spans="1:5" x14ac:dyDescent="0.25">
      <c r="A1488" s="24">
        <v>1487</v>
      </c>
      <c r="B1488" s="24">
        <v>555754</v>
      </c>
      <c r="C1488" s="24" t="s">
        <v>2412</v>
      </c>
      <c r="D1488" s="24">
        <v>10</v>
      </c>
      <c r="E1488" s="24">
        <v>6</v>
      </c>
    </row>
    <row r="1489" spans="1:5" x14ac:dyDescent="0.25">
      <c r="A1489" s="24">
        <v>1488</v>
      </c>
      <c r="B1489" s="24">
        <v>526894</v>
      </c>
      <c r="C1489" s="24" t="s">
        <v>2413</v>
      </c>
      <c r="D1489" s="24">
        <v>65</v>
      </c>
      <c r="E1489" s="24">
        <v>61</v>
      </c>
    </row>
    <row r="1490" spans="1:5" x14ac:dyDescent="0.25">
      <c r="A1490" s="24">
        <v>1489</v>
      </c>
      <c r="B1490" s="24">
        <v>518646</v>
      </c>
      <c r="C1490" s="24" t="s">
        <v>2414</v>
      </c>
      <c r="D1490" s="24">
        <v>47</v>
      </c>
      <c r="E1490" s="24">
        <v>43</v>
      </c>
    </row>
    <row r="1491" spans="1:5" x14ac:dyDescent="0.25">
      <c r="A1491" s="24">
        <v>1490</v>
      </c>
      <c r="B1491" s="24">
        <v>527556</v>
      </c>
      <c r="C1491" s="24" t="s">
        <v>2417</v>
      </c>
      <c r="D1491" s="24">
        <v>67</v>
      </c>
      <c r="E1491" s="24">
        <v>63</v>
      </c>
    </row>
    <row r="1492" spans="1:5" x14ac:dyDescent="0.25">
      <c r="A1492" s="24">
        <v>1491</v>
      </c>
      <c r="B1492" s="24">
        <v>501760</v>
      </c>
      <c r="C1492" s="24" t="s">
        <v>2416</v>
      </c>
      <c r="D1492" s="24">
        <v>9</v>
      </c>
      <c r="E1492" s="24">
        <v>5</v>
      </c>
    </row>
    <row r="1493" spans="1:5" x14ac:dyDescent="0.25">
      <c r="A1493" s="24">
        <v>1492</v>
      </c>
      <c r="B1493" s="24">
        <v>556823</v>
      </c>
      <c r="C1493" s="24" t="s">
        <v>2418</v>
      </c>
      <c r="D1493" s="24">
        <v>62</v>
      </c>
      <c r="E1493" s="24">
        <v>58</v>
      </c>
    </row>
    <row r="1494" spans="1:5" x14ac:dyDescent="0.25">
      <c r="A1494" s="24">
        <v>1493</v>
      </c>
      <c r="B1494" s="24">
        <v>521671</v>
      </c>
      <c r="C1494" s="24" t="s">
        <v>2419</v>
      </c>
      <c r="D1494" s="24">
        <v>74</v>
      </c>
      <c r="E1494" s="24">
        <v>72</v>
      </c>
    </row>
    <row r="1495" spans="1:5" x14ac:dyDescent="0.25">
      <c r="A1495" s="24">
        <v>1494</v>
      </c>
      <c r="B1495" s="24">
        <v>528862</v>
      </c>
      <c r="C1495" s="24" t="s">
        <v>2421</v>
      </c>
      <c r="D1495" s="24">
        <v>68</v>
      </c>
      <c r="E1495" s="24">
        <v>64</v>
      </c>
    </row>
    <row r="1496" spans="1:5" x14ac:dyDescent="0.25">
      <c r="A1496" s="24">
        <v>1495</v>
      </c>
      <c r="B1496" s="24">
        <v>508764</v>
      </c>
      <c r="C1496" s="24" t="s">
        <v>2422</v>
      </c>
      <c r="D1496" s="24">
        <v>43</v>
      </c>
      <c r="E1496" s="24">
        <v>39</v>
      </c>
    </row>
    <row r="1497" spans="1:5" x14ac:dyDescent="0.25">
      <c r="A1497" s="24">
        <v>1496</v>
      </c>
      <c r="B1497" s="24">
        <v>509833</v>
      </c>
      <c r="C1497" s="24" t="s">
        <v>2423</v>
      </c>
      <c r="D1497" s="24">
        <v>34</v>
      </c>
      <c r="E1497" s="24">
        <v>30</v>
      </c>
    </row>
    <row r="1498" spans="1:5" x14ac:dyDescent="0.25">
      <c r="A1498" s="24">
        <v>1497</v>
      </c>
      <c r="B1498" s="24">
        <v>520471</v>
      </c>
      <c r="C1498" s="24" t="s">
        <v>2424</v>
      </c>
      <c r="D1498" s="24">
        <v>60</v>
      </c>
      <c r="E1498" s="24">
        <v>56</v>
      </c>
    </row>
    <row r="1499" spans="1:5" x14ac:dyDescent="0.25">
      <c r="A1499" s="24">
        <v>1498</v>
      </c>
      <c r="B1499" s="24">
        <v>545686</v>
      </c>
      <c r="C1499" s="24" t="s">
        <v>4231</v>
      </c>
      <c r="D1499" s="24">
        <v>24</v>
      </c>
      <c r="E1499" s="24">
        <v>20</v>
      </c>
    </row>
    <row r="1500" spans="1:5" x14ac:dyDescent="0.25">
      <c r="A1500" s="24">
        <v>1499</v>
      </c>
      <c r="B1500" s="24">
        <v>500569</v>
      </c>
      <c r="C1500" s="24" t="s">
        <v>2427</v>
      </c>
      <c r="D1500" s="24">
        <v>27</v>
      </c>
      <c r="E1500" s="24">
        <v>23</v>
      </c>
    </row>
    <row r="1501" spans="1:5" x14ac:dyDescent="0.25">
      <c r="A1501" s="24">
        <v>1500</v>
      </c>
      <c r="B1501" s="24">
        <v>525961</v>
      </c>
      <c r="C1501" s="24" t="s">
        <v>2428</v>
      </c>
      <c r="D1501" s="24">
        <v>76</v>
      </c>
      <c r="E1501" s="24">
        <v>68</v>
      </c>
    </row>
    <row r="1502" spans="1:5" x14ac:dyDescent="0.25">
      <c r="A1502" s="24">
        <v>1501</v>
      </c>
      <c r="B1502" s="24">
        <v>523721</v>
      </c>
      <c r="C1502" s="24" t="s">
        <v>2429</v>
      </c>
      <c r="D1502" s="24">
        <v>61</v>
      </c>
      <c r="E1502" s="24">
        <v>57</v>
      </c>
    </row>
    <row r="1503" spans="1:5" x14ac:dyDescent="0.25">
      <c r="A1503" s="24">
        <v>1502</v>
      </c>
      <c r="B1503" s="24">
        <v>507326</v>
      </c>
      <c r="C1503" s="24" t="s">
        <v>2431</v>
      </c>
      <c r="D1503" s="24">
        <v>11</v>
      </c>
      <c r="E1503" s="24">
        <v>7</v>
      </c>
    </row>
    <row r="1504" spans="1:5" x14ac:dyDescent="0.25">
      <c r="A1504" s="24">
        <v>1503</v>
      </c>
      <c r="B1504" s="24">
        <v>528871</v>
      </c>
      <c r="C1504" s="24" t="s">
        <v>2432</v>
      </c>
      <c r="D1504" s="24">
        <v>68</v>
      </c>
      <c r="E1504" s="24">
        <v>64</v>
      </c>
    </row>
    <row r="1505" spans="1:5" x14ac:dyDescent="0.25">
      <c r="A1505" s="24">
        <v>1504</v>
      </c>
      <c r="B1505" s="24">
        <v>513377</v>
      </c>
      <c r="C1505" s="24" t="s">
        <v>2433</v>
      </c>
      <c r="D1505" s="24">
        <v>23</v>
      </c>
      <c r="E1505" s="24">
        <v>19</v>
      </c>
    </row>
    <row r="1506" spans="1:5" x14ac:dyDescent="0.25">
      <c r="A1506" s="24">
        <v>1505</v>
      </c>
      <c r="B1506" s="24">
        <v>527564</v>
      </c>
      <c r="C1506" s="24" t="s">
        <v>2434</v>
      </c>
      <c r="D1506" s="24">
        <v>67</v>
      </c>
      <c r="E1506" s="24">
        <v>63</v>
      </c>
    </row>
    <row r="1507" spans="1:5" x14ac:dyDescent="0.25">
      <c r="A1507" s="24">
        <v>1506</v>
      </c>
      <c r="B1507" s="24">
        <v>519596</v>
      </c>
      <c r="C1507" s="24" t="s">
        <v>2435</v>
      </c>
      <c r="D1507" s="24">
        <v>67</v>
      </c>
      <c r="E1507" s="24">
        <v>63</v>
      </c>
    </row>
    <row r="1508" spans="1:5" x14ac:dyDescent="0.25">
      <c r="A1508" s="24">
        <v>1507</v>
      </c>
      <c r="B1508" s="24">
        <v>501778</v>
      </c>
      <c r="C1508" s="24" t="s">
        <v>2436</v>
      </c>
      <c r="D1508" s="24">
        <v>9</v>
      </c>
      <c r="E1508" s="24">
        <v>5</v>
      </c>
    </row>
    <row r="1509" spans="1:5" x14ac:dyDescent="0.25">
      <c r="A1509" s="24">
        <v>1508</v>
      </c>
      <c r="B1509" s="24">
        <v>505153</v>
      </c>
      <c r="C1509" s="24" t="s">
        <v>2437</v>
      </c>
      <c r="D1509" s="24">
        <v>16</v>
      </c>
      <c r="E1509" s="24">
        <v>12</v>
      </c>
    </row>
    <row r="1510" spans="1:5" x14ac:dyDescent="0.25">
      <c r="A1510" s="24">
        <v>1509</v>
      </c>
      <c r="B1510" s="24">
        <v>520489</v>
      </c>
      <c r="C1510" s="24" t="s">
        <v>2438</v>
      </c>
      <c r="D1510" s="24">
        <v>64</v>
      </c>
      <c r="E1510" s="24">
        <v>60</v>
      </c>
    </row>
    <row r="1511" spans="1:5" x14ac:dyDescent="0.25">
      <c r="A1511" s="24">
        <v>1510</v>
      </c>
      <c r="B1511" s="24">
        <v>501786</v>
      </c>
      <c r="C1511" s="24" t="s">
        <v>2439</v>
      </c>
      <c r="D1511" s="24">
        <v>9</v>
      </c>
      <c r="E1511" s="24">
        <v>5</v>
      </c>
    </row>
    <row r="1512" spans="1:5" x14ac:dyDescent="0.25">
      <c r="A1512" s="24">
        <v>1511</v>
      </c>
      <c r="B1512" s="24">
        <v>503371</v>
      </c>
      <c r="C1512" s="24" t="s">
        <v>2440</v>
      </c>
      <c r="D1512" s="24">
        <v>28</v>
      </c>
      <c r="E1512" s="24">
        <v>24</v>
      </c>
    </row>
    <row r="1513" spans="1:5" x14ac:dyDescent="0.25">
      <c r="A1513" s="24">
        <v>1512</v>
      </c>
      <c r="B1513" s="24">
        <v>528587</v>
      </c>
      <c r="C1513" s="24" t="s">
        <v>2441</v>
      </c>
      <c r="D1513" s="24">
        <v>79</v>
      </c>
      <c r="E1513" s="24">
        <v>71</v>
      </c>
    </row>
    <row r="1514" spans="1:5" x14ac:dyDescent="0.25">
      <c r="A1514" s="24">
        <v>1513</v>
      </c>
      <c r="B1514" s="24">
        <v>518654</v>
      </c>
      <c r="C1514" s="24" t="s">
        <v>2442</v>
      </c>
      <c r="D1514" s="24">
        <v>53</v>
      </c>
      <c r="E1514" s="24">
        <v>49</v>
      </c>
    </row>
    <row r="1515" spans="1:5" x14ac:dyDescent="0.25">
      <c r="A1515" s="24">
        <v>1514</v>
      </c>
      <c r="B1515" s="24">
        <v>528889</v>
      </c>
      <c r="C1515" s="24" t="s">
        <v>2443</v>
      </c>
      <c r="D1515" s="24">
        <v>68</v>
      </c>
      <c r="E1515" s="24">
        <v>64</v>
      </c>
    </row>
    <row r="1516" spans="1:5" x14ac:dyDescent="0.25">
      <c r="A1516" s="24">
        <v>1515</v>
      </c>
      <c r="B1516" s="24">
        <v>508772</v>
      </c>
      <c r="C1516" s="24" t="s">
        <v>2444</v>
      </c>
      <c r="D1516" s="24">
        <v>45</v>
      </c>
      <c r="E1516" s="24">
        <v>41</v>
      </c>
    </row>
    <row r="1517" spans="1:5" x14ac:dyDescent="0.25">
      <c r="A1517" s="24">
        <v>1516</v>
      </c>
      <c r="B1517" s="24">
        <v>522279</v>
      </c>
      <c r="C1517" s="24" t="s">
        <v>2445</v>
      </c>
      <c r="D1517" s="24">
        <v>75</v>
      </c>
      <c r="E1517" s="24">
        <v>67</v>
      </c>
    </row>
    <row r="1518" spans="1:5" x14ac:dyDescent="0.25">
      <c r="A1518" s="24">
        <v>1517</v>
      </c>
      <c r="B1518" s="24">
        <v>524867</v>
      </c>
      <c r="C1518" s="24" t="s">
        <v>2450</v>
      </c>
      <c r="D1518" s="24">
        <v>62</v>
      </c>
      <c r="E1518" s="24">
        <v>58</v>
      </c>
    </row>
    <row r="1519" spans="1:5" x14ac:dyDescent="0.25">
      <c r="A1519" s="24">
        <v>1518</v>
      </c>
      <c r="B1519" s="24">
        <v>527572</v>
      </c>
      <c r="C1519" s="24" t="s">
        <v>2451</v>
      </c>
      <c r="D1519" s="24">
        <v>66</v>
      </c>
      <c r="E1519" s="24">
        <v>62</v>
      </c>
    </row>
    <row r="1520" spans="1:5" x14ac:dyDescent="0.25">
      <c r="A1520" s="24">
        <v>1519</v>
      </c>
      <c r="B1520" s="24">
        <v>519600</v>
      </c>
      <c r="C1520" s="24" t="s">
        <v>2452</v>
      </c>
      <c r="D1520" s="24">
        <v>56</v>
      </c>
      <c r="E1520" s="24">
        <v>52</v>
      </c>
    </row>
    <row r="1521" spans="1:5" x14ac:dyDescent="0.25">
      <c r="A1521" s="24">
        <v>1520</v>
      </c>
      <c r="B1521" s="24">
        <v>513385</v>
      </c>
      <c r="C1521" s="24" t="s">
        <v>2285</v>
      </c>
      <c r="D1521" s="24">
        <v>17</v>
      </c>
      <c r="E1521" s="24">
        <v>13</v>
      </c>
    </row>
    <row r="1522" spans="1:5" x14ac:dyDescent="0.25">
      <c r="A1522" s="24">
        <v>1521</v>
      </c>
      <c r="B1522" s="24">
        <v>580309</v>
      </c>
      <c r="C1522" s="24" t="s">
        <v>2285</v>
      </c>
      <c r="D1522" s="24">
        <v>48</v>
      </c>
      <c r="E1522" s="24">
        <v>44</v>
      </c>
    </row>
    <row r="1523" spans="1:5" x14ac:dyDescent="0.25">
      <c r="A1523" s="24">
        <v>1522</v>
      </c>
      <c r="B1523" s="24">
        <v>580252</v>
      </c>
      <c r="C1523" s="24" t="s">
        <v>1583</v>
      </c>
      <c r="D1523" s="24">
        <v>74</v>
      </c>
      <c r="E1523" s="24">
        <v>66</v>
      </c>
    </row>
    <row r="1524" spans="1:5" x14ac:dyDescent="0.25">
      <c r="A1524" s="24">
        <v>1523</v>
      </c>
      <c r="B1524" s="24">
        <v>508098</v>
      </c>
      <c r="C1524" s="24" t="s">
        <v>2457</v>
      </c>
      <c r="D1524" s="24">
        <v>8</v>
      </c>
      <c r="E1524" s="24">
        <v>3</v>
      </c>
    </row>
    <row r="1525" spans="1:5" x14ac:dyDescent="0.25">
      <c r="A1525" s="24">
        <v>1524</v>
      </c>
      <c r="B1525" s="24">
        <v>524875</v>
      </c>
      <c r="C1525" s="24" t="s">
        <v>2458</v>
      </c>
      <c r="D1525" s="24">
        <v>63</v>
      </c>
      <c r="E1525" s="24">
        <v>59</v>
      </c>
    </row>
    <row r="1526" spans="1:5" x14ac:dyDescent="0.25">
      <c r="A1526" s="24">
        <v>1525</v>
      </c>
      <c r="B1526" s="24">
        <v>527581</v>
      </c>
      <c r="C1526" s="24" t="s">
        <v>2459</v>
      </c>
      <c r="D1526" s="24">
        <v>66</v>
      </c>
      <c r="E1526" s="24">
        <v>62</v>
      </c>
    </row>
    <row r="1527" spans="1:5" x14ac:dyDescent="0.25">
      <c r="A1527" s="24">
        <v>1526</v>
      </c>
      <c r="B1527" s="24">
        <v>524883</v>
      </c>
      <c r="C1527" s="24" t="s">
        <v>2460</v>
      </c>
      <c r="D1527" s="24">
        <v>62</v>
      </c>
      <c r="E1527" s="24">
        <v>58</v>
      </c>
    </row>
    <row r="1528" spans="1:5" x14ac:dyDescent="0.25">
      <c r="A1528" s="24">
        <v>1527</v>
      </c>
      <c r="B1528" s="24">
        <v>527599</v>
      </c>
      <c r="C1528" s="24" t="s">
        <v>2461</v>
      </c>
      <c r="D1528" s="24">
        <v>67</v>
      </c>
      <c r="E1528" s="24">
        <v>63</v>
      </c>
    </row>
    <row r="1529" spans="1:5" x14ac:dyDescent="0.25">
      <c r="A1529" s="24">
        <v>1528</v>
      </c>
      <c r="B1529" s="24">
        <v>511617</v>
      </c>
      <c r="C1529" s="24" t="s">
        <v>2462</v>
      </c>
      <c r="D1529" s="24">
        <v>49</v>
      </c>
      <c r="E1529" s="24">
        <v>45</v>
      </c>
    </row>
    <row r="1530" spans="1:5" x14ac:dyDescent="0.25">
      <c r="A1530" s="24">
        <v>1529</v>
      </c>
      <c r="B1530" s="24">
        <v>527602</v>
      </c>
      <c r="C1530" s="24" t="s">
        <v>2466</v>
      </c>
      <c r="D1530" s="24">
        <v>67</v>
      </c>
      <c r="E1530" s="24">
        <v>63</v>
      </c>
    </row>
    <row r="1531" spans="1:5" x14ac:dyDescent="0.25">
      <c r="A1531" s="24">
        <v>1530</v>
      </c>
      <c r="B1531" s="24">
        <v>523739</v>
      </c>
      <c r="C1531" s="24" t="s">
        <v>2467</v>
      </c>
      <c r="D1531" s="24">
        <v>58</v>
      </c>
      <c r="E1531" s="24">
        <v>54</v>
      </c>
    </row>
    <row r="1532" spans="1:5" x14ac:dyDescent="0.25">
      <c r="A1532" s="24">
        <v>1531</v>
      </c>
      <c r="B1532" s="24">
        <v>523747</v>
      </c>
      <c r="C1532" s="24" t="s">
        <v>2468</v>
      </c>
      <c r="D1532" s="24">
        <v>61</v>
      </c>
      <c r="E1532" s="24">
        <v>57</v>
      </c>
    </row>
    <row r="1533" spans="1:5" x14ac:dyDescent="0.25">
      <c r="A1533" s="24">
        <v>1532</v>
      </c>
      <c r="B1533" s="24">
        <v>543357</v>
      </c>
      <c r="C1533" s="24" t="s">
        <v>2469</v>
      </c>
      <c r="D1533" s="24">
        <v>78</v>
      </c>
      <c r="E1533" s="24">
        <v>70</v>
      </c>
    </row>
    <row r="1534" spans="1:5" x14ac:dyDescent="0.25">
      <c r="A1534" s="24">
        <v>1533</v>
      </c>
      <c r="B1534" s="24">
        <v>506231</v>
      </c>
      <c r="C1534" s="24" t="s">
        <v>2470</v>
      </c>
      <c r="D1534" s="24">
        <v>24</v>
      </c>
      <c r="E1534" s="24">
        <v>20</v>
      </c>
    </row>
    <row r="1535" spans="1:5" x14ac:dyDescent="0.25">
      <c r="A1535" s="24">
        <v>1534</v>
      </c>
      <c r="B1535" s="24">
        <v>543365</v>
      </c>
      <c r="C1535" s="24" t="s">
        <v>2471</v>
      </c>
      <c r="D1535" s="24">
        <v>69</v>
      </c>
      <c r="E1535" s="24">
        <v>65</v>
      </c>
    </row>
    <row r="1536" spans="1:5" x14ac:dyDescent="0.25">
      <c r="A1536" s="24">
        <v>1535</v>
      </c>
      <c r="B1536" s="24">
        <v>526908</v>
      </c>
      <c r="C1536" s="24" t="s">
        <v>2472</v>
      </c>
      <c r="D1536" s="24">
        <v>65</v>
      </c>
      <c r="E1536" s="24">
        <v>61</v>
      </c>
    </row>
    <row r="1537" spans="1:5" x14ac:dyDescent="0.25">
      <c r="A1537" s="24">
        <v>1536</v>
      </c>
      <c r="B1537" s="24">
        <v>501255</v>
      </c>
      <c r="C1537" s="24" t="s">
        <v>2474</v>
      </c>
      <c r="D1537" s="24">
        <v>25</v>
      </c>
      <c r="E1537" s="24">
        <v>21</v>
      </c>
    </row>
    <row r="1538" spans="1:5" x14ac:dyDescent="0.25">
      <c r="A1538" s="24">
        <v>1537</v>
      </c>
      <c r="B1538" s="24">
        <v>500739</v>
      </c>
      <c r="C1538" s="24" t="s">
        <v>3217</v>
      </c>
      <c r="D1538" s="24">
        <v>29</v>
      </c>
      <c r="E1538" s="24">
        <v>25</v>
      </c>
    </row>
    <row r="1539" spans="1:5" x14ac:dyDescent="0.25">
      <c r="A1539" s="24">
        <v>1538</v>
      </c>
      <c r="B1539" s="24">
        <v>517071</v>
      </c>
      <c r="C1539" s="24" t="s">
        <v>2475</v>
      </c>
      <c r="D1539" s="24">
        <v>44</v>
      </c>
      <c r="E1539" s="24">
        <v>40</v>
      </c>
    </row>
    <row r="1540" spans="1:5" x14ac:dyDescent="0.25">
      <c r="A1540" s="24">
        <v>1539</v>
      </c>
      <c r="B1540" s="24">
        <v>508101</v>
      </c>
      <c r="C1540" s="24" t="s">
        <v>2477</v>
      </c>
      <c r="D1540" s="24">
        <v>7</v>
      </c>
      <c r="E1540" s="24">
        <v>2</v>
      </c>
    </row>
    <row r="1541" spans="1:5" x14ac:dyDescent="0.25">
      <c r="A1541" s="24">
        <v>1540</v>
      </c>
      <c r="B1541" s="24">
        <v>520497</v>
      </c>
      <c r="C1541" s="24" t="s">
        <v>2478</v>
      </c>
      <c r="D1541" s="24">
        <v>57</v>
      </c>
      <c r="E1541" s="24">
        <v>53</v>
      </c>
    </row>
    <row r="1542" spans="1:5" x14ac:dyDescent="0.25">
      <c r="A1542" s="24">
        <v>1541</v>
      </c>
      <c r="B1542" s="24">
        <v>501263</v>
      </c>
      <c r="C1542" s="24" t="s">
        <v>2480</v>
      </c>
      <c r="D1542" s="24">
        <v>25</v>
      </c>
      <c r="E1542" s="24">
        <v>21</v>
      </c>
    </row>
    <row r="1543" spans="1:5" x14ac:dyDescent="0.25">
      <c r="A1543" s="24">
        <v>1542</v>
      </c>
      <c r="B1543" s="24">
        <v>506249</v>
      </c>
      <c r="C1543" s="24" t="s">
        <v>2481</v>
      </c>
      <c r="D1543" s="24">
        <v>19</v>
      </c>
      <c r="E1543" s="24">
        <v>15</v>
      </c>
    </row>
    <row r="1544" spans="1:5" x14ac:dyDescent="0.25">
      <c r="A1544" s="24">
        <v>1543</v>
      </c>
      <c r="B1544" s="24">
        <v>506257</v>
      </c>
      <c r="C1544" s="24" t="s">
        <v>2482</v>
      </c>
      <c r="D1544" s="24">
        <v>19</v>
      </c>
      <c r="E1544" s="24">
        <v>15</v>
      </c>
    </row>
    <row r="1545" spans="1:5" x14ac:dyDescent="0.25">
      <c r="A1545" s="24">
        <v>1544</v>
      </c>
      <c r="B1545" s="24">
        <v>516210</v>
      </c>
      <c r="C1545" s="24" t="s">
        <v>2483</v>
      </c>
      <c r="D1545" s="24">
        <v>52</v>
      </c>
      <c r="E1545" s="24">
        <v>48</v>
      </c>
    </row>
    <row r="1546" spans="1:5" x14ac:dyDescent="0.25">
      <c r="A1546" s="24">
        <v>1545</v>
      </c>
      <c r="B1546" s="24">
        <v>500577</v>
      </c>
      <c r="C1546" s="24" t="s">
        <v>2486</v>
      </c>
      <c r="D1546" s="24">
        <v>27</v>
      </c>
      <c r="E1546" s="24">
        <v>23</v>
      </c>
    </row>
    <row r="1547" spans="1:5" x14ac:dyDescent="0.25">
      <c r="A1547" s="24">
        <v>1546</v>
      </c>
      <c r="B1547" s="24">
        <v>517801</v>
      </c>
      <c r="C1547" s="24" t="s">
        <v>2487</v>
      </c>
      <c r="D1547" s="24">
        <v>42</v>
      </c>
      <c r="E1547" s="24">
        <v>38</v>
      </c>
    </row>
    <row r="1548" spans="1:5" x14ac:dyDescent="0.25">
      <c r="A1548" s="24">
        <v>1547</v>
      </c>
      <c r="B1548" s="24">
        <v>513407</v>
      </c>
      <c r="C1548" s="24" t="s">
        <v>2489</v>
      </c>
      <c r="D1548" s="24">
        <v>23</v>
      </c>
      <c r="E1548" s="24">
        <v>19</v>
      </c>
    </row>
    <row r="1549" spans="1:5" x14ac:dyDescent="0.25">
      <c r="A1549" s="24">
        <v>1548</v>
      </c>
      <c r="B1549" s="24">
        <v>503398</v>
      </c>
      <c r="C1549" s="24" t="s">
        <v>2490</v>
      </c>
      <c r="D1549" s="24">
        <v>28</v>
      </c>
      <c r="E1549" s="24">
        <v>24</v>
      </c>
    </row>
    <row r="1550" spans="1:5" x14ac:dyDescent="0.25">
      <c r="A1550" s="24">
        <v>1549</v>
      </c>
      <c r="B1550" s="24">
        <v>580384</v>
      </c>
      <c r="C1550" s="24" t="s">
        <v>2491</v>
      </c>
      <c r="D1550" s="24">
        <v>50</v>
      </c>
      <c r="E1550" s="24">
        <v>46</v>
      </c>
    </row>
    <row r="1551" spans="1:5" x14ac:dyDescent="0.25">
      <c r="A1551" s="24">
        <v>1550</v>
      </c>
      <c r="B1551" s="24">
        <v>521680</v>
      </c>
      <c r="C1551" s="24" t="s">
        <v>2494</v>
      </c>
      <c r="D1551" s="24">
        <v>74</v>
      </c>
      <c r="E1551" s="24">
        <v>72</v>
      </c>
    </row>
    <row r="1552" spans="1:5" x14ac:dyDescent="0.25">
      <c r="A1552" s="24">
        <v>1551</v>
      </c>
      <c r="B1552" s="24">
        <v>519618</v>
      </c>
      <c r="C1552" s="24" t="s">
        <v>2495</v>
      </c>
      <c r="D1552" s="24">
        <v>56</v>
      </c>
      <c r="E1552" s="24">
        <v>52</v>
      </c>
    </row>
    <row r="1553" spans="1:5" x14ac:dyDescent="0.25">
      <c r="A1553" s="24">
        <v>1552</v>
      </c>
      <c r="B1553" s="24">
        <v>504564</v>
      </c>
      <c r="C1553" s="24" t="s">
        <v>2496</v>
      </c>
      <c r="D1553" s="24">
        <v>14</v>
      </c>
      <c r="E1553" s="24">
        <v>10</v>
      </c>
    </row>
    <row r="1554" spans="1:5" x14ac:dyDescent="0.25">
      <c r="A1554" s="24">
        <v>1553</v>
      </c>
      <c r="B1554" s="24">
        <v>521698</v>
      </c>
      <c r="C1554" s="24" t="s">
        <v>2498</v>
      </c>
      <c r="D1554" s="24">
        <v>74</v>
      </c>
      <c r="E1554" s="24">
        <v>72</v>
      </c>
    </row>
    <row r="1555" spans="1:5" x14ac:dyDescent="0.25">
      <c r="A1555" s="24">
        <v>1554</v>
      </c>
      <c r="B1555" s="24">
        <v>522791</v>
      </c>
      <c r="C1555" s="24" t="s">
        <v>2499</v>
      </c>
      <c r="D1555" s="24">
        <v>75</v>
      </c>
      <c r="E1555" s="24">
        <v>67</v>
      </c>
    </row>
    <row r="1556" spans="1:5" x14ac:dyDescent="0.25">
      <c r="A1556" s="24">
        <v>1555</v>
      </c>
      <c r="B1556" s="24">
        <v>507342</v>
      </c>
      <c r="C1556" s="24" t="s">
        <v>2500</v>
      </c>
      <c r="D1556" s="24">
        <v>12</v>
      </c>
      <c r="E1556" s="24">
        <v>8</v>
      </c>
    </row>
    <row r="1557" spans="1:5" x14ac:dyDescent="0.25">
      <c r="A1557" s="24">
        <v>1556</v>
      </c>
      <c r="B1557" s="24">
        <v>506265</v>
      </c>
      <c r="C1557" s="24" t="s">
        <v>2501</v>
      </c>
      <c r="D1557" s="24">
        <v>19</v>
      </c>
      <c r="E1557" s="24">
        <v>15</v>
      </c>
    </row>
    <row r="1558" spans="1:5" x14ac:dyDescent="0.25">
      <c r="A1558" s="24">
        <v>1557</v>
      </c>
      <c r="B1558" s="24">
        <v>504572</v>
      </c>
      <c r="C1558" s="24" t="s">
        <v>2502</v>
      </c>
      <c r="D1558" s="24">
        <v>13</v>
      </c>
      <c r="E1558" s="24">
        <v>9</v>
      </c>
    </row>
    <row r="1559" spans="1:5" x14ac:dyDescent="0.25">
      <c r="A1559" s="24">
        <v>1558</v>
      </c>
      <c r="B1559" s="24">
        <v>508110</v>
      </c>
      <c r="C1559" s="24" t="s">
        <v>2505</v>
      </c>
      <c r="D1559" s="24">
        <v>8</v>
      </c>
      <c r="E1559" s="24">
        <v>3</v>
      </c>
    </row>
    <row r="1560" spans="1:5" x14ac:dyDescent="0.25">
      <c r="A1560" s="24">
        <v>1559</v>
      </c>
      <c r="B1560" s="24">
        <v>503924</v>
      </c>
      <c r="C1560" s="24" t="s">
        <v>2507</v>
      </c>
      <c r="D1560" s="24">
        <v>10</v>
      </c>
      <c r="E1560" s="24">
        <v>6</v>
      </c>
    </row>
    <row r="1561" spans="1:5" x14ac:dyDescent="0.25">
      <c r="A1561" s="24">
        <v>1560</v>
      </c>
      <c r="B1561" s="24">
        <v>512451</v>
      </c>
      <c r="C1561" s="24" t="s">
        <v>2509</v>
      </c>
      <c r="D1561" s="24">
        <v>40</v>
      </c>
      <c r="E1561" s="24">
        <v>36</v>
      </c>
    </row>
    <row r="1562" spans="1:5" x14ac:dyDescent="0.25">
      <c r="A1562" s="24">
        <v>1561</v>
      </c>
      <c r="B1562" s="24">
        <v>512460</v>
      </c>
      <c r="C1562" s="24" t="s">
        <v>2510</v>
      </c>
      <c r="D1562" s="24">
        <v>40</v>
      </c>
      <c r="E1562" s="24">
        <v>36</v>
      </c>
    </row>
    <row r="1563" spans="1:5" x14ac:dyDescent="0.25">
      <c r="A1563" s="24">
        <v>1562</v>
      </c>
      <c r="B1563" s="24">
        <v>508799</v>
      </c>
      <c r="C1563" s="24" t="s">
        <v>2511</v>
      </c>
      <c r="D1563" s="24">
        <v>43</v>
      </c>
      <c r="E1563" s="24">
        <v>39</v>
      </c>
    </row>
    <row r="1564" spans="1:5" x14ac:dyDescent="0.25">
      <c r="A1564" s="24">
        <v>1563</v>
      </c>
      <c r="B1564" s="24">
        <v>524905</v>
      </c>
      <c r="C1564" s="24" t="s">
        <v>2512</v>
      </c>
      <c r="D1564" s="24">
        <v>62</v>
      </c>
      <c r="E1564" s="24">
        <v>58</v>
      </c>
    </row>
    <row r="1565" spans="1:5" x14ac:dyDescent="0.25">
      <c r="A1565" s="24">
        <v>1564</v>
      </c>
      <c r="B1565" s="24">
        <v>506273</v>
      </c>
      <c r="C1565" s="24" t="s">
        <v>4232</v>
      </c>
      <c r="D1565" s="24">
        <v>24</v>
      </c>
      <c r="E1565" s="24">
        <v>20</v>
      </c>
    </row>
    <row r="1566" spans="1:5" x14ac:dyDescent="0.25">
      <c r="A1566" s="24">
        <v>1565</v>
      </c>
      <c r="B1566" s="24">
        <v>508802</v>
      </c>
      <c r="C1566" s="24" t="s">
        <v>2515</v>
      </c>
      <c r="D1566" s="24">
        <v>43</v>
      </c>
      <c r="E1566" s="24">
        <v>39</v>
      </c>
    </row>
    <row r="1567" spans="1:5" x14ac:dyDescent="0.25">
      <c r="A1567" s="24">
        <v>1566</v>
      </c>
      <c r="B1567" s="24">
        <v>508781</v>
      </c>
      <c r="C1567" s="24" t="s">
        <v>2497</v>
      </c>
      <c r="D1567" s="24">
        <v>43</v>
      </c>
      <c r="E1567" s="24">
        <v>39</v>
      </c>
    </row>
    <row r="1568" spans="1:5" x14ac:dyDescent="0.25">
      <c r="A1568" s="24">
        <v>1567</v>
      </c>
      <c r="B1568" s="24">
        <v>527611</v>
      </c>
      <c r="C1568" s="24" t="s">
        <v>2516</v>
      </c>
      <c r="D1568" s="24">
        <v>66</v>
      </c>
      <c r="E1568" s="24">
        <v>62</v>
      </c>
    </row>
    <row r="1569" spans="1:5" x14ac:dyDescent="0.25">
      <c r="A1569" s="24">
        <v>1568</v>
      </c>
      <c r="B1569" s="24">
        <v>511625</v>
      </c>
      <c r="C1569" s="24" t="s">
        <v>2517</v>
      </c>
      <c r="D1569" s="24">
        <v>48</v>
      </c>
      <c r="E1569" s="24">
        <v>44</v>
      </c>
    </row>
    <row r="1570" spans="1:5" x14ac:dyDescent="0.25">
      <c r="A1570" s="24">
        <v>1569</v>
      </c>
      <c r="B1570" s="24">
        <v>501271</v>
      </c>
      <c r="C1570" s="24" t="s">
        <v>2518</v>
      </c>
      <c r="D1570" s="24">
        <v>25</v>
      </c>
      <c r="E1570" s="24">
        <v>21</v>
      </c>
    </row>
    <row r="1571" spans="1:5" x14ac:dyDescent="0.25">
      <c r="A1571" s="24">
        <v>1570</v>
      </c>
      <c r="B1571" s="24">
        <v>521701</v>
      </c>
      <c r="C1571" s="24" t="s">
        <v>2519</v>
      </c>
      <c r="D1571" s="24">
        <v>74</v>
      </c>
      <c r="E1571" s="24">
        <v>66</v>
      </c>
    </row>
    <row r="1572" spans="1:5" x14ac:dyDescent="0.25">
      <c r="A1572" s="24">
        <v>1571</v>
      </c>
      <c r="B1572" s="24">
        <v>516228</v>
      </c>
      <c r="C1572" s="24" t="s">
        <v>2520</v>
      </c>
      <c r="D1572" s="24">
        <v>52</v>
      </c>
      <c r="E1572" s="24">
        <v>48</v>
      </c>
    </row>
    <row r="1573" spans="1:5" x14ac:dyDescent="0.25">
      <c r="A1573" s="24">
        <v>1572</v>
      </c>
      <c r="B1573" s="24">
        <v>525987</v>
      </c>
      <c r="C1573" s="24" t="s">
        <v>2522</v>
      </c>
      <c r="D1573" s="24">
        <v>50</v>
      </c>
      <c r="E1573" s="24">
        <v>46</v>
      </c>
    </row>
    <row r="1574" spans="1:5" x14ac:dyDescent="0.25">
      <c r="A1574" s="24">
        <v>1573</v>
      </c>
      <c r="B1574" s="24">
        <v>525995</v>
      </c>
      <c r="C1574" s="24" t="s">
        <v>2523</v>
      </c>
      <c r="D1574" s="24">
        <v>50</v>
      </c>
      <c r="E1574" s="24">
        <v>46</v>
      </c>
    </row>
    <row r="1575" spans="1:5" x14ac:dyDescent="0.25">
      <c r="A1575" s="24">
        <v>1574</v>
      </c>
      <c r="B1575" s="24">
        <v>526002</v>
      </c>
      <c r="C1575" s="24" t="s">
        <v>2524</v>
      </c>
      <c r="D1575" s="24">
        <v>50</v>
      </c>
      <c r="E1575" s="24">
        <v>46</v>
      </c>
    </row>
    <row r="1576" spans="1:5" x14ac:dyDescent="0.25">
      <c r="A1576" s="24">
        <v>1575</v>
      </c>
      <c r="B1576" s="24">
        <v>526011</v>
      </c>
      <c r="C1576" s="24" t="s">
        <v>2525</v>
      </c>
      <c r="D1576" s="24">
        <v>50</v>
      </c>
      <c r="E1576" s="24">
        <v>46</v>
      </c>
    </row>
    <row r="1577" spans="1:5" x14ac:dyDescent="0.25">
      <c r="A1577" s="24">
        <v>1576</v>
      </c>
      <c r="B1577" s="24">
        <v>526029</v>
      </c>
      <c r="C1577" s="24" t="s">
        <v>2526</v>
      </c>
      <c r="D1577" s="24">
        <v>50</v>
      </c>
      <c r="E1577" s="24">
        <v>46</v>
      </c>
    </row>
    <row r="1578" spans="1:5" x14ac:dyDescent="0.25">
      <c r="A1578" s="24">
        <v>1577</v>
      </c>
      <c r="B1578" s="24">
        <v>509850</v>
      </c>
      <c r="C1578" s="24" t="s">
        <v>2527</v>
      </c>
      <c r="D1578" s="24">
        <v>38</v>
      </c>
      <c r="E1578" s="24">
        <v>34</v>
      </c>
    </row>
    <row r="1579" spans="1:5" x14ac:dyDescent="0.25">
      <c r="A1579" s="24">
        <v>1578</v>
      </c>
      <c r="B1579" s="24">
        <v>503401</v>
      </c>
      <c r="C1579" s="24" t="s">
        <v>2528</v>
      </c>
      <c r="D1579" s="24">
        <v>28</v>
      </c>
      <c r="E1579" s="24">
        <v>24</v>
      </c>
    </row>
    <row r="1580" spans="1:5" x14ac:dyDescent="0.25">
      <c r="A1580" s="24">
        <v>1579</v>
      </c>
      <c r="B1580" s="24">
        <v>504581</v>
      </c>
      <c r="C1580" s="24" t="s">
        <v>2529</v>
      </c>
      <c r="D1580" s="24">
        <v>18</v>
      </c>
      <c r="E1580" s="24">
        <v>14</v>
      </c>
    </row>
    <row r="1581" spans="1:5" x14ac:dyDescent="0.25">
      <c r="A1581" s="24">
        <v>1580</v>
      </c>
      <c r="B1581" s="24">
        <v>520501</v>
      </c>
      <c r="C1581" s="24" t="s">
        <v>2531</v>
      </c>
      <c r="D1581" s="24">
        <v>57</v>
      </c>
      <c r="E1581" s="24">
        <v>53</v>
      </c>
    </row>
    <row r="1582" spans="1:5" x14ac:dyDescent="0.25">
      <c r="A1582" s="24">
        <v>1581</v>
      </c>
      <c r="B1582" s="24">
        <v>511641</v>
      </c>
      <c r="C1582" s="24" t="s">
        <v>2532</v>
      </c>
      <c r="D1582" s="24">
        <v>48</v>
      </c>
      <c r="E1582" s="24">
        <v>44</v>
      </c>
    </row>
    <row r="1583" spans="1:5" x14ac:dyDescent="0.25">
      <c r="A1583" s="24">
        <v>1582</v>
      </c>
      <c r="B1583" s="24">
        <v>502570</v>
      </c>
      <c r="C1583" s="24" t="s">
        <v>2534</v>
      </c>
      <c r="D1583" s="24">
        <v>26</v>
      </c>
      <c r="E1583" s="24">
        <v>22</v>
      </c>
    </row>
    <row r="1584" spans="1:5" x14ac:dyDescent="0.25">
      <c r="A1584" s="24">
        <v>1583</v>
      </c>
      <c r="B1584" s="24">
        <v>508811</v>
      </c>
      <c r="C1584" s="24" t="s">
        <v>2535</v>
      </c>
      <c r="D1584" s="24">
        <v>45</v>
      </c>
      <c r="E1584" s="24">
        <v>41</v>
      </c>
    </row>
    <row r="1585" spans="1:5" x14ac:dyDescent="0.25">
      <c r="A1585" s="24">
        <v>1584</v>
      </c>
      <c r="B1585" s="24">
        <v>522805</v>
      </c>
      <c r="C1585" s="24" t="s">
        <v>2536</v>
      </c>
      <c r="D1585" s="24">
        <v>75</v>
      </c>
      <c r="E1585" s="24">
        <v>67</v>
      </c>
    </row>
    <row r="1586" spans="1:5" x14ac:dyDescent="0.25">
      <c r="A1586" s="24">
        <v>1585</v>
      </c>
      <c r="B1586" s="24">
        <v>505170</v>
      </c>
      <c r="C1586" s="24" t="s">
        <v>2538</v>
      </c>
      <c r="D1586" s="24">
        <v>20</v>
      </c>
      <c r="E1586" s="24">
        <v>16</v>
      </c>
    </row>
    <row r="1587" spans="1:5" x14ac:dyDescent="0.25">
      <c r="A1587" s="24">
        <v>1586</v>
      </c>
      <c r="B1587" s="24">
        <v>520519</v>
      </c>
      <c r="C1587" s="24" t="s">
        <v>2539</v>
      </c>
      <c r="D1587" s="24">
        <v>60</v>
      </c>
      <c r="E1587" s="24">
        <v>56</v>
      </c>
    </row>
    <row r="1588" spans="1:5" x14ac:dyDescent="0.25">
      <c r="A1588" s="24">
        <v>1587</v>
      </c>
      <c r="B1588" s="24">
        <v>507351</v>
      </c>
      <c r="C1588" s="24" t="s">
        <v>2540</v>
      </c>
      <c r="D1588" s="24">
        <v>15</v>
      </c>
      <c r="E1588" s="24">
        <v>11</v>
      </c>
    </row>
    <row r="1589" spans="1:5" x14ac:dyDescent="0.25">
      <c r="A1589" s="24">
        <v>1588</v>
      </c>
      <c r="B1589" s="24">
        <v>543373</v>
      </c>
      <c r="C1589" s="24" t="s">
        <v>2541</v>
      </c>
      <c r="D1589" s="24">
        <v>69</v>
      </c>
      <c r="E1589" s="24">
        <v>65</v>
      </c>
    </row>
    <row r="1590" spans="1:5" x14ac:dyDescent="0.25">
      <c r="A1590" s="24">
        <v>1589</v>
      </c>
      <c r="B1590" s="24">
        <v>509868</v>
      </c>
      <c r="C1590" s="24" t="s">
        <v>2542</v>
      </c>
      <c r="D1590" s="24">
        <v>38</v>
      </c>
      <c r="E1590" s="24">
        <v>34</v>
      </c>
    </row>
    <row r="1591" spans="1:5" x14ac:dyDescent="0.25">
      <c r="A1591" s="24">
        <v>1590</v>
      </c>
      <c r="B1591" s="24">
        <v>556092</v>
      </c>
      <c r="C1591" s="24" t="s">
        <v>3483</v>
      </c>
      <c r="D1591" s="24">
        <v>28</v>
      </c>
      <c r="E1591" s="24">
        <v>24</v>
      </c>
    </row>
    <row r="1592" spans="1:5" x14ac:dyDescent="0.25">
      <c r="A1592" s="24">
        <v>1591</v>
      </c>
      <c r="B1592" s="24">
        <v>526037</v>
      </c>
      <c r="C1592" s="24" t="s">
        <v>2545</v>
      </c>
      <c r="D1592" s="24">
        <v>50</v>
      </c>
      <c r="E1592" s="24">
        <v>46</v>
      </c>
    </row>
    <row r="1593" spans="1:5" x14ac:dyDescent="0.25">
      <c r="A1593" s="24">
        <v>1592</v>
      </c>
      <c r="B1593" s="24">
        <v>501930</v>
      </c>
      <c r="C1593" s="24" t="s">
        <v>3558</v>
      </c>
      <c r="D1593" s="24">
        <v>9</v>
      </c>
      <c r="E1593" s="24">
        <v>5</v>
      </c>
    </row>
    <row r="1594" spans="1:5" x14ac:dyDescent="0.25">
      <c r="A1594" s="24">
        <v>1593</v>
      </c>
      <c r="B1594" s="24">
        <v>512478</v>
      </c>
      <c r="C1594" s="24" t="s">
        <v>2547</v>
      </c>
      <c r="D1594" s="24">
        <v>37</v>
      </c>
      <c r="E1594" s="24">
        <v>33</v>
      </c>
    </row>
    <row r="1595" spans="1:5" x14ac:dyDescent="0.25">
      <c r="A1595" s="24">
        <v>1594</v>
      </c>
      <c r="B1595" s="24">
        <v>505196</v>
      </c>
      <c r="C1595" s="24" t="s">
        <v>2548</v>
      </c>
      <c r="D1595" s="24">
        <v>20</v>
      </c>
      <c r="E1595" s="24">
        <v>16</v>
      </c>
    </row>
    <row r="1596" spans="1:5" x14ac:dyDescent="0.25">
      <c r="A1596" s="24">
        <v>1595</v>
      </c>
      <c r="B1596" s="24">
        <v>505200</v>
      </c>
      <c r="C1596" s="24" t="s">
        <v>2549</v>
      </c>
      <c r="D1596" s="24">
        <v>16</v>
      </c>
      <c r="E1596" s="24">
        <v>12</v>
      </c>
    </row>
    <row r="1597" spans="1:5" x14ac:dyDescent="0.25">
      <c r="A1597" s="24">
        <v>1596</v>
      </c>
      <c r="B1597" s="24">
        <v>503932</v>
      </c>
      <c r="C1597" s="24" t="s">
        <v>2550</v>
      </c>
      <c r="D1597" s="24">
        <v>29</v>
      </c>
      <c r="E1597" s="24">
        <v>25</v>
      </c>
    </row>
    <row r="1598" spans="1:5" x14ac:dyDescent="0.25">
      <c r="A1598" s="24">
        <v>1597</v>
      </c>
      <c r="B1598" s="24">
        <v>517828</v>
      </c>
      <c r="C1598" s="24" t="s">
        <v>2551</v>
      </c>
      <c r="D1598" s="24">
        <v>42</v>
      </c>
      <c r="E1598" s="24">
        <v>38</v>
      </c>
    </row>
    <row r="1599" spans="1:5" x14ac:dyDescent="0.25">
      <c r="A1599" s="24">
        <v>1598</v>
      </c>
      <c r="B1599" s="24">
        <v>514209</v>
      </c>
      <c r="C1599" s="24" t="s">
        <v>4233</v>
      </c>
      <c r="D1599" s="24">
        <v>22</v>
      </c>
      <c r="E1599" s="24">
        <v>18</v>
      </c>
    </row>
    <row r="1600" spans="1:5" x14ac:dyDescent="0.25">
      <c r="A1600" s="24">
        <v>1599</v>
      </c>
      <c r="B1600" s="24">
        <v>520527</v>
      </c>
      <c r="C1600" s="24" t="s">
        <v>2554</v>
      </c>
      <c r="D1600" s="24">
        <v>57</v>
      </c>
      <c r="E1600" s="24">
        <v>53</v>
      </c>
    </row>
    <row r="1601" spans="1:5" x14ac:dyDescent="0.25">
      <c r="A1601" s="24">
        <v>1600</v>
      </c>
      <c r="B1601" s="24">
        <v>557285</v>
      </c>
      <c r="C1601" s="24" t="s">
        <v>793</v>
      </c>
      <c r="D1601" s="24">
        <v>43</v>
      </c>
      <c r="E1601" s="24">
        <v>39</v>
      </c>
    </row>
    <row r="1602" spans="1:5" x14ac:dyDescent="0.25">
      <c r="A1602" s="24">
        <v>1601</v>
      </c>
      <c r="B1602" s="24">
        <v>519626</v>
      </c>
      <c r="C1602" s="24" t="s">
        <v>2555</v>
      </c>
      <c r="D1602" s="24">
        <v>56</v>
      </c>
      <c r="E1602" s="24">
        <v>52</v>
      </c>
    </row>
    <row r="1603" spans="1:5" x14ac:dyDescent="0.25">
      <c r="A1603" s="24">
        <v>1602</v>
      </c>
      <c r="B1603" s="24">
        <v>524913</v>
      </c>
      <c r="C1603" s="24" t="s">
        <v>2555</v>
      </c>
      <c r="D1603" s="24">
        <v>62</v>
      </c>
      <c r="E1603" s="24">
        <v>58</v>
      </c>
    </row>
    <row r="1604" spans="1:5" x14ac:dyDescent="0.25">
      <c r="A1604" s="24">
        <v>1603</v>
      </c>
      <c r="B1604" s="24">
        <v>581305</v>
      </c>
      <c r="C1604" s="24" t="s">
        <v>2556</v>
      </c>
      <c r="D1604" s="24">
        <v>30</v>
      </c>
      <c r="E1604" s="24">
        <v>26</v>
      </c>
    </row>
    <row r="1605" spans="1:5" x14ac:dyDescent="0.25">
      <c r="A1605" s="24">
        <v>1604</v>
      </c>
      <c r="B1605" s="24">
        <v>500585</v>
      </c>
      <c r="C1605" s="24" t="s">
        <v>2557</v>
      </c>
      <c r="D1605" s="24">
        <v>31</v>
      </c>
      <c r="E1605" s="24">
        <v>27</v>
      </c>
    </row>
    <row r="1606" spans="1:5" x14ac:dyDescent="0.25">
      <c r="A1606" s="24">
        <v>1605</v>
      </c>
      <c r="B1606" s="24">
        <v>508829</v>
      </c>
      <c r="C1606" s="24" t="s">
        <v>2559</v>
      </c>
      <c r="D1606" s="24">
        <v>45</v>
      </c>
      <c r="E1606" s="24">
        <v>41</v>
      </c>
    </row>
    <row r="1607" spans="1:5" x14ac:dyDescent="0.25">
      <c r="A1607" s="24">
        <v>1606</v>
      </c>
      <c r="B1607" s="24">
        <v>505226</v>
      </c>
      <c r="C1607" s="24" t="s">
        <v>2560</v>
      </c>
      <c r="D1607" s="24">
        <v>30</v>
      </c>
      <c r="E1607" s="24">
        <v>26</v>
      </c>
    </row>
    <row r="1608" spans="1:5" x14ac:dyDescent="0.25">
      <c r="A1608" s="24">
        <v>1607</v>
      </c>
      <c r="B1608" s="24">
        <v>543381</v>
      </c>
      <c r="C1608" s="24" t="s">
        <v>2561</v>
      </c>
      <c r="D1608" s="24">
        <v>59</v>
      </c>
      <c r="E1608" s="24">
        <v>55</v>
      </c>
    </row>
    <row r="1609" spans="1:5" x14ac:dyDescent="0.25">
      <c r="A1609" s="24">
        <v>1608</v>
      </c>
      <c r="B1609" s="24">
        <v>506281</v>
      </c>
      <c r="C1609" s="24" t="s">
        <v>2562</v>
      </c>
      <c r="D1609" s="24">
        <v>24</v>
      </c>
      <c r="E1609" s="24">
        <v>20</v>
      </c>
    </row>
    <row r="1610" spans="1:5" x14ac:dyDescent="0.25">
      <c r="A1610" s="24">
        <v>1609</v>
      </c>
      <c r="B1610" s="24">
        <v>516236</v>
      </c>
      <c r="C1610" s="24" t="s">
        <v>2563</v>
      </c>
      <c r="D1610" s="24">
        <v>52</v>
      </c>
      <c r="E1610" s="24">
        <v>48</v>
      </c>
    </row>
    <row r="1611" spans="1:5" x14ac:dyDescent="0.25">
      <c r="A1611" s="24">
        <v>1610</v>
      </c>
      <c r="B1611" s="24">
        <v>506290</v>
      </c>
      <c r="C1611" s="24" t="s">
        <v>2566</v>
      </c>
      <c r="D1611" s="24">
        <v>24</v>
      </c>
      <c r="E1611" s="24">
        <v>20</v>
      </c>
    </row>
    <row r="1612" spans="1:5" x14ac:dyDescent="0.25">
      <c r="A1612" s="24">
        <v>1611</v>
      </c>
      <c r="B1612" s="24">
        <v>515205</v>
      </c>
      <c r="C1612" s="24" t="s">
        <v>2566</v>
      </c>
      <c r="D1612" s="24">
        <v>51</v>
      </c>
      <c r="E1612" s="24">
        <v>47</v>
      </c>
    </row>
    <row r="1613" spans="1:5" x14ac:dyDescent="0.25">
      <c r="A1613" s="24">
        <v>1612</v>
      </c>
      <c r="B1613" s="24">
        <v>509302</v>
      </c>
      <c r="C1613" s="24" t="s">
        <v>2567</v>
      </c>
      <c r="D1613" s="24">
        <v>35</v>
      </c>
      <c r="E1613" s="24">
        <v>31</v>
      </c>
    </row>
    <row r="1614" spans="1:5" x14ac:dyDescent="0.25">
      <c r="A1614" s="24">
        <v>1613</v>
      </c>
      <c r="B1614" s="24">
        <v>501280</v>
      </c>
      <c r="C1614" s="24" t="s">
        <v>2568</v>
      </c>
      <c r="D1614" s="24">
        <v>25</v>
      </c>
      <c r="E1614" s="24">
        <v>21</v>
      </c>
    </row>
    <row r="1615" spans="1:5" x14ac:dyDescent="0.25">
      <c r="A1615" s="24">
        <v>1614</v>
      </c>
      <c r="B1615" s="24">
        <v>500593</v>
      </c>
      <c r="C1615" s="24" t="s">
        <v>2569</v>
      </c>
      <c r="D1615" s="24">
        <v>31</v>
      </c>
      <c r="E1615" s="24">
        <v>27</v>
      </c>
    </row>
    <row r="1616" spans="1:5" x14ac:dyDescent="0.25">
      <c r="A1616" s="24">
        <v>1615</v>
      </c>
      <c r="B1616" s="24">
        <v>500607</v>
      </c>
      <c r="C1616" s="24" t="s">
        <v>2570</v>
      </c>
      <c r="D1616" s="24">
        <v>31</v>
      </c>
      <c r="E1616" s="24">
        <v>27</v>
      </c>
    </row>
    <row r="1617" spans="1:5" x14ac:dyDescent="0.25">
      <c r="A1617" s="24">
        <v>1616</v>
      </c>
      <c r="B1617" s="24">
        <v>514217</v>
      </c>
      <c r="C1617" s="24" t="s">
        <v>2570</v>
      </c>
      <c r="D1617" s="24">
        <v>22</v>
      </c>
      <c r="E1617" s="24">
        <v>18</v>
      </c>
    </row>
    <row r="1618" spans="1:5" x14ac:dyDescent="0.25">
      <c r="A1618" s="24">
        <v>1617</v>
      </c>
      <c r="B1618" s="24">
        <v>517089</v>
      </c>
      <c r="C1618" s="24" t="s">
        <v>2571</v>
      </c>
      <c r="D1618" s="24">
        <v>55</v>
      </c>
      <c r="E1618" s="24">
        <v>51</v>
      </c>
    </row>
    <row r="1619" spans="1:5" x14ac:dyDescent="0.25">
      <c r="A1619" s="24">
        <v>1618</v>
      </c>
      <c r="B1619" s="24">
        <v>558168</v>
      </c>
      <c r="C1619" s="24" t="s">
        <v>3702</v>
      </c>
      <c r="D1619" s="24">
        <v>42</v>
      </c>
      <c r="E1619" s="24">
        <v>38</v>
      </c>
    </row>
    <row r="1620" spans="1:5" x14ac:dyDescent="0.25">
      <c r="A1620" s="24">
        <v>1619</v>
      </c>
      <c r="B1620" s="24">
        <v>557447</v>
      </c>
      <c r="C1620" s="24" t="s">
        <v>2572</v>
      </c>
      <c r="D1620" s="24">
        <v>23</v>
      </c>
      <c r="E1620" s="24">
        <v>19</v>
      </c>
    </row>
    <row r="1621" spans="1:5" x14ac:dyDescent="0.25">
      <c r="A1621" s="24">
        <v>1620</v>
      </c>
      <c r="B1621" s="24">
        <v>500011</v>
      </c>
      <c r="C1621" s="24" t="s">
        <v>2573</v>
      </c>
      <c r="D1621" s="24">
        <v>27</v>
      </c>
      <c r="E1621" s="24">
        <v>23</v>
      </c>
    </row>
    <row r="1622" spans="1:5" x14ac:dyDescent="0.25">
      <c r="A1622" s="24">
        <v>1621</v>
      </c>
      <c r="B1622" s="24">
        <v>511668</v>
      </c>
      <c r="C1622" s="24" t="s">
        <v>2581</v>
      </c>
      <c r="D1622" s="24">
        <v>48</v>
      </c>
      <c r="E1622" s="24">
        <v>44</v>
      </c>
    </row>
    <row r="1623" spans="1:5" x14ac:dyDescent="0.25">
      <c r="A1623" s="24">
        <v>1622</v>
      </c>
      <c r="B1623" s="24">
        <v>505234</v>
      </c>
      <c r="C1623" s="24" t="s">
        <v>2584</v>
      </c>
      <c r="D1623" s="24">
        <v>30</v>
      </c>
      <c r="E1623" s="24">
        <v>26</v>
      </c>
    </row>
    <row r="1624" spans="1:5" x14ac:dyDescent="0.25">
      <c r="A1624" s="24">
        <v>1623</v>
      </c>
      <c r="B1624" s="24">
        <v>505242</v>
      </c>
      <c r="C1624" s="24" t="s">
        <v>2585</v>
      </c>
      <c r="D1624" s="24">
        <v>30</v>
      </c>
      <c r="E1624" s="24">
        <v>26</v>
      </c>
    </row>
    <row r="1625" spans="1:5" x14ac:dyDescent="0.25">
      <c r="A1625" s="24">
        <v>1624</v>
      </c>
      <c r="B1625" s="24">
        <v>556696</v>
      </c>
      <c r="C1625" s="24" t="s">
        <v>2586</v>
      </c>
      <c r="D1625" s="24">
        <v>27</v>
      </c>
      <c r="E1625" s="24">
        <v>23</v>
      </c>
    </row>
    <row r="1626" spans="1:5" x14ac:dyDescent="0.25">
      <c r="A1626" s="24">
        <v>1625</v>
      </c>
      <c r="B1626" s="24">
        <v>514225</v>
      </c>
      <c r="C1626" s="24" t="s">
        <v>2587</v>
      </c>
      <c r="D1626" s="24">
        <v>22</v>
      </c>
      <c r="E1626" s="24">
        <v>18</v>
      </c>
    </row>
    <row r="1627" spans="1:5" x14ac:dyDescent="0.25">
      <c r="A1627" s="24">
        <v>1626</v>
      </c>
      <c r="B1627" s="24">
        <v>514233</v>
      </c>
      <c r="C1627" s="24" t="s">
        <v>2590</v>
      </c>
      <c r="D1627" s="24">
        <v>22</v>
      </c>
      <c r="E1627" s="24">
        <v>18</v>
      </c>
    </row>
    <row r="1628" spans="1:5" x14ac:dyDescent="0.25">
      <c r="A1628" s="24">
        <v>1627</v>
      </c>
      <c r="B1628" s="24">
        <v>514241</v>
      </c>
      <c r="C1628" s="24" t="s">
        <v>2591</v>
      </c>
      <c r="D1628" s="24">
        <v>22</v>
      </c>
      <c r="E1628" s="24">
        <v>18</v>
      </c>
    </row>
    <row r="1629" spans="1:5" x14ac:dyDescent="0.25">
      <c r="A1629" s="24">
        <v>1628</v>
      </c>
      <c r="B1629" s="24">
        <v>514250</v>
      </c>
      <c r="C1629" s="24" t="s">
        <v>4234</v>
      </c>
      <c r="D1629" s="24">
        <v>22</v>
      </c>
      <c r="E1629" s="24">
        <v>18</v>
      </c>
    </row>
    <row r="1630" spans="1:5" x14ac:dyDescent="0.25">
      <c r="A1630" s="24">
        <v>1629</v>
      </c>
      <c r="B1630" s="24">
        <v>507369</v>
      </c>
      <c r="C1630" s="24" t="s">
        <v>2595</v>
      </c>
      <c r="D1630" s="24">
        <v>12</v>
      </c>
      <c r="E1630" s="24">
        <v>8</v>
      </c>
    </row>
    <row r="1631" spans="1:5" x14ac:dyDescent="0.25">
      <c r="A1631" s="24">
        <v>1630</v>
      </c>
      <c r="B1631" s="24">
        <v>509876</v>
      </c>
      <c r="C1631" s="24" t="s">
        <v>2595</v>
      </c>
      <c r="D1631" s="24">
        <v>41</v>
      </c>
      <c r="E1631" s="24">
        <v>37</v>
      </c>
    </row>
    <row r="1632" spans="1:5" x14ac:dyDescent="0.25">
      <c r="A1632" s="24">
        <v>1631</v>
      </c>
      <c r="B1632" s="24">
        <v>510874</v>
      </c>
      <c r="C1632" s="24" t="s">
        <v>2596</v>
      </c>
      <c r="D1632" s="24">
        <v>36</v>
      </c>
      <c r="E1632" s="24">
        <v>32</v>
      </c>
    </row>
    <row r="1633" spans="1:5" x14ac:dyDescent="0.25">
      <c r="A1633" s="24">
        <v>1632</v>
      </c>
      <c r="B1633" s="24">
        <v>518140</v>
      </c>
      <c r="C1633" s="24" t="s">
        <v>2597</v>
      </c>
      <c r="D1633" s="24">
        <v>74</v>
      </c>
      <c r="E1633" s="24">
        <v>66</v>
      </c>
    </row>
    <row r="1634" spans="1:5" x14ac:dyDescent="0.25">
      <c r="A1634" s="24">
        <v>1633</v>
      </c>
      <c r="B1634" s="24">
        <v>520535</v>
      </c>
      <c r="C1634" s="24" t="s">
        <v>2598</v>
      </c>
      <c r="D1634" s="24">
        <v>57</v>
      </c>
      <c r="E1634" s="24">
        <v>53</v>
      </c>
    </row>
    <row r="1635" spans="1:5" x14ac:dyDescent="0.25">
      <c r="A1635" s="24">
        <v>1634</v>
      </c>
      <c r="B1635" s="24">
        <v>527629</v>
      </c>
      <c r="C1635" s="24" t="s">
        <v>2599</v>
      </c>
      <c r="D1635" s="24">
        <v>67</v>
      </c>
      <c r="E1635" s="24">
        <v>63</v>
      </c>
    </row>
    <row r="1636" spans="1:5" x14ac:dyDescent="0.25">
      <c r="A1636" s="24">
        <v>1635</v>
      </c>
      <c r="B1636" s="24">
        <v>521728</v>
      </c>
      <c r="C1636" s="24" t="s">
        <v>2600</v>
      </c>
      <c r="D1636" s="24">
        <v>74</v>
      </c>
      <c r="E1636" s="24">
        <v>66</v>
      </c>
    </row>
    <row r="1637" spans="1:5" x14ac:dyDescent="0.25">
      <c r="A1637" s="24">
        <v>1636</v>
      </c>
      <c r="B1637" s="24">
        <v>521736</v>
      </c>
      <c r="C1637" s="24" t="s">
        <v>2601</v>
      </c>
      <c r="D1637" s="24">
        <v>74</v>
      </c>
      <c r="E1637" s="24">
        <v>66</v>
      </c>
    </row>
    <row r="1638" spans="1:5" x14ac:dyDescent="0.25">
      <c r="A1638" s="24">
        <v>1637</v>
      </c>
      <c r="B1638" s="24">
        <v>527637</v>
      </c>
      <c r="C1638" s="24" t="s">
        <v>2602</v>
      </c>
      <c r="D1638" s="24">
        <v>66</v>
      </c>
      <c r="E1638" s="24">
        <v>62</v>
      </c>
    </row>
    <row r="1639" spans="1:5" x14ac:dyDescent="0.25">
      <c r="A1639" s="24">
        <v>1638</v>
      </c>
      <c r="B1639" s="24">
        <v>527645</v>
      </c>
      <c r="C1639" s="24" t="s">
        <v>2603</v>
      </c>
      <c r="D1639" s="24">
        <v>67</v>
      </c>
      <c r="E1639" s="24">
        <v>63</v>
      </c>
    </row>
    <row r="1640" spans="1:5" x14ac:dyDescent="0.25">
      <c r="A1640" s="24">
        <v>1639</v>
      </c>
      <c r="B1640" s="24">
        <v>519634</v>
      </c>
      <c r="C1640" s="24" t="s">
        <v>2605</v>
      </c>
      <c r="D1640" s="24">
        <v>56</v>
      </c>
      <c r="E1640" s="24">
        <v>52</v>
      </c>
    </row>
    <row r="1641" spans="1:5" x14ac:dyDescent="0.25">
      <c r="A1641" s="24">
        <v>1640</v>
      </c>
      <c r="B1641" s="24">
        <v>522813</v>
      </c>
      <c r="C1641" s="24" t="s">
        <v>2606</v>
      </c>
      <c r="D1641" s="24">
        <v>77</v>
      </c>
      <c r="E1641" s="24">
        <v>69</v>
      </c>
    </row>
    <row r="1642" spans="1:5" x14ac:dyDescent="0.25">
      <c r="A1642" s="24">
        <v>1641</v>
      </c>
      <c r="B1642" s="24">
        <v>528897</v>
      </c>
      <c r="C1642" s="24" t="s">
        <v>2607</v>
      </c>
      <c r="D1642" s="24">
        <v>57</v>
      </c>
      <c r="E1642" s="24">
        <v>53</v>
      </c>
    </row>
    <row r="1643" spans="1:5" x14ac:dyDescent="0.25">
      <c r="A1643" s="24">
        <v>1642</v>
      </c>
      <c r="B1643" s="24">
        <v>526045</v>
      </c>
      <c r="C1643" s="24" t="s">
        <v>2608</v>
      </c>
      <c r="D1643" s="24">
        <v>76</v>
      </c>
      <c r="E1643" s="24">
        <v>68</v>
      </c>
    </row>
    <row r="1644" spans="1:5" x14ac:dyDescent="0.25">
      <c r="A1644" s="24">
        <v>1643</v>
      </c>
      <c r="B1644" s="24">
        <v>519642</v>
      </c>
      <c r="C1644" s="24" t="s">
        <v>2611</v>
      </c>
      <c r="D1644" s="24">
        <v>56</v>
      </c>
      <c r="E1644" s="24">
        <v>52</v>
      </c>
    </row>
    <row r="1645" spans="1:5" x14ac:dyDescent="0.25">
      <c r="A1645" s="24">
        <v>1644</v>
      </c>
      <c r="B1645" s="24">
        <v>520543</v>
      </c>
      <c r="C1645" s="24" t="s">
        <v>2612</v>
      </c>
      <c r="D1645" s="24">
        <v>57</v>
      </c>
      <c r="E1645" s="24">
        <v>53</v>
      </c>
    </row>
    <row r="1646" spans="1:5" x14ac:dyDescent="0.25">
      <c r="A1646" s="24">
        <v>1645</v>
      </c>
      <c r="B1646" s="24">
        <v>522821</v>
      </c>
      <c r="C1646" s="24" t="s">
        <v>2613</v>
      </c>
      <c r="D1646" s="24">
        <v>77</v>
      </c>
      <c r="E1646" s="24">
        <v>69</v>
      </c>
    </row>
    <row r="1647" spans="1:5" x14ac:dyDescent="0.25">
      <c r="A1647" s="24">
        <v>1646</v>
      </c>
      <c r="B1647" s="24">
        <v>543390</v>
      </c>
      <c r="C1647" s="24" t="s">
        <v>2615</v>
      </c>
      <c r="D1647" s="24">
        <v>59</v>
      </c>
      <c r="E1647" s="24">
        <v>55</v>
      </c>
    </row>
    <row r="1648" spans="1:5" x14ac:dyDescent="0.25">
      <c r="A1648" s="24">
        <v>1647</v>
      </c>
      <c r="B1648" s="24">
        <v>526916</v>
      </c>
      <c r="C1648" s="24" t="s">
        <v>2616</v>
      </c>
      <c r="D1648" s="24">
        <v>65</v>
      </c>
      <c r="E1648" s="24">
        <v>61</v>
      </c>
    </row>
    <row r="1649" spans="1:5" x14ac:dyDescent="0.25">
      <c r="A1649" s="24">
        <v>1648</v>
      </c>
      <c r="B1649" s="24">
        <v>521744</v>
      </c>
      <c r="C1649" s="24" t="s">
        <v>2618</v>
      </c>
      <c r="D1649" s="24">
        <v>74</v>
      </c>
      <c r="E1649" s="24">
        <v>66</v>
      </c>
    </row>
    <row r="1650" spans="1:5" x14ac:dyDescent="0.25">
      <c r="A1650" s="24">
        <v>1649</v>
      </c>
      <c r="B1650" s="24">
        <v>528901</v>
      </c>
      <c r="C1650" s="24" t="s">
        <v>2619</v>
      </c>
      <c r="D1650" s="24">
        <v>68</v>
      </c>
      <c r="E1650" s="24">
        <v>64</v>
      </c>
    </row>
    <row r="1651" spans="1:5" x14ac:dyDescent="0.25">
      <c r="A1651" s="24">
        <v>1650</v>
      </c>
      <c r="B1651" s="24">
        <v>528919</v>
      </c>
      <c r="C1651" s="24" t="s">
        <v>2620</v>
      </c>
      <c r="D1651" s="24">
        <v>68</v>
      </c>
      <c r="E1651" s="24">
        <v>64</v>
      </c>
    </row>
    <row r="1652" spans="1:5" x14ac:dyDescent="0.25">
      <c r="A1652" s="24">
        <v>1651</v>
      </c>
      <c r="B1652" s="24">
        <v>521752</v>
      </c>
      <c r="C1652" s="24" t="s">
        <v>2621</v>
      </c>
      <c r="D1652" s="24">
        <v>74</v>
      </c>
      <c r="E1652" s="24">
        <v>66</v>
      </c>
    </row>
    <row r="1653" spans="1:5" x14ac:dyDescent="0.25">
      <c r="A1653" s="24">
        <v>1652</v>
      </c>
      <c r="B1653" s="24">
        <v>527653</v>
      </c>
      <c r="C1653" s="24" t="s">
        <v>2622</v>
      </c>
      <c r="D1653" s="24">
        <v>67</v>
      </c>
      <c r="E1653" s="24">
        <v>63</v>
      </c>
    </row>
    <row r="1654" spans="1:5" x14ac:dyDescent="0.25">
      <c r="A1654" s="24">
        <v>1653</v>
      </c>
      <c r="B1654" s="24">
        <v>528927</v>
      </c>
      <c r="C1654" s="24" t="s">
        <v>2623</v>
      </c>
      <c r="D1654" s="24">
        <v>68</v>
      </c>
      <c r="E1654" s="24">
        <v>64</v>
      </c>
    </row>
    <row r="1655" spans="1:5" x14ac:dyDescent="0.25">
      <c r="A1655" s="24">
        <v>1654</v>
      </c>
      <c r="B1655" s="24">
        <v>521761</v>
      </c>
      <c r="C1655" s="24" t="s">
        <v>2624</v>
      </c>
      <c r="D1655" s="24">
        <v>74</v>
      </c>
      <c r="E1655" s="24">
        <v>72</v>
      </c>
    </row>
    <row r="1656" spans="1:5" x14ac:dyDescent="0.25">
      <c r="A1656" s="24">
        <v>1655</v>
      </c>
      <c r="B1656" s="24">
        <v>527661</v>
      </c>
      <c r="C1656" s="24" t="s">
        <v>2625</v>
      </c>
      <c r="D1656" s="24">
        <v>67</v>
      </c>
      <c r="E1656" s="24">
        <v>63</v>
      </c>
    </row>
    <row r="1657" spans="1:5" x14ac:dyDescent="0.25">
      <c r="A1657" s="24">
        <v>1656</v>
      </c>
      <c r="B1657" s="24">
        <v>527670</v>
      </c>
      <c r="C1657" s="24" t="s">
        <v>2626</v>
      </c>
      <c r="D1657" s="24">
        <v>67</v>
      </c>
      <c r="E1657" s="24">
        <v>63</v>
      </c>
    </row>
    <row r="1658" spans="1:5" x14ac:dyDescent="0.25">
      <c r="A1658" s="24">
        <v>1657</v>
      </c>
      <c r="B1658" s="24">
        <v>557790</v>
      </c>
      <c r="C1658" s="24" t="s">
        <v>3769</v>
      </c>
      <c r="D1658" s="24">
        <v>51</v>
      </c>
      <c r="E1658" s="24">
        <v>47</v>
      </c>
    </row>
    <row r="1659" spans="1:5" x14ac:dyDescent="0.25">
      <c r="A1659" s="24">
        <v>1658</v>
      </c>
      <c r="B1659" s="24">
        <v>524921</v>
      </c>
      <c r="C1659" s="24" t="s">
        <v>2627</v>
      </c>
      <c r="D1659" s="24">
        <v>63</v>
      </c>
      <c r="E1659" s="24">
        <v>59</v>
      </c>
    </row>
    <row r="1660" spans="1:5" x14ac:dyDescent="0.25">
      <c r="A1660" s="24">
        <v>1659</v>
      </c>
      <c r="B1660" s="24">
        <v>519669</v>
      </c>
      <c r="C1660" s="24" t="s">
        <v>2628</v>
      </c>
      <c r="D1660" s="24">
        <v>56</v>
      </c>
      <c r="E1660" s="24">
        <v>52</v>
      </c>
    </row>
    <row r="1661" spans="1:5" x14ac:dyDescent="0.25">
      <c r="A1661" s="24">
        <v>1660</v>
      </c>
      <c r="B1661" s="24">
        <v>528609</v>
      </c>
      <c r="C1661" s="24" t="s">
        <v>2629</v>
      </c>
      <c r="D1661" s="24">
        <v>79</v>
      </c>
      <c r="E1661" s="24">
        <v>71</v>
      </c>
    </row>
    <row r="1662" spans="1:5" x14ac:dyDescent="0.25">
      <c r="A1662" s="24">
        <v>1661</v>
      </c>
      <c r="B1662" s="24">
        <v>512486</v>
      </c>
      <c r="C1662" s="24" t="s">
        <v>2630</v>
      </c>
      <c r="D1662" s="24">
        <v>37</v>
      </c>
      <c r="E1662" s="24">
        <v>33</v>
      </c>
    </row>
    <row r="1663" spans="1:5" x14ac:dyDescent="0.25">
      <c r="A1663" s="24">
        <v>1662</v>
      </c>
      <c r="B1663" s="24">
        <v>505251</v>
      </c>
      <c r="C1663" s="24" t="s">
        <v>2631</v>
      </c>
      <c r="D1663" s="24">
        <v>30</v>
      </c>
      <c r="E1663" s="24">
        <v>26</v>
      </c>
    </row>
    <row r="1664" spans="1:5" x14ac:dyDescent="0.25">
      <c r="A1664" s="24">
        <v>1663</v>
      </c>
      <c r="B1664" s="24">
        <v>517097</v>
      </c>
      <c r="C1664" s="24" t="s">
        <v>2633</v>
      </c>
      <c r="D1664" s="24">
        <v>54</v>
      </c>
      <c r="E1664" s="24">
        <v>50</v>
      </c>
    </row>
    <row r="1665" spans="1:5" x14ac:dyDescent="0.25">
      <c r="A1665" s="24">
        <v>1664</v>
      </c>
      <c r="B1665" s="24">
        <v>515230</v>
      </c>
      <c r="C1665" s="24" t="s">
        <v>2634</v>
      </c>
      <c r="D1665" s="24">
        <v>51</v>
      </c>
      <c r="E1665" s="24">
        <v>47</v>
      </c>
    </row>
    <row r="1666" spans="1:5" x14ac:dyDescent="0.25">
      <c r="A1666" s="24">
        <v>1665</v>
      </c>
      <c r="B1666" s="24">
        <v>506303</v>
      </c>
      <c r="C1666" s="24" t="s">
        <v>2637</v>
      </c>
      <c r="D1666" s="24">
        <v>19</v>
      </c>
      <c r="E1666" s="24">
        <v>15</v>
      </c>
    </row>
    <row r="1667" spans="1:5" x14ac:dyDescent="0.25">
      <c r="A1667" s="24">
        <v>1666</v>
      </c>
      <c r="B1667" s="24">
        <v>509311</v>
      </c>
      <c r="C1667" s="24" t="s">
        <v>2638</v>
      </c>
      <c r="D1667" s="24">
        <v>33</v>
      </c>
      <c r="E1667" s="24">
        <v>29</v>
      </c>
    </row>
    <row r="1668" spans="1:5" x14ac:dyDescent="0.25">
      <c r="A1668" s="24">
        <v>1667</v>
      </c>
      <c r="B1668" s="24">
        <v>502588</v>
      </c>
      <c r="C1668" s="24" t="s">
        <v>4235</v>
      </c>
      <c r="D1668" s="24">
        <v>26</v>
      </c>
      <c r="E1668" s="24">
        <v>22</v>
      </c>
    </row>
    <row r="1669" spans="1:5" x14ac:dyDescent="0.25">
      <c r="A1669" s="24">
        <v>1668</v>
      </c>
      <c r="B1669" s="24">
        <v>508136</v>
      </c>
      <c r="C1669" s="24" t="s">
        <v>4236</v>
      </c>
      <c r="D1669" s="24">
        <v>8</v>
      </c>
      <c r="E1669" s="24">
        <v>3</v>
      </c>
    </row>
    <row r="1670" spans="1:5" x14ac:dyDescent="0.25">
      <c r="A1670" s="24">
        <v>1669</v>
      </c>
      <c r="B1670" s="24">
        <v>513440</v>
      </c>
      <c r="C1670" s="24" t="s">
        <v>2642</v>
      </c>
      <c r="D1670" s="24">
        <v>17</v>
      </c>
      <c r="E1670" s="24">
        <v>13</v>
      </c>
    </row>
    <row r="1671" spans="1:5" x14ac:dyDescent="0.25">
      <c r="A1671" s="24">
        <v>1670</v>
      </c>
      <c r="B1671" s="24">
        <v>528935</v>
      </c>
      <c r="C1671" s="24" t="s">
        <v>2643</v>
      </c>
      <c r="D1671" s="24">
        <v>68</v>
      </c>
      <c r="E1671" s="24">
        <v>64</v>
      </c>
    </row>
    <row r="1672" spans="1:5" x14ac:dyDescent="0.25">
      <c r="A1672" s="24">
        <v>1671</v>
      </c>
      <c r="B1672" s="24">
        <v>506311</v>
      </c>
      <c r="C1672" s="24" t="s">
        <v>2644</v>
      </c>
      <c r="D1672" s="24">
        <v>19</v>
      </c>
      <c r="E1672" s="24">
        <v>15</v>
      </c>
    </row>
    <row r="1673" spans="1:5" x14ac:dyDescent="0.25">
      <c r="A1673" s="24">
        <v>1672</v>
      </c>
      <c r="B1673" s="24">
        <v>523763</v>
      </c>
      <c r="C1673" s="24" t="s">
        <v>2645</v>
      </c>
      <c r="D1673" s="24">
        <v>61</v>
      </c>
      <c r="E1673" s="24">
        <v>57</v>
      </c>
    </row>
    <row r="1674" spans="1:5" x14ac:dyDescent="0.25">
      <c r="A1674" s="24">
        <v>1673</v>
      </c>
      <c r="B1674" s="24">
        <v>526924</v>
      </c>
      <c r="C1674" s="24" t="s">
        <v>2647</v>
      </c>
      <c r="D1674" s="24">
        <v>65</v>
      </c>
      <c r="E1674" s="24">
        <v>61</v>
      </c>
    </row>
    <row r="1675" spans="1:5" x14ac:dyDescent="0.25">
      <c r="A1675" s="24">
        <v>1674</v>
      </c>
      <c r="B1675" s="24">
        <v>521795</v>
      </c>
      <c r="C1675" s="24" t="s">
        <v>2648</v>
      </c>
      <c r="D1675" s="24">
        <v>74</v>
      </c>
      <c r="E1675" s="24">
        <v>66</v>
      </c>
    </row>
    <row r="1676" spans="1:5" x14ac:dyDescent="0.25">
      <c r="A1676" s="24">
        <v>1675</v>
      </c>
      <c r="B1676" s="24">
        <v>527688</v>
      </c>
      <c r="C1676" s="24" t="s">
        <v>2649</v>
      </c>
      <c r="D1676" s="24">
        <v>67</v>
      </c>
      <c r="E1676" s="24">
        <v>63</v>
      </c>
    </row>
    <row r="1677" spans="1:5" x14ac:dyDescent="0.25">
      <c r="A1677" s="24">
        <v>1676</v>
      </c>
      <c r="B1677" s="24">
        <v>520551</v>
      </c>
      <c r="C1677" s="24" t="s">
        <v>2650</v>
      </c>
      <c r="D1677" s="24">
        <v>64</v>
      </c>
      <c r="E1677" s="24">
        <v>60</v>
      </c>
    </row>
    <row r="1678" spans="1:5" x14ac:dyDescent="0.25">
      <c r="A1678" s="24">
        <v>1677</v>
      </c>
      <c r="B1678" s="24">
        <v>516244</v>
      </c>
      <c r="C1678" s="24" t="s">
        <v>2652</v>
      </c>
      <c r="D1678" s="24">
        <v>52</v>
      </c>
      <c r="E1678" s="24">
        <v>48</v>
      </c>
    </row>
    <row r="1679" spans="1:5" x14ac:dyDescent="0.25">
      <c r="A1679" s="24">
        <v>1678</v>
      </c>
      <c r="B1679" s="24">
        <v>556459</v>
      </c>
      <c r="C1679" s="24" t="s">
        <v>2653</v>
      </c>
      <c r="D1679" s="24">
        <v>19</v>
      </c>
      <c r="E1679" s="24">
        <v>15</v>
      </c>
    </row>
    <row r="1680" spans="1:5" x14ac:dyDescent="0.25">
      <c r="A1680" s="24">
        <v>1679</v>
      </c>
      <c r="B1680" s="24">
        <v>500631</v>
      </c>
      <c r="C1680" s="24" t="s">
        <v>2654</v>
      </c>
      <c r="D1680" s="24">
        <v>27</v>
      </c>
      <c r="E1680" s="24">
        <v>23</v>
      </c>
    </row>
    <row r="1681" spans="1:5" x14ac:dyDescent="0.25">
      <c r="A1681" s="24">
        <v>1680</v>
      </c>
      <c r="B1681" s="24">
        <v>503436</v>
      </c>
      <c r="C1681" s="24" t="s">
        <v>2655</v>
      </c>
      <c r="D1681" s="24">
        <v>28</v>
      </c>
      <c r="E1681" s="24">
        <v>24</v>
      </c>
    </row>
    <row r="1682" spans="1:5" x14ac:dyDescent="0.25">
      <c r="A1682" s="24">
        <v>1681</v>
      </c>
      <c r="B1682" s="24">
        <v>521787</v>
      </c>
      <c r="C1682" s="24" t="s">
        <v>1385</v>
      </c>
      <c r="D1682" s="24">
        <v>74</v>
      </c>
      <c r="E1682" s="24">
        <v>66</v>
      </c>
    </row>
    <row r="1683" spans="1:5" x14ac:dyDescent="0.25">
      <c r="A1683" s="24">
        <v>1682</v>
      </c>
      <c r="B1683" s="24">
        <v>514268</v>
      </c>
      <c r="C1683" s="24" t="s">
        <v>2656</v>
      </c>
      <c r="D1683" s="24">
        <v>22</v>
      </c>
      <c r="E1683" s="24">
        <v>18</v>
      </c>
    </row>
    <row r="1684" spans="1:5" x14ac:dyDescent="0.25">
      <c r="A1684" s="24">
        <v>1683</v>
      </c>
      <c r="B1684" s="24">
        <v>511676</v>
      </c>
      <c r="C1684" s="24" t="s">
        <v>2657</v>
      </c>
      <c r="D1684" s="24">
        <v>48</v>
      </c>
      <c r="E1684" s="24">
        <v>44</v>
      </c>
    </row>
    <row r="1685" spans="1:5" x14ac:dyDescent="0.25">
      <c r="A1685" s="24">
        <v>1684</v>
      </c>
      <c r="B1685" s="24">
        <v>506338</v>
      </c>
      <c r="C1685" s="24" t="s">
        <v>2659</v>
      </c>
      <c r="D1685" s="24">
        <v>19</v>
      </c>
      <c r="E1685" s="24">
        <v>15</v>
      </c>
    </row>
    <row r="1686" spans="1:5" x14ac:dyDescent="0.25">
      <c r="A1686" s="24">
        <v>1685</v>
      </c>
      <c r="B1686" s="24">
        <v>500640</v>
      </c>
      <c r="C1686" s="24" t="s">
        <v>2661</v>
      </c>
      <c r="D1686" s="24">
        <v>27</v>
      </c>
      <c r="E1686" s="24">
        <v>23</v>
      </c>
    </row>
    <row r="1687" spans="1:5" x14ac:dyDescent="0.25">
      <c r="A1687" s="24">
        <v>1686</v>
      </c>
      <c r="B1687" s="24">
        <v>503011</v>
      </c>
      <c r="C1687" s="24" t="s">
        <v>2662</v>
      </c>
      <c r="D1687" s="24">
        <v>28</v>
      </c>
      <c r="E1687" s="24">
        <v>24</v>
      </c>
    </row>
    <row r="1688" spans="1:5" x14ac:dyDescent="0.25">
      <c r="A1688" s="24">
        <v>1687</v>
      </c>
      <c r="B1688" s="24">
        <v>528617</v>
      </c>
      <c r="C1688" s="24" t="s">
        <v>2663</v>
      </c>
      <c r="D1688" s="24">
        <v>79</v>
      </c>
      <c r="E1688" s="24">
        <v>71</v>
      </c>
    </row>
    <row r="1689" spans="1:5" x14ac:dyDescent="0.25">
      <c r="A1689" s="24">
        <v>1688</v>
      </c>
      <c r="B1689" s="24">
        <v>509884</v>
      </c>
      <c r="C1689" s="24" t="s">
        <v>2664</v>
      </c>
      <c r="D1689" s="24">
        <v>38</v>
      </c>
      <c r="E1689" s="24">
        <v>34</v>
      </c>
    </row>
    <row r="1690" spans="1:5" x14ac:dyDescent="0.25">
      <c r="A1690" s="24">
        <v>1689</v>
      </c>
      <c r="B1690" s="24">
        <v>528625</v>
      </c>
      <c r="C1690" s="24" t="s">
        <v>4237</v>
      </c>
      <c r="D1690" s="24">
        <v>79</v>
      </c>
      <c r="E1690" s="24">
        <v>71</v>
      </c>
    </row>
    <row r="1691" spans="1:5" x14ac:dyDescent="0.25">
      <c r="A1691" s="24">
        <v>1690</v>
      </c>
      <c r="B1691" s="24">
        <v>521809</v>
      </c>
      <c r="C1691" s="24" t="s">
        <v>2667</v>
      </c>
      <c r="D1691" s="24">
        <v>74</v>
      </c>
      <c r="E1691" s="24">
        <v>66</v>
      </c>
    </row>
    <row r="1692" spans="1:5" x14ac:dyDescent="0.25">
      <c r="A1692" s="24">
        <v>1691</v>
      </c>
      <c r="B1692" s="24">
        <v>582549</v>
      </c>
      <c r="C1692" s="24" t="s">
        <v>3054</v>
      </c>
      <c r="D1692" s="24">
        <v>8</v>
      </c>
      <c r="E1692" s="24">
        <v>3</v>
      </c>
    </row>
    <row r="1693" spans="1:5" x14ac:dyDescent="0.25">
      <c r="A1693" s="24">
        <v>1692</v>
      </c>
      <c r="B1693" s="24">
        <v>502596</v>
      </c>
      <c r="C1693" s="24" t="s">
        <v>2669</v>
      </c>
      <c r="D1693" s="24">
        <v>26</v>
      </c>
      <c r="E1693" s="24">
        <v>22</v>
      </c>
    </row>
    <row r="1694" spans="1:5" x14ac:dyDescent="0.25">
      <c r="A1694" s="24">
        <v>1693</v>
      </c>
      <c r="B1694" s="24">
        <v>501808</v>
      </c>
      <c r="C1694" s="24" t="s">
        <v>4238</v>
      </c>
      <c r="D1694" s="24">
        <v>9</v>
      </c>
      <c r="E1694" s="24">
        <v>5</v>
      </c>
    </row>
    <row r="1695" spans="1:5" x14ac:dyDescent="0.25">
      <c r="A1695" s="24">
        <v>1694</v>
      </c>
      <c r="B1695" s="24">
        <v>502600</v>
      </c>
      <c r="C1695" s="24" t="s">
        <v>2674</v>
      </c>
      <c r="D1695" s="24">
        <v>26</v>
      </c>
      <c r="E1695" s="24">
        <v>22</v>
      </c>
    </row>
    <row r="1696" spans="1:5" x14ac:dyDescent="0.25">
      <c r="A1696" s="24">
        <v>1695</v>
      </c>
      <c r="B1696" s="24">
        <v>516252</v>
      </c>
      <c r="C1696" s="24" t="s">
        <v>2675</v>
      </c>
      <c r="D1696" s="24">
        <v>52</v>
      </c>
      <c r="E1696" s="24">
        <v>48</v>
      </c>
    </row>
    <row r="1697" spans="1:5" x14ac:dyDescent="0.25">
      <c r="A1697" s="24">
        <v>1696</v>
      </c>
      <c r="B1697" s="24">
        <v>582361</v>
      </c>
      <c r="C1697" s="24" t="s">
        <v>2676</v>
      </c>
      <c r="D1697" s="24">
        <v>28</v>
      </c>
      <c r="E1697" s="24">
        <v>24</v>
      </c>
    </row>
    <row r="1698" spans="1:5" x14ac:dyDescent="0.25">
      <c r="A1698" s="24">
        <v>1697</v>
      </c>
      <c r="B1698" s="24">
        <v>521817</v>
      </c>
      <c r="C1698" s="24" t="s">
        <v>2677</v>
      </c>
      <c r="D1698" s="24">
        <v>74</v>
      </c>
      <c r="E1698" s="24">
        <v>66</v>
      </c>
    </row>
    <row r="1699" spans="1:5" x14ac:dyDescent="0.25">
      <c r="A1699" s="24">
        <v>1698</v>
      </c>
      <c r="B1699" s="24">
        <v>528633</v>
      </c>
      <c r="C1699" s="24" t="s">
        <v>2679</v>
      </c>
      <c r="D1699" s="24">
        <v>75</v>
      </c>
      <c r="E1699" s="24">
        <v>73</v>
      </c>
    </row>
    <row r="1700" spans="1:5" x14ac:dyDescent="0.25">
      <c r="A1700" s="24">
        <v>1699</v>
      </c>
      <c r="B1700" s="24">
        <v>526932</v>
      </c>
      <c r="C1700" s="24" t="s">
        <v>2680</v>
      </c>
      <c r="D1700" s="24">
        <v>65</v>
      </c>
      <c r="E1700" s="24">
        <v>61</v>
      </c>
    </row>
    <row r="1701" spans="1:5" x14ac:dyDescent="0.25">
      <c r="A1701" s="24">
        <v>1700</v>
      </c>
      <c r="B1701" s="24">
        <v>500658</v>
      </c>
      <c r="C1701" s="24" t="s">
        <v>2682</v>
      </c>
      <c r="D1701" s="24">
        <v>31</v>
      </c>
      <c r="E1701" s="24">
        <v>27</v>
      </c>
    </row>
    <row r="1702" spans="1:5" x14ac:dyDescent="0.25">
      <c r="A1702" s="24">
        <v>1701</v>
      </c>
      <c r="B1702" s="24">
        <v>506346</v>
      </c>
      <c r="C1702" s="24" t="s">
        <v>2683</v>
      </c>
      <c r="D1702" s="24">
        <v>19</v>
      </c>
      <c r="E1702" s="24">
        <v>15</v>
      </c>
    </row>
    <row r="1703" spans="1:5" x14ac:dyDescent="0.25">
      <c r="A1703" s="24">
        <v>1702</v>
      </c>
      <c r="B1703" s="24">
        <v>518662</v>
      </c>
      <c r="C1703" s="24" t="s">
        <v>2684</v>
      </c>
      <c r="D1703" s="24">
        <v>53</v>
      </c>
      <c r="E1703" s="24">
        <v>49</v>
      </c>
    </row>
    <row r="1704" spans="1:5" x14ac:dyDescent="0.25">
      <c r="A1704" s="24">
        <v>1703</v>
      </c>
      <c r="B1704" s="24">
        <v>543403</v>
      </c>
      <c r="C1704" s="24" t="s">
        <v>2685</v>
      </c>
      <c r="D1704" s="24">
        <v>78</v>
      </c>
      <c r="E1704" s="24">
        <v>70</v>
      </c>
    </row>
    <row r="1705" spans="1:5" x14ac:dyDescent="0.25">
      <c r="A1705" s="24">
        <v>1704</v>
      </c>
      <c r="B1705" s="24">
        <v>501816</v>
      </c>
      <c r="C1705" s="24" t="s">
        <v>2686</v>
      </c>
      <c r="D1705" s="24">
        <v>9</v>
      </c>
      <c r="E1705" s="24">
        <v>5</v>
      </c>
    </row>
    <row r="1706" spans="1:5" x14ac:dyDescent="0.25">
      <c r="A1706" s="24">
        <v>1705</v>
      </c>
      <c r="B1706" s="24">
        <v>520560</v>
      </c>
      <c r="C1706" s="24" t="s">
        <v>2687</v>
      </c>
      <c r="D1706" s="24">
        <v>57</v>
      </c>
      <c r="E1706" s="24">
        <v>53</v>
      </c>
    </row>
    <row r="1707" spans="1:5" x14ac:dyDescent="0.25">
      <c r="A1707" s="24">
        <v>1706</v>
      </c>
      <c r="B1707" s="24">
        <v>509329</v>
      </c>
      <c r="C1707" s="24" t="s">
        <v>2689</v>
      </c>
      <c r="D1707" s="24">
        <v>35</v>
      </c>
      <c r="E1707" s="24">
        <v>31</v>
      </c>
    </row>
    <row r="1708" spans="1:5" x14ac:dyDescent="0.25">
      <c r="A1708" s="24">
        <v>1707</v>
      </c>
      <c r="B1708" s="24">
        <v>526053</v>
      </c>
      <c r="C1708" s="24" t="s">
        <v>2690</v>
      </c>
      <c r="D1708" s="24">
        <v>76</v>
      </c>
      <c r="E1708" s="24">
        <v>68</v>
      </c>
    </row>
    <row r="1709" spans="1:5" x14ac:dyDescent="0.25">
      <c r="A1709" s="24">
        <v>1708</v>
      </c>
      <c r="B1709" s="24">
        <v>501824</v>
      </c>
      <c r="C1709" s="24" t="s">
        <v>2691</v>
      </c>
      <c r="D1709" s="24">
        <v>9</v>
      </c>
      <c r="E1709" s="24">
        <v>5</v>
      </c>
    </row>
    <row r="1710" spans="1:5" x14ac:dyDescent="0.25">
      <c r="A1710" s="24">
        <v>1709</v>
      </c>
      <c r="B1710" s="24">
        <v>501301</v>
      </c>
      <c r="C1710" s="24" t="s">
        <v>2692</v>
      </c>
      <c r="D1710" s="24">
        <v>25</v>
      </c>
      <c r="E1710" s="24">
        <v>21</v>
      </c>
    </row>
    <row r="1711" spans="1:5" x14ac:dyDescent="0.25">
      <c r="A1711" s="24">
        <v>1710</v>
      </c>
      <c r="B1711" s="24">
        <v>527696</v>
      </c>
      <c r="C1711" s="24" t="s">
        <v>2694</v>
      </c>
      <c r="D1711" s="24">
        <v>67</v>
      </c>
      <c r="E1711" s="24">
        <v>63</v>
      </c>
    </row>
    <row r="1712" spans="1:5" x14ac:dyDescent="0.25">
      <c r="A1712" s="24">
        <v>1711</v>
      </c>
      <c r="B1712" s="24">
        <v>524930</v>
      </c>
      <c r="C1712" s="24" t="s">
        <v>2696</v>
      </c>
      <c r="D1712" s="24">
        <v>62</v>
      </c>
      <c r="E1712" s="24">
        <v>58</v>
      </c>
    </row>
    <row r="1713" spans="1:5" x14ac:dyDescent="0.25">
      <c r="A1713" s="24">
        <v>1712</v>
      </c>
      <c r="B1713" s="24">
        <v>543411</v>
      </c>
      <c r="C1713" s="24" t="s">
        <v>2697</v>
      </c>
      <c r="D1713" s="24">
        <v>78</v>
      </c>
      <c r="E1713" s="24">
        <v>70</v>
      </c>
    </row>
    <row r="1714" spans="1:5" x14ac:dyDescent="0.25">
      <c r="A1714" s="24">
        <v>1713</v>
      </c>
      <c r="B1714" s="24">
        <v>501832</v>
      </c>
      <c r="C1714" s="24" t="s">
        <v>2698</v>
      </c>
      <c r="D1714" s="24">
        <v>9</v>
      </c>
      <c r="E1714" s="24">
        <v>5</v>
      </c>
    </row>
    <row r="1715" spans="1:5" x14ac:dyDescent="0.25">
      <c r="A1715" s="24">
        <v>1714</v>
      </c>
      <c r="B1715" s="24">
        <v>524948</v>
      </c>
      <c r="C1715" s="24" t="s">
        <v>2699</v>
      </c>
      <c r="D1715" s="24">
        <v>63</v>
      </c>
      <c r="E1715" s="24">
        <v>59</v>
      </c>
    </row>
    <row r="1716" spans="1:5" x14ac:dyDescent="0.25">
      <c r="A1716" s="24">
        <v>1715</v>
      </c>
      <c r="B1716" s="24">
        <v>509337</v>
      </c>
      <c r="C1716" s="24" t="s">
        <v>2700</v>
      </c>
      <c r="D1716" s="24">
        <v>33</v>
      </c>
      <c r="E1716" s="24">
        <v>29</v>
      </c>
    </row>
    <row r="1717" spans="1:5" x14ac:dyDescent="0.25">
      <c r="A1717" s="24">
        <v>1716</v>
      </c>
      <c r="B1717" s="24">
        <v>520578</v>
      </c>
      <c r="C1717" s="24" t="s">
        <v>4239</v>
      </c>
      <c r="D1717" s="24">
        <v>60</v>
      </c>
      <c r="E1717" s="24">
        <v>56</v>
      </c>
    </row>
    <row r="1718" spans="1:5" x14ac:dyDescent="0.25">
      <c r="A1718" s="24">
        <v>1717</v>
      </c>
      <c r="B1718" s="24">
        <v>516261</v>
      </c>
      <c r="C1718" s="24" t="s">
        <v>2704</v>
      </c>
      <c r="D1718" s="24">
        <v>52</v>
      </c>
      <c r="E1718" s="24">
        <v>48</v>
      </c>
    </row>
    <row r="1719" spans="1:5" x14ac:dyDescent="0.25">
      <c r="A1719" s="24">
        <v>1718</v>
      </c>
      <c r="B1719" s="24">
        <v>519677</v>
      </c>
      <c r="C1719" s="24" t="s">
        <v>2705</v>
      </c>
      <c r="D1719" s="24">
        <v>56</v>
      </c>
      <c r="E1719" s="24">
        <v>52</v>
      </c>
    </row>
    <row r="1720" spans="1:5" x14ac:dyDescent="0.25">
      <c r="A1720" s="24">
        <v>1719</v>
      </c>
      <c r="B1720" s="24">
        <v>543420</v>
      </c>
      <c r="C1720" s="24" t="s">
        <v>2706</v>
      </c>
      <c r="D1720" s="24">
        <v>59</v>
      </c>
      <c r="E1720" s="24">
        <v>55</v>
      </c>
    </row>
    <row r="1721" spans="1:5" x14ac:dyDescent="0.25">
      <c r="A1721" s="24">
        <v>1720</v>
      </c>
      <c r="B1721" s="24">
        <v>527700</v>
      </c>
      <c r="C1721" s="24" t="s">
        <v>2707</v>
      </c>
      <c r="D1721" s="24">
        <v>66</v>
      </c>
      <c r="E1721" s="24">
        <v>62</v>
      </c>
    </row>
    <row r="1722" spans="1:5" x14ac:dyDescent="0.25">
      <c r="A1722" s="24">
        <v>1721</v>
      </c>
      <c r="B1722" s="24">
        <v>543438</v>
      </c>
      <c r="C1722" s="24" t="s">
        <v>2707</v>
      </c>
      <c r="D1722" s="24">
        <v>78</v>
      </c>
      <c r="E1722" s="24">
        <v>70</v>
      </c>
    </row>
    <row r="1723" spans="1:5" x14ac:dyDescent="0.25">
      <c r="A1723" s="24">
        <v>1722</v>
      </c>
      <c r="B1723" s="24">
        <v>520586</v>
      </c>
      <c r="C1723" s="24" t="s">
        <v>2708</v>
      </c>
      <c r="D1723" s="24">
        <v>60</v>
      </c>
      <c r="E1723" s="24">
        <v>56</v>
      </c>
    </row>
    <row r="1724" spans="1:5" x14ac:dyDescent="0.25">
      <c r="A1724" s="24">
        <v>1723</v>
      </c>
      <c r="B1724" s="24">
        <v>524956</v>
      </c>
      <c r="C1724" s="24" t="s">
        <v>2709</v>
      </c>
      <c r="D1724" s="24">
        <v>63</v>
      </c>
      <c r="E1724" s="24">
        <v>59</v>
      </c>
    </row>
    <row r="1725" spans="1:5" x14ac:dyDescent="0.25">
      <c r="A1725" s="24">
        <v>1724</v>
      </c>
      <c r="B1725" s="24">
        <v>521825</v>
      </c>
      <c r="C1725" s="24" t="s">
        <v>2710</v>
      </c>
      <c r="D1725" s="24">
        <v>74</v>
      </c>
      <c r="E1725" s="24">
        <v>66</v>
      </c>
    </row>
    <row r="1726" spans="1:5" x14ac:dyDescent="0.25">
      <c r="A1726" s="24">
        <v>1725</v>
      </c>
      <c r="B1726" s="24">
        <v>505277</v>
      </c>
      <c r="C1726" s="24" t="s">
        <v>2711</v>
      </c>
      <c r="D1726" s="24">
        <v>16</v>
      </c>
      <c r="E1726" s="24">
        <v>12</v>
      </c>
    </row>
    <row r="1727" spans="1:5" x14ac:dyDescent="0.25">
      <c r="A1727" s="24">
        <v>1726</v>
      </c>
      <c r="B1727" s="24">
        <v>506354</v>
      </c>
      <c r="C1727" s="24" t="s">
        <v>2712</v>
      </c>
      <c r="D1727" s="24">
        <v>24</v>
      </c>
      <c r="E1727" s="24">
        <v>20</v>
      </c>
    </row>
    <row r="1728" spans="1:5" x14ac:dyDescent="0.25">
      <c r="A1728" s="24">
        <v>1727</v>
      </c>
      <c r="B1728" s="24">
        <v>519685</v>
      </c>
      <c r="C1728" s="24" t="s">
        <v>2713</v>
      </c>
      <c r="D1728" s="24">
        <v>56</v>
      </c>
      <c r="E1728" s="24">
        <v>52</v>
      </c>
    </row>
    <row r="1729" spans="1:5" x14ac:dyDescent="0.25">
      <c r="A1729" s="24">
        <v>1728</v>
      </c>
      <c r="B1729" s="24">
        <v>528943</v>
      </c>
      <c r="C1729" s="24" t="s">
        <v>2714</v>
      </c>
      <c r="D1729" s="24">
        <v>68</v>
      </c>
      <c r="E1729" s="24">
        <v>64</v>
      </c>
    </row>
    <row r="1730" spans="1:5" x14ac:dyDescent="0.25">
      <c r="A1730" s="24">
        <v>1729</v>
      </c>
      <c r="B1730" s="24">
        <v>512494</v>
      </c>
      <c r="C1730" s="24" t="s">
        <v>2715</v>
      </c>
      <c r="D1730" s="24">
        <v>40</v>
      </c>
      <c r="E1730" s="24">
        <v>36</v>
      </c>
    </row>
    <row r="1731" spans="1:5" x14ac:dyDescent="0.25">
      <c r="A1731" s="24">
        <v>1730</v>
      </c>
      <c r="B1731" s="24">
        <v>524964</v>
      </c>
      <c r="C1731" s="24" t="s">
        <v>2716</v>
      </c>
      <c r="D1731" s="24">
        <v>62</v>
      </c>
      <c r="E1731" s="24">
        <v>58</v>
      </c>
    </row>
    <row r="1732" spans="1:5" x14ac:dyDescent="0.25">
      <c r="A1732" s="24">
        <v>1731</v>
      </c>
      <c r="B1732" s="24">
        <v>502618</v>
      </c>
      <c r="C1732" s="24" t="s">
        <v>2717</v>
      </c>
      <c r="D1732" s="24">
        <v>26</v>
      </c>
      <c r="E1732" s="24">
        <v>22</v>
      </c>
    </row>
    <row r="1733" spans="1:5" x14ac:dyDescent="0.25">
      <c r="A1733" s="24">
        <v>1732</v>
      </c>
      <c r="B1733" s="24">
        <v>521833</v>
      </c>
      <c r="C1733" s="24" t="s">
        <v>2718</v>
      </c>
      <c r="D1733" s="24">
        <v>74</v>
      </c>
      <c r="E1733" s="24">
        <v>66</v>
      </c>
    </row>
    <row r="1734" spans="1:5" x14ac:dyDescent="0.25">
      <c r="A1734" s="24">
        <v>1733</v>
      </c>
      <c r="B1734" s="24">
        <v>506371</v>
      </c>
      <c r="C1734" s="24" t="s">
        <v>2719</v>
      </c>
      <c r="D1734" s="24">
        <v>24</v>
      </c>
      <c r="E1734" s="24">
        <v>20</v>
      </c>
    </row>
    <row r="1735" spans="1:5" x14ac:dyDescent="0.25">
      <c r="A1735" s="24">
        <v>1734</v>
      </c>
      <c r="B1735" s="24">
        <v>514284</v>
      </c>
      <c r="C1735" s="24" t="s">
        <v>2720</v>
      </c>
      <c r="D1735" s="24">
        <v>22</v>
      </c>
      <c r="E1735" s="24">
        <v>18</v>
      </c>
    </row>
    <row r="1736" spans="1:5" x14ac:dyDescent="0.25">
      <c r="A1736" s="24">
        <v>1735</v>
      </c>
      <c r="B1736" s="24">
        <v>516279</v>
      </c>
      <c r="C1736" s="24" t="s">
        <v>2721</v>
      </c>
      <c r="D1736" s="24">
        <v>52</v>
      </c>
      <c r="E1736" s="24">
        <v>48</v>
      </c>
    </row>
    <row r="1737" spans="1:5" x14ac:dyDescent="0.25">
      <c r="A1737" s="24">
        <v>1736</v>
      </c>
      <c r="B1737" s="24">
        <v>516287</v>
      </c>
      <c r="C1737" s="24" t="s">
        <v>2723</v>
      </c>
      <c r="D1737" s="24">
        <v>52</v>
      </c>
      <c r="E1737" s="24">
        <v>48</v>
      </c>
    </row>
    <row r="1738" spans="1:5" x14ac:dyDescent="0.25">
      <c r="A1738" s="24">
        <v>1737</v>
      </c>
      <c r="B1738" s="24">
        <v>521841</v>
      </c>
      <c r="C1738" s="24" t="s">
        <v>2724</v>
      </c>
      <c r="D1738" s="24">
        <v>74</v>
      </c>
      <c r="E1738" s="24">
        <v>66</v>
      </c>
    </row>
    <row r="1739" spans="1:5" x14ac:dyDescent="0.25">
      <c r="A1739" s="24">
        <v>1738</v>
      </c>
      <c r="B1739" s="24">
        <v>556491</v>
      </c>
      <c r="C1739" s="24" t="s">
        <v>2725</v>
      </c>
      <c r="D1739" s="24">
        <v>15</v>
      </c>
      <c r="E1739" s="24">
        <v>11</v>
      </c>
    </row>
    <row r="1740" spans="1:5" x14ac:dyDescent="0.25">
      <c r="A1740" s="24">
        <v>1739</v>
      </c>
      <c r="B1740" s="24">
        <v>505285</v>
      </c>
      <c r="C1740" s="24" t="s">
        <v>2726</v>
      </c>
      <c r="D1740" s="24">
        <v>30</v>
      </c>
      <c r="E1740" s="24">
        <v>26</v>
      </c>
    </row>
    <row r="1741" spans="1:5" x14ac:dyDescent="0.25">
      <c r="A1741" s="24">
        <v>1740</v>
      </c>
      <c r="B1741" s="24">
        <v>508837</v>
      </c>
      <c r="C1741" s="24" t="s">
        <v>2727</v>
      </c>
      <c r="D1741" s="24">
        <v>43</v>
      </c>
      <c r="E1741" s="24">
        <v>39</v>
      </c>
    </row>
    <row r="1742" spans="1:5" x14ac:dyDescent="0.25">
      <c r="A1742" s="24">
        <v>1741</v>
      </c>
      <c r="B1742" s="24">
        <v>515248</v>
      </c>
      <c r="C1742" s="24" t="s">
        <v>2728</v>
      </c>
      <c r="D1742" s="24">
        <v>51</v>
      </c>
      <c r="E1742" s="24">
        <v>47</v>
      </c>
    </row>
    <row r="1743" spans="1:5" x14ac:dyDescent="0.25">
      <c r="A1743" s="24">
        <v>1742</v>
      </c>
      <c r="B1743" s="24">
        <v>509892</v>
      </c>
      <c r="C1743" s="24" t="s">
        <v>2729</v>
      </c>
      <c r="D1743" s="24">
        <v>38</v>
      </c>
      <c r="E1743" s="24">
        <v>34</v>
      </c>
    </row>
    <row r="1744" spans="1:5" x14ac:dyDescent="0.25">
      <c r="A1744" s="24">
        <v>1743</v>
      </c>
      <c r="B1744" s="24">
        <v>509906</v>
      </c>
      <c r="C1744" s="24" t="s">
        <v>2730</v>
      </c>
      <c r="D1744" s="24">
        <v>38</v>
      </c>
      <c r="E1744" s="24">
        <v>34</v>
      </c>
    </row>
    <row r="1745" spans="1:5" x14ac:dyDescent="0.25">
      <c r="A1745" s="24">
        <v>1744</v>
      </c>
      <c r="B1745" s="24">
        <v>509914</v>
      </c>
      <c r="C1745" s="24" t="s">
        <v>2731</v>
      </c>
      <c r="D1745" s="24">
        <v>38</v>
      </c>
      <c r="E1745" s="24">
        <v>34</v>
      </c>
    </row>
    <row r="1746" spans="1:5" x14ac:dyDescent="0.25">
      <c r="A1746" s="24">
        <v>1745</v>
      </c>
      <c r="B1746" s="24">
        <v>509922</v>
      </c>
      <c r="C1746" s="24" t="s">
        <v>4240</v>
      </c>
      <c r="D1746" s="24">
        <v>34</v>
      </c>
      <c r="E1746" s="24">
        <v>30</v>
      </c>
    </row>
    <row r="1747" spans="1:5" x14ac:dyDescent="0.25">
      <c r="A1747" s="24">
        <v>1746</v>
      </c>
      <c r="B1747" s="24">
        <v>509931</v>
      </c>
      <c r="C1747" s="24" t="s">
        <v>2734</v>
      </c>
      <c r="D1747" s="24">
        <v>38</v>
      </c>
      <c r="E1747" s="24">
        <v>34</v>
      </c>
    </row>
    <row r="1748" spans="1:5" x14ac:dyDescent="0.25">
      <c r="A1748" s="24">
        <v>1747</v>
      </c>
      <c r="B1748" s="24">
        <v>509949</v>
      </c>
      <c r="C1748" s="24" t="s">
        <v>2735</v>
      </c>
      <c r="D1748" s="24">
        <v>41</v>
      </c>
      <c r="E1748" s="24">
        <v>37</v>
      </c>
    </row>
    <row r="1749" spans="1:5" x14ac:dyDescent="0.25">
      <c r="A1749" s="24">
        <v>1748</v>
      </c>
      <c r="B1749" s="24">
        <v>509957</v>
      </c>
      <c r="C1749" s="24" t="s">
        <v>2736</v>
      </c>
      <c r="D1749" s="24">
        <v>34</v>
      </c>
      <c r="E1749" s="24">
        <v>30</v>
      </c>
    </row>
    <row r="1750" spans="1:5" x14ac:dyDescent="0.25">
      <c r="A1750" s="24">
        <v>1749</v>
      </c>
      <c r="B1750" s="24">
        <v>543446</v>
      </c>
      <c r="C1750" s="24" t="s">
        <v>2737</v>
      </c>
      <c r="D1750" s="24">
        <v>59</v>
      </c>
      <c r="E1750" s="24">
        <v>55</v>
      </c>
    </row>
    <row r="1751" spans="1:5" x14ac:dyDescent="0.25">
      <c r="A1751" s="24">
        <v>1750</v>
      </c>
      <c r="B1751" s="24">
        <v>522830</v>
      </c>
      <c r="C1751" s="24" t="s">
        <v>2738</v>
      </c>
      <c r="D1751" s="24">
        <v>77</v>
      </c>
      <c r="E1751" s="24">
        <v>69</v>
      </c>
    </row>
    <row r="1752" spans="1:5" x14ac:dyDescent="0.25">
      <c r="A1752" s="24">
        <v>1751</v>
      </c>
      <c r="B1752" s="24">
        <v>501859</v>
      </c>
      <c r="C1752" s="24" t="s">
        <v>2740</v>
      </c>
      <c r="D1752" s="24">
        <v>9</v>
      </c>
      <c r="E1752" s="24">
        <v>5</v>
      </c>
    </row>
    <row r="1753" spans="1:5" x14ac:dyDescent="0.25">
      <c r="A1753" s="24">
        <v>1752</v>
      </c>
      <c r="B1753" s="24">
        <v>504599</v>
      </c>
      <c r="C1753" s="24" t="s">
        <v>2742</v>
      </c>
      <c r="D1753" s="24">
        <v>14</v>
      </c>
      <c r="E1753" s="24">
        <v>10</v>
      </c>
    </row>
    <row r="1754" spans="1:5" x14ac:dyDescent="0.25">
      <c r="A1754" s="24">
        <v>1753</v>
      </c>
      <c r="B1754" s="24">
        <v>522848</v>
      </c>
      <c r="C1754" s="24" t="s">
        <v>2742</v>
      </c>
      <c r="D1754" s="24">
        <v>75</v>
      </c>
      <c r="E1754" s="24">
        <v>67</v>
      </c>
    </row>
    <row r="1755" spans="1:5" x14ac:dyDescent="0.25">
      <c r="A1755" s="24">
        <v>1754</v>
      </c>
      <c r="B1755" s="24">
        <v>556211</v>
      </c>
      <c r="C1755" s="24" t="s">
        <v>2743</v>
      </c>
      <c r="D1755" s="24">
        <v>30</v>
      </c>
      <c r="E1755" s="24">
        <v>26</v>
      </c>
    </row>
    <row r="1756" spans="1:5" x14ac:dyDescent="0.25">
      <c r="A1756" s="24">
        <v>1755</v>
      </c>
      <c r="B1756" s="24">
        <v>526941</v>
      </c>
      <c r="C1756" s="24" t="s">
        <v>2745</v>
      </c>
      <c r="D1756" s="24">
        <v>65</v>
      </c>
      <c r="E1756" s="24">
        <v>61</v>
      </c>
    </row>
    <row r="1757" spans="1:5" x14ac:dyDescent="0.25">
      <c r="A1757" s="24">
        <v>1756</v>
      </c>
      <c r="B1757" s="24">
        <v>580546</v>
      </c>
      <c r="C1757" s="24" t="s">
        <v>2747</v>
      </c>
      <c r="D1757" s="24">
        <v>54</v>
      </c>
      <c r="E1757" s="24">
        <v>50</v>
      </c>
    </row>
    <row r="1758" spans="1:5" x14ac:dyDescent="0.25">
      <c r="A1758" s="24">
        <v>1757</v>
      </c>
      <c r="B1758" s="24">
        <v>519693</v>
      </c>
      <c r="C1758" s="24" t="s">
        <v>2748</v>
      </c>
      <c r="D1758" s="24">
        <v>56</v>
      </c>
      <c r="E1758" s="24">
        <v>52</v>
      </c>
    </row>
    <row r="1759" spans="1:5" x14ac:dyDescent="0.25">
      <c r="A1759" s="24">
        <v>1758</v>
      </c>
      <c r="B1759" s="24">
        <v>509965</v>
      </c>
      <c r="C1759" s="24" t="s">
        <v>2749</v>
      </c>
      <c r="D1759" s="24">
        <v>34</v>
      </c>
      <c r="E1759" s="24">
        <v>30</v>
      </c>
    </row>
    <row r="1760" spans="1:5" x14ac:dyDescent="0.25">
      <c r="A1760" s="24">
        <v>1759</v>
      </c>
      <c r="B1760" s="24">
        <v>520594</v>
      </c>
      <c r="C1760" s="24" t="s">
        <v>2750</v>
      </c>
      <c r="D1760" s="24">
        <v>64</v>
      </c>
      <c r="E1760" s="24">
        <v>60</v>
      </c>
    </row>
    <row r="1761" spans="1:5" x14ac:dyDescent="0.25">
      <c r="A1761" s="24">
        <v>1760</v>
      </c>
      <c r="B1761" s="24">
        <v>519707</v>
      </c>
      <c r="C1761" s="24" t="s">
        <v>2751</v>
      </c>
      <c r="D1761" s="24">
        <v>56</v>
      </c>
      <c r="E1761" s="24">
        <v>52</v>
      </c>
    </row>
    <row r="1762" spans="1:5" x14ac:dyDescent="0.25">
      <c r="A1762" s="24">
        <v>1761</v>
      </c>
      <c r="B1762" s="24">
        <v>514292</v>
      </c>
      <c r="C1762" s="24" t="s">
        <v>4241</v>
      </c>
      <c r="D1762" s="24">
        <v>22</v>
      </c>
      <c r="E1762" s="24">
        <v>18</v>
      </c>
    </row>
    <row r="1763" spans="1:5" x14ac:dyDescent="0.25">
      <c r="A1763" s="24">
        <v>1762</v>
      </c>
      <c r="B1763" s="24">
        <v>508845</v>
      </c>
      <c r="C1763" s="24" t="s">
        <v>2753</v>
      </c>
      <c r="D1763" s="24">
        <v>45</v>
      </c>
      <c r="E1763" s="24">
        <v>41</v>
      </c>
    </row>
    <row r="1764" spans="1:5" x14ac:dyDescent="0.25">
      <c r="A1764" s="24">
        <v>1763</v>
      </c>
      <c r="B1764" s="24">
        <v>518671</v>
      </c>
      <c r="C1764" s="24" t="s">
        <v>2754</v>
      </c>
      <c r="D1764" s="24">
        <v>53</v>
      </c>
      <c r="E1764" s="24">
        <v>49</v>
      </c>
    </row>
    <row r="1765" spans="1:5" x14ac:dyDescent="0.25">
      <c r="A1765" s="24">
        <v>1764</v>
      </c>
      <c r="B1765" s="24">
        <v>505307</v>
      </c>
      <c r="C1765" s="24" t="s">
        <v>4242</v>
      </c>
      <c r="D1765" s="24">
        <v>20</v>
      </c>
      <c r="E1765" s="24">
        <v>16</v>
      </c>
    </row>
    <row r="1766" spans="1:5" x14ac:dyDescent="0.25">
      <c r="A1766" s="24">
        <v>1765</v>
      </c>
      <c r="B1766" s="24">
        <v>507385</v>
      </c>
      <c r="C1766" s="24" t="s">
        <v>1129</v>
      </c>
      <c r="D1766" s="24">
        <v>12</v>
      </c>
      <c r="E1766" s="24">
        <v>8</v>
      </c>
    </row>
    <row r="1767" spans="1:5" x14ac:dyDescent="0.25">
      <c r="A1767" s="24">
        <v>1766</v>
      </c>
      <c r="B1767" s="24">
        <v>522856</v>
      </c>
      <c r="C1767" s="24" t="s">
        <v>1129</v>
      </c>
      <c r="D1767" s="24">
        <v>77</v>
      </c>
      <c r="E1767" s="24">
        <v>69</v>
      </c>
    </row>
    <row r="1768" spans="1:5" x14ac:dyDescent="0.25">
      <c r="A1768" s="24">
        <v>1767</v>
      </c>
      <c r="B1768" s="24">
        <v>524981</v>
      </c>
      <c r="C1768" s="24" t="s">
        <v>2757</v>
      </c>
      <c r="D1768" s="24">
        <v>63</v>
      </c>
      <c r="E1768" s="24">
        <v>59</v>
      </c>
    </row>
    <row r="1769" spans="1:5" x14ac:dyDescent="0.25">
      <c r="A1769" s="24">
        <v>1768</v>
      </c>
      <c r="B1769" s="24">
        <v>517119</v>
      </c>
      <c r="C1769" s="24" t="s">
        <v>2759</v>
      </c>
      <c r="D1769" s="24">
        <v>54</v>
      </c>
      <c r="E1769" s="24">
        <v>50</v>
      </c>
    </row>
    <row r="1770" spans="1:5" x14ac:dyDescent="0.25">
      <c r="A1770" s="24">
        <v>1769</v>
      </c>
      <c r="B1770" s="24">
        <v>523771</v>
      </c>
      <c r="C1770" s="24" t="s">
        <v>2760</v>
      </c>
      <c r="D1770" s="24">
        <v>58</v>
      </c>
      <c r="E1770" s="24">
        <v>54</v>
      </c>
    </row>
    <row r="1771" spans="1:5" x14ac:dyDescent="0.25">
      <c r="A1771" s="24">
        <v>1770</v>
      </c>
      <c r="B1771" s="24">
        <v>504602</v>
      </c>
      <c r="C1771" s="24" t="s">
        <v>2761</v>
      </c>
      <c r="D1771" s="24">
        <v>13</v>
      </c>
      <c r="E1771" s="24">
        <v>9</v>
      </c>
    </row>
    <row r="1772" spans="1:5" x14ac:dyDescent="0.25">
      <c r="A1772" s="24">
        <v>1771</v>
      </c>
      <c r="B1772" s="24">
        <v>509345</v>
      </c>
      <c r="C1772" s="24" t="s">
        <v>2762</v>
      </c>
      <c r="D1772" s="24">
        <v>33</v>
      </c>
      <c r="E1772" s="24">
        <v>29</v>
      </c>
    </row>
    <row r="1773" spans="1:5" x14ac:dyDescent="0.25">
      <c r="A1773" s="24">
        <v>1772</v>
      </c>
      <c r="B1773" s="24">
        <v>556289</v>
      </c>
      <c r="C1773" s="24" t="s">
        <v>1415</v>
      </c>
      <c r="D1773" s="24">
        <v>16</v>
      </c>
      <c r="E1773" s="24">
        <v>12</v>
      </c>
    </row>
    <row r="1774" spans="1:5" x14ac:dyDescent="0.25">
      <c r="A1774" s="24">
        <v>1773</v>
      </c>
      <c r="B1774" s="24">
        <v>515256</v>
      </c>
      <c r="C1774" s="24" t="s">
        <v>2764</v>
      </c>
      <c r="D1774" s="24">
        <v>50</v>
      </c>
      <c r="E1774" s="24">
        <v>46</v>
      </c>
    </row>
    <row r="1775" spans="1:5" x14ac:dyDescent="0.25">
      <c r="A1775" s="24">
        <v>1774</v>
      </c>
      <c r="B1775" s="24">
        <v>547611</v>
      </c>
      <c r="C1775" s="24" t="s">
        <v>2765</v>
      </c>
      <c r="D1775" s="24">
        <v>42</v>
      </c>
      <c r="E1775" s="24">
        <v>38</v>
      </c>
    </row>
    <row r="1776" spans="1:5" x14ac:dyDescent="0.25">
      <c r="A1776" s="24">
        <v>1775</v>
      </c>
      <c r="B1776" s="24">
        <v>524999</v>
      </c>
      <c r="C1776" s="24" t="s">
        <v>2766</v>
      </c>
      <c r="D1776" s="24">
        <v>62</v>
      </c>
      <c r="E1776" s="24">
        <v>58</v>
      </c>
    </row>
    <row r="1777" spans="1:5" x14ac:dyDescent="0.25">
      <c r="A1777" s="24">
        <v>1776</v>
      </c>
      <c r="B1777" s="24">
        <v>511684</v>
      </c>
      <c r="C1777" s="24" t="s">
        <v>2767</v>
      </c>
      <c r="D1777" s="24">
        <v>49</v>
      </c>
      <c r="E1777" s="24">
        <v>45</v>
      </c>
    </row>
    <row r="1778" spans="1:5" x14ac:dyDescent="0.25">
      <c r="A1778" s="24">
        <v>1777</v>
      </c>
      <c r="B1778" s="24">
        <v>515264</v>
      </c>
      <c r="C1778" s="24" t="s">
        <v>2768</v>
      </c>
      <c r="D1778" s="24">
        <v>51</v>
      </c>
      <c r="E1778" s="24">
        <v>47</v>
      </c>
    </row>
    <row r="1779" spans="1:5" x14ac:dyDescent="0.25">
      <c r="A1779" s="24">
        <v>1778</v>
      </c>
      <c r="B1779" s="24">
        <v>526061</v>
      </c>
      <c r="C1779" s="24" t="s">
        <v>2770</v>
      </c>
      <c r="D1779" s="24">
        <v>76</v>
      </c>
      <c r="E1779" s="24">
        <v>68</v>
      </c>
    </row>
    <row r="1780" spans="1:5" x14ac:dyDescent="0.25">
      <c r="A1780" s="24">
        <v>1779</v>
      </c>
      <c r="B1780" s="24">
        <v>501867</v>
      </c>
      <c r="C1780" s="24" t="s">
        <v>2771</v>
      </c>
      <c r="D1780" s="24">
        <v>9</v>
      </c>
      <c r="E1780" s="24">
        <v>5</v>
      </c>
    </row>
    <row r="1781" spans="1:5" x14ac:dyDescent="0.25">
      <c r="A1781" s="24">
        <v>1780</v>
      </c>
      <c r="B1781" s="24">
        <v>515272</v>
      </c>
      <c r="C1781" s="24" t="s">
        <v>2772</v>
      </c>
      <c r="D1781" s="24">
        <v>51</v>
      </c>
      <c r="E1781" s="24">
        <v>47</v>
      </c>
    </row>
    <row r="1782" spans="1:5" x14ac:dyDescent="0.25">
      <c r="A1782" s="24">
        <v>1781</v>
      </c>
      <c r="B1782" s="24">
        <v>528951</v>
      </c>
      <c r="C1782" s="24" t="s">
        <v>2774</v>
      </c>
      <c r="D1782" s="24">
        <v>57</v>
      </c>
      <c r="E1782" s="24">
        <v>53</v>
      </c>
    </row>
    <row r="1783" spans="1:5" x14ac:dyDescent="0.25">
      <c r="A1783" s="24">
        <v>1782</v>
      </c>
      <c r="B1783" s="24">
        <v>503452</v>
      </c>
      <c r="C1783" s="24" t="s">
        <v>2775</v>
      </c>
      <c r="D1783" s="24">
        <v>28</v>
      </c>
      <c r="E1783" s="24">
        <v>24</v>
      </c>
    </row>
    <row r="1784" spans="1:5" x14ac:dyDescent="0.25">
      <c r="A1784" s="24">
        <v>1783</v>
      </c>
      <c r="B1784" s="24">
        <v>522864</v>
      </c>
      <c r="C1784" s="24" t="s">
        <v>2776</v>
      </c>
      <c r="D1784" s="24">
        <v>75</v>
      </c>
      <c r="E1784" s="24">
        <v>67</v>
      </c>
    </row>
    <row r="1785" spans="1:5" x14ac:dyDescent="0.25">
      <c r="A1785" s="24">
        <v>1784</v>
      </c>
      <c r="B1785" s="24">
        <v>520616</v>
      </c>
      <c r="C1785" s="24" t="s">
        <v>2778</v>
      </c>
      <c r="D1785" s="24">
        <v>60</v>
      </c>
      <c r="E1785" s="24">
        <v>56</v>
      </c>
    </row>
    <row r="1786" spans="1:5" x14ac:dyDescent="0.25">
      <c r="A1786" s="24">
        <v>1785</v>
      </c>
      <c r="B1786" s="24">
        <v>500666</v>
      </c>
      <c r="C1786" s="24" t="s">
        <v>2779</v>
      </c>
      <c r="D1786" s="24">
        <v>27</v>
      </c>
      <c r="E1786" s="24">
        <v>23</v>
      </c>
    </row>
    <row r="1787" spans="1:5" x14ac:dyDescent="0.25">
      <c r="A1787" s="24">
        <v>1786</v>
      </c>
      <c r="B1787" s="24">
        <v>511692</v>
      </c>
      <c r="C1787" s="24" t="s">
        <v>2780</v>
      </c>
      <c r="D1787" s="24">
        <v>48</v>
      </c>
      <c r="E1787" s="24">
        <v>44</v>
      </c>
    </row>
    <row r="1788" spans="1:5" x14ac:dyDescent="0.25">
      <c r="A1788" s="24">
        <v>1787</v>
      </c>
      <c r="B1788" s="24">
        <v>521850</v>
      </c>
      <c r="C1788" s="24" t="s">
        <v>2781</v>
      </c>
      <c r="D1788" s="24">
        <v>74</v>
      </c>
      <c r="E1788" s="24">
        <v>72</v>
      </c>
    </row>
    <row r="1789" spans="1:5" x14ac:dyDescent="0.25">
      <c r="A1789" s="24">
        <v>1788</v>
      </c>
      <c r="B1789" s="24">
        <v>520624</v>
      </c>
      <c r="C1789" s="24" t="s">
        <v>2782</v>
      </c>
      <c r="D1789" s="24">
        <v>57</v>
      </c>
      <c r="E1789" s="24">
        <v>53</v>
      </c>
    </row>
    <row r="1790" spans="1:5" x14ac:dyDescent="0.25">
      <c r="A1790" s="24">
        <v>1789</v>
      </c>
      <c r="B1790" s="24">
        <v>513466</v>
      </c>
      <c r="C1790" s="24" t="s">
        <v>2783</v>
      </c>
      <c r="D1790" s="24">
        <v>21</v>
      </c>
      <c r="E1790" s="24">
        <v>17</v>
      </c>
    </row>
    <row r="1791" spans="1:5" x14ac:dyDescent="0.25">
      <c r="A1791" s="24">
        <v>1790</v>
      </c>
      <c r="B1791" s="24">
        <v>528676</v>
      </c>
      <c r="C1791" s="24" t="s">
        <v>2784</v>
      </c>
      <c r="D1791" s="24">
        <v>79</v>
      </c>
      <c r="E1791" s="24">
        <v>71</v>
      </c>
    </row>
    <row r="1792" spans="1:5" x14ac:dyDescent="0.25">
      <c r="A1792" s="24">
        <v>1791</v>
      </c>
      <c r="B1792" s="24">
        <v>520632</v>
      </c>
      <c r="C1792" s="24" t="s">
        <v>2785</v>
      </c>
      <c r="D1792" s="24">
        <v>64</v>
      </c>
      <c r="E1792" s="24">
        <v>60</v>
      </c>
    </row>
    <row r="1793" spans="1:5" x14ac:dyDescent="0.25">
      <c r="A1793" s="24">
        <v>1792</v>
      </c>
      <c r="B1793" s="24">
        <v>509973</v>
      </c>
      <c r="C1793" s="24" t="s">
        <v>2786</v>
      </c>
      <c r="D1793" s="24">
        <v>34</v>
      </c>
      <c r="E1793" s="24">
        <v>30</v>
      </c>
    </row>
    <row r="1794" spans="1:5" x14ac:dyDescent="0.25">
      <c r="A1794" s="24">
        <v>1793</v>
      </c>
      <c r="B1794" s="24">
        <v>510904</v>
      </c>
      <c r="C1794" s="24" t="s">
        <v>2787</v>
      </c>
      <c r="D1794" s="24">
        <v>36</v>
      </c>
      <c r="E1794" s="24">
        <v>32</v>
      </c>
    </row>
    <row r="1795" spans="1:5" x14ac:dyDescent="0.25">
      <c r="A1795" s="24">
        <v>1794</v>
      </c>
      <c r="B1795" s="24">
        <v>505315</v>
      </c>
      <c r="C1795" s="24" t="s">
        <v>2788</v>
      </c>
      <c r="D1795" s="24">
        <v>20</v>
      </c>
      <c r="E1795" s="24">
        <v>16</v>
      </c>
    </row>
    <row r="1796" spans="1:5" x14ac:dyDescent="0.25">
      <c r="A1796" s="24">
        <v>1795</v>
      </c>
      <c r="B1796" s="24">
        <v>502626</v>
      </c>
      <c r="C1796" s="24" t="s">
        <v>2789</v>
      </c>
      <c r="D1796" s="24">
        <v>26</v>
      </c>
      <c r="E1796" s="24">
        <v>22</v>
      </c>
    </row>
    <row r="1797" spans="1:5" x14ac:dyDescent="0.25">
      <c r="A1797" s="24">
        <v>1796</v>
      </c>
      <c r="B1797" s="24">
        <v>507415</v>
      </c>
      <c r="C1797" s="24" t="s">
        <v>2790</v>
      </c>
      <c r="D1797" s="24">
        <v>11</v>
      </c>
      <c r="E1797" s="24">
        <v>7</v>
      </c>
    </row>
    <row r="1798" spans="1:5" x14ac:dyDescent="0.25">
      <c r="A1798" s="24">
        <v>1797</v>
      </c>
      <c r="B1798" s="24">
        <v>526070</v>
      </c>
      <c r="C1798" s="24" t="s">
        <v>2792</v>
      </c>
      <c r="D1798" s="24">
        <v>76</v>
      </c>
      <c r="E1798" s="24">
        <v>68</v>
      </c>
    </row>
    <row r="1799" spans="1:5" x14ac:dyDescent="0.25">
      <c r="A1799" s="24">
        <v>1798</v>
      </c>
      <c r="B1799" s="24">
        <v>547620</v>
      </c>
      <c r="C1799" s="24" t="s">
        <v>2793</v>
      </c>
      <c r="D1799" s="24">
        <v>42</v>
      </c>
      <c r="E1799" s="24">
        <v>38</v>
      </c>
    </row>
    <row r="1800" spans="1:5" x14ac:dyDescent="0.25">
      <c r="A1800" s="24">
        <v>1799</v>
      </c>
      <c r="B1800" s="24">
        <v>503959</v>
      </c>
      <c r="C1800" s="24" t="s">
        <v>2794</v>
      </c>
      <c r="D1800" s="24">
        <v>10</v>
      </c>
      <c r="E1800" s="24">
        <v>6</v>
      </c>
    </row>
    <row r="1801" spans="1:5" x14ac:dyDescent="0.25">
      <c r="A1801" s="24">
        <v>1800</v>
      </c>
      <c r="B1801" s="24">
        <v>501883</v>
      </c>
      <c r="C1801" s="24" t="s">
        <v>2791</v>
      </c>
      <c r="D1801" s="24">
        <v>9</v>
      </c>
      <c r="E1801" s="24">
        <v>5</v>
      </c>
    </row>
    <row r="1802" spans="1:5" x14ac:dyDescent="0.25">
      <c r="A1802" s="24">
        <v>1801</v>
      </c>
      <c r="B1802" s="24">
        <v>501310</v>
      </c>
      <c r="C1802" s="24" t="s">
        <v>2795</v>
      </c>
      <c r="D1802" s="24">
        <v>25</v>
      </c>
      <c r="E1802" s="24">
        <v>21</v>
      </c>
    </row>
    <row r="1803" spans="1:5" x14ac:dyDescent="0.25">
      <c r="A1803" s="24">
        <v>1802</v>
      </c>
      <c r="B1803" s="24">
        <v>510912</v>
      </c>
      <c r="C1803" s="24" t="s">
        <v>2796</v>
      </c>
      <c r="D1803" s="24">
        <v>36</v>
      </c>
      <c r="E1803" s="24">
        <v>32</v>
      </c>
    </row>
    <row r="1804" spans="1:5" x14ac:dyDescent="0.25">
      <c r="A1804" s="24">
        <v>1803</v>
      </c>
      <c r="B1804" s="24">
        <v>543454</v>
      </c>
      <c r="C1804" s="24" t="s">
        <v>2797</v>
      </c>
      <c r="D1804" s="24">
        <v>59</v>
      </c>
      <c r="E1804" s="24">
        <v>55</v>
      </c>
    </row>
    <row r="1805" spans="1:5" x14ac:dyDescent="0.25">
      <c r="A1805" s="24">
        <v>1804</v>
      </c>
      <c r="B1805" s="24">
        <v>556556</v>
      </c>
      <c r="C1805" s="24" t="s">
        <v>2798</v>
      </c>
      <c r="D1805" s="24">
        <v>15</v>
      </c>
      <c r="E1805" s="24">
        <v>11</v>
      </c>
    </row>
    <row r="1806" spans="1:5" x14ac:dyDescent="0.25">
      <c r="A1806" s="24">
        <v>1805</v>
      </c>
      <c r="B1806" s="24">
        <v>556033</v>
      </c>
      <c r="C1806" s="24" t="s">
        <v>2799</v>
      </c>
      <c r="D1806" s="24">
        <v>28</v>
      </c>
      <c r="E1806" s="24">
        <v>24</v>
      </c>
    </row>
    <row r="1807" spans="1:5" x14ac:dyDescent="0.25">
      <c r="A1807" s="24">
        <v>1806</v>
      </c>
      <c r="B1807" s="24">
        <v>510921</v>
      </c>
      <c r="C1807" s="24" t="s">
        <v>2800</v>
      </c>
      <c r="D1807" s="24">
        <v>36</v>
      </c>
      <c r="E1807" s="24">
        <v>32</v>
      </c>
    </row>
    <row r="1808" spans="1:5" x14ac:dyDescent="0.25">
      <c r="A1808" s="24">
        <v>1807</v>
      </c>
      <c r="B1808" s="24">
        <v>515281</v>
      </c>
      <c r="C1808" s="24" t="s">
        <v>2802</v>
      </c>
      <c r="D1808" s="24">
        <v>51</v>
      </c>
      <c r="E1808" s="24">
        <v>47</v>
      </c>
    </row>
    <row r="1809" spans="1:5" x14ac:dyDescent="0.25">
      <c r="A1809" s="24">
        <v>1808</v>
      </c>
      <c r="B1809" s="24">
        <v>528960</v>
      </c>
      <c r="C1809" s="24" t="s">
        <v>2802</v>
      </c>
      <c r="D1809" s="24">
        <v>68</v>
      </c>
      <c r="E1809" s="24">
        <v>64</v>
      </c>
    </row>
    <row r="1810" spans="1:5" x14ac:dyDescent="0.25">
      <c r="A1810" s="24">
        <v>1809</v>
      </c>
      <c r="B1810" s="24">
        <v>522872</v>
      </c>
      <c r="C1810" s="24" t="s">
        <v>2803</v>
      </c>
      <c r="D1810" s="24">
        <v>75</v>
      </c>
      <c r="E1810" s="24">
        <v>67</v>
      </c>
    </row>
    <row r="1811" spans="1:5" x14ac:dyDescent="0.25">
      <c r="A1811" s="24">
        <v>1810</v>
      </c>
      <c r="B1811" s="24">
        <v>505323</v>
      </c>
      <c r="C1811" s="24" t="s">
        <v>2804</v>
      </c>
      <c r="D1811" s="24">
        <v>20</v>
      </c>
      <c r="E1811" s="24">
        <v>16</v>
      </c>
    </row>
    <row r="1812" spans="1:5" x14ac:dyDescent="0.25">
      <c r="A1812" s="24">
        <v>1811</v>
      </c>
      <c r="B1812" s="24">
        <v>520641</v>
      </c>
      <c r="C1812" s="24" t="s">
        <v>2805</v>
      </c>
      <c r="D1812" s="24">
        <v>64</v>
      </c>
      <c r="E1812" s="24">
        <v>60</v>
      </c>
    </row>
    <row r="1813" spans="1:5" x14ac:dyDescent="0.25">
      <c r="A1813" s="24">
        <v>1812</v>
      </c>
      <c r="B1813" s="24">
        <v>507431</v>
      </c>
      <c r="C1813" s="24" t="s">
        <v>2806</v>
      </c>
      <c r="D1813" s="24">
        <v>12</v>
      </c>
      <c r="E1813" s="24">
        <v>8</v>
      </c>
    </row>
    <row r="1814" spans="1:5" x14ac:dyDescent="0.25">
      <c r="A1814" s="24">
        <v>1813</v>
      </c>
      <c r="B1814" s="24">
        <v>505331</v>
      </c>
      <c r="C1814" s="24" t="s">
        <v>2807</v>
      </c>
      <c r="D1814" s="24">
        <v>16</v>
      </c>
      <c r="E1814" s="24">
        <v>12</v>
      </c>
    </row>
    <row r="1815" spans="1:5" x14ac:dyDescent="0.25">
      <c r="A1815" s="24">
        <v>1814</v>
      </c>
      <c r="B1815" s="24">
        <v>502634</v>
      </c>
      <c r="C1815" s="24" t="s">
        <v>2808</v>
      </c>
      <c r="D1815" s="24">
        <v>26</v>
      </c>
      <c r="E1815" s="24">
        <v>22</v>
      </c>
    </row>
    <row r="1816" spans="1:5" x14ac:dyDescent="0.25">
      <c r="A1816" s="24">
        <v>1815</v>
      </c>
      <c r="B1816" s="24">
        <v>525006</v>
      </c>
      <c r="C1816" s="24" t="s">
        <v>2809</v>
      </c>
      <c r="D1816" s="24">
        <v>63</v>
      </c>
      <c r="E1816" s="24">
        <v>59</v>
      </c>
    </row>
    <row r="1817" spans="1:5" x14ac:dyDescent="0.25">
      <c r="A1817" s="24">
        <v>1816</v>
      </c>
      <c r="B1817" s="24">
        <v>521868</v>
      </c>
      <c r="C1817" s="24" t="s">
        <v>2810</v>
      </c>
      <c r="D1817" s="24">
        <v>74</v>
      </c>
      <c r="E1817" s="24">
        <v>72</v>
      </c>
    </row>
    <row r="1818" spans="1:5" x14ac:dyDescent="0.25">
      <c r="A1818" s="24">
        <v>1817</v>
      </c>
      <c r="B1818" s="24">
        <v>521876</v>
      </c>
      <c r="C1818" s="24" t="s">
        <v>4243</v>
      </c>
      <c r="D1818" s="24">
        <v>74</v>
      </c>
      <c r="E1818" s="24">
        <v>72</v>
      </c>
    </row>
    <row r="1819" spans="1:5" x14ac:dyDescent="0.25">
      <c r="A1819" s="24">
        <v>1818</v>
      </c>
      <c r="B1819" s="24">
        <v>508161</v>
      </c>
      <c r="C1819" s="24" t="s">
        <v>2814</v>
      </c>
      <c r="D1819" s="24">
        <v>6</v>
      </c>
      <c r="E1819" s="24">
        <v>1</v>
      </c>
    </row>
    <row r="1820" spans="1:5" x14ac:dyDescent="0.25">
      <c r="A1820" s="24">
        <v>1819</v>
      </c>
      <c r="B1820" s="24">
        <v>528978</v>
      </c>
      <c r="C1820" s="24" t="s">
        <v>2815</v>
      </c>
      <c r="D1820" s="24">
        <v>68</v>
      </c>
      <c r="E1820" s="24">
        <v>64</v>
      </c>
    </row>
    <row r="1821" spans="1:5" x14ac:dyDescent="0.25">
      <c r="A1821" s="24">
        <v>1820</v>
      </c>
      <c r="B1821" s="24">
        <v>522881</v>
      </c>
      <c r="C1821" s="24" t="s">
        <v>2817</v>
      </c>
      <c r="D1821" s="24">
        <v>75</v>
      </c>
      <c r="E1821" s="24">
        <v>67</v>
      </c>
    </row>
    <row r="1822" spans="1:5" x14ac:dyDescent="0.25">
      <c r="A1822" s="24">
        <v>1821</v>
      </c>
      <c r="B1822" s="24">
        <v>519715</v>
      </c>
      <c r="C1822" s="24" t="s">
        <v>2818</v>
      </c>
      <c r="D1822" s="24">
        <v>56</v>
      </c>
      <c r="E1822" s="24">
        <v>52</v>
      </c>
    </row>
    <row r="1823" spans="1:5" x14ac:dyDescent="0.25">
      <c r="A1823" s="24">
        <v>1822</v>
      </c>
      <c r="B1823" s="24">
        <v>581348</v>
      </c>
      <c r="C1823" s="24" t="s">
        <v>2819</v>
      </c>
      <c r="D1823" s="24">
        <v>24</v>
      </c>
      <c r="E1823" s="24">
        <v>20</v>
      </c>
    </row>
    <row r="1824" spans="1:5" x14ac:dyDescent="0.25">
      <c r="A1824" s="24">
        <v>1823</v>
      </c>
      <c r="B1824" s="24">
        <v>504611</v>
      </c>
      <c r="C1824" s="24" t="s">
        <v>2820</v>
      </c>
      <c r="D1824" s="24">
        <v>14</v>
      </c>
      <c r="E1824" s="24">
        <v>10</v>
      </c>
    </row>
    <row r="1825" spans="1:5" x14ac:dyDescent="0.25">
      <c r="A1825" s="24">
        <v>1824</v>
      </c>
      <c r="B1825" s="24">
        <v>525014</v>
      </c>
      <c r="C1825" s="24" t="s">
        <v>2822</v>
      </c>
      <c r="D1825" s="24">
        <v>62</v>
      </c>
      <c r="E1825" s="24">
        <v>58</v>
      </c>
    </row>
    <row r="1826" spans="1:5" x14ac:dyDescent="0.25">
      <c r="A1826" s="24">
        <v>1825</v>
      </c>
      <c r="B1826" s="24">
        <v>515299</v>
      </c>
      <c r="C1826" s="24" t="s">
        <v>2823</v>
      </c>
      <c r="D1826" s="24">
        <v>51</v>
      </c>
      <c r="E1826" s="24">
        <v>47</v>
      </c>
    </row>
    <row r="1827" spans="1:5" x14ac:dyDescent="0.25">
      <c r="A1827" s="24">
        <v>1826</v>
      </c>
      <c r="B1827" s="24">
        <v>522899</v>
      </c>
      <c r="C1827" s="24" t="s">
        <v>2823</v>
      </c>
      <c r="D1827" s="24">
        <v>77</v>
      </c>
      <c r="E1827" s="24">
        <v>69</v>
      </c>
    </row>
    <row r="1828" spans="1:5" x14ac:dyDescent="0.25">
      <c r="A1828" s="24">
        <v>1827</v>
      </c>
      <c r="B1828" s="24">
        <v>528986</v>
      </c>
      <c r="C1828" s="24" t="s">
        <v>2823</v>
      </c>
      <c r="D1828" s="24">
        <v>68</v>
      </c>
      <c r="E1828" s="24">
        <v>64</v>
      </c>
    </row>
    <row r="1829" spans="1:5" x14ac:dyDescent="0.25">
      <c r="A1829" s="24">
        <v>1828</v>
      </c>
      <c r="B1829" s="24">
        <v>522902</v>
      </c>
      <c r="C1829" s="24" t="s">
        <v>2824</v>
      </c>
      <c r="D1829" s="24">
        <v>75</v>
      </c>
      <c r="E1829" s="24">
        <v>67</v>
      </c>
    </row>
    <row r="1830" spans="1:5" x14ac:dyDescent="0.25">
      <c r="A1830" s="24">
        <v>1829</v>
      </c>
      <c r="B1830" s="24">
        <v>517861</v>
      </c>
      <c r="C1830" s="24" t="s">
        <v>2825</v>
      </c>
      <c r="D1830" s="24">
        <v>32</v>
      </c>
      <c r="E1830" s="24">
        <v>28</v>
      </c>
    </row>
    <row r="1831" spans="1:5" x14ac:dyDescent="0.25">
      <c r="A1831" s="24">
        <v>1830</v>
      </c>
      <c r="B1831" s="24">
        <v>526088</v>
      </c>
      <c r="C1831" s="24" t="s">
        <v>2827</v>
      </c>
      <c r="D1831" s="24">
        <v>76</v>
      </c>
      <c r="E1831" s="24">
        <v>68</v>
      </c>
    </row>
    <row r="1832" spans="1:5" x14ac:dyDescent="0.25">
      <c r="A1832" s="24">
        <v>1831</v>
      </c>
      <c r="B1832" s="24">
        <v>508179</v>
      </c>
      <c r="C1832" s="24" t="s">
        <v>2828</v>
      </c>
      <c r="D1832" s="24">
        <v>7</v>
      </c>
      <c r="E1832" s="24">
        <v>2</v>
      </c>
    </row>
    <row r="1833" spans="1:5" x14ac:dyDescent="0.25">
      <c r="A1833" s="24">
        <v>1832</v>
      </c>
      <c r="B1833" s="24">
        <v>507440</v>
      </c>
      <c r="C1833" s="24" t="s">
        <v>2829</v>
      </c>
      <c r="D1833" s="24">
        <v>12</v>
      </c>
      <c r="E1833" s="24">
        <v>8</v>
      </c>
    </row>
    <row r="1834" spans="1:5" x14ac:dyDescent="0.25">
      <c r="A1834" s="24">
        <v>1833</v>
      </c>
      <c r="B1834" s="24">
        <v>520659</v>
      </c>
      <c r="C1834" s="24" t="s">
        <v>2830</v>
      </c>
      <c r="D1834" s="24">
        <v>64</v>
      </c>
      <c r="E1834" s="24">
        <v>60</v>
      </c>
    </row>
    <row r="1835" spans="1:5" x14ac:dyDescent="0.25">
      <c r="A1835" s="24">
        <v>1834</v>
      </c>
      <c r="B1835" s="24">
        <v>508187</v>
      </c>
      <c r="C1835" s="24" t="s">
        <v>2831</v>
      </c>
      <c r="D1835" s="24">
        <v>7</v>
      </c>
      <c r="E1835" s="24">
        <v>2</v>
      </c>
    </row>
    <row r="1836" spans="1:5" x14ac:dyDescent="0.25">
      <c r="A1836" s="24">
        <v>1835</v>
      </c>
      <c r="B1836" s="24">
        <v>511706</v>
      </c>
      <c r="C1836" s="24" t="s">
        <v>2831</v>
      </c>
      <c r="D1836" s="24">
        <v>48</v>
      </c>
      <c r="E1836" s="24">
        <v>44</v>
      </c>
    </row>
    <row r="1837" spans="1:5" x14ac:dyDescent="0.25">
      <c r="A1837" s="24">
        <v>1836</v>
      </c>
      <c r="B1837" s="24">
        <v>517127</v>
      </c>
      <c r="C1837" s="24" t="s">
        <v>2831</v>
      </c>
      <c r="D1837" s="24">
        <v>54</v>
      </c>
      <c r="E1837" s="24">
        <v>50</v>
      </c>
    </row>
    <row r="1838" spans="1:5" x14ac:dyDescent="0.25">
      <c r="A1838" s="24">
        <v>1837</v>
      </c>
      <c r="B1838" s="24">
        <v>511714</v>
      </c>
      <c r="C1838" s="24" t="s">
        <v>2832</v>
      </c>
      <c r="D1838" s="24">
        <v>48</v>
      </c>
      <c r="E1838" s="24">
        <v>44</v>
      </c>
    </row>
    <row r="1839" spans="1:5" x14ac:dyDescent="0.25">
      <c r="A1839" s="24">
        <v>1838</v>
      </c>
      <c r="B1839" s="24">
        <v>522911</v>
      </c>
      <c r="C1839" s="24" t="s">
        <v>2833</v>
      </c>
      <c r="D1839" s="24">
        <v>77</v>
      </c>
      <c r="E1839" s="24">
        <v>69</v>
      </c>
    </row>
    <row r="1840" spans="1:5" x14ac:dyDescent="0.25">
      <c r="A1840" s="24">
        <v>1839</v>
      </c>
      <c r="B1840" s="24">
        <v>528994</v>
      </c>
      <c r="C1840" s="24" t="s">
        <v>2834</v>
      </c>
      <c r="D1840" s="24">
        <v>68</v>
      </c>
      <c r="E1840" s="24">
        <v>64</v>
      </c>
    </row>
    <row r="1841" spans="1:5" x14ac:dyDescent="0.25">
      <c r="A1841" s="24">
        <v>1840</v>
      </c>
      <c r="B1841" s="24">
        <v>517135</v>
      </c>
      <c r="C1841" s="24" t="s">
        <v>2835</v>
      </c>
      <c r="D1841" s="24">
        <v>55</v>
      </c>
      <c r="E1841" s="24">
        <v>51</v>
      </c>
    </row>
    <row r="1842" spans="1:5" x14ac:dyDescent="0.25">
      <c r="A1842" s="24">
        <v>1841</v>
      </c>
      <c r="B1842" s="24">
        <v>502642</v>
      </c>
      <c r="C1842" s="24" t="s">
        <v>2836</v>
      </c>
      <c r="D1842" s="24">
        <v>26</v>
      </c>
      <c r="E1842" s="24">
        <v>22</v>
      </c>
    </row>
    <row r="1843" spans="1:5" x14ac:dyDescent="0.25">
      <c r="A1843" s="24">
        <v>1842</v>
      </c>
      <c r="B1843" s="24">
        <v>502651</v>
      </c>
      <c r="C1843" s="24" t="s">
        <v>2837</v>
      </c>
      <c r="D1843" s="24">
        <v>26</v>
      </c>
      <c r="E1843" s="24">
        <v>22</v>
      </c>
    </row>
    <row r="1844" spans="1:5" x14ac:dyDescent="0.25">
      <c r="A1844" s="24">
        <v>1843</v>
      </c>
      <c r="B1844" s="24">
        <v>504629</v>
      </c>
      <c r="C1844" s="24" t="s">
        <v>2838</v>
      </c>
      <c r="D1844" s="24">
        <v>6</v>
      </c>
      <c r="E1844" s="24">
        <v>1</v>
      </c>
    </row>
    <row r="1845" spans="1:5" x14ac:dyDescent="0.25">
      <c r="A1845" s="24">
        <v>1844</v>
      </c>
      <c r="B1845" s="24">
        <v>504637</v>
      </c>
      <c r="C1845" s="24" t="s">
        <v>2839</v>
      </c>
      <c r="D1845" s="24">
        <v>6</v>
      </c>
      <c r="E1845" s="24">
        <v>1</v>
      </c>
    </row>
    <row r="1846" spans="1:5" x14ac:dyDescent="0.25">
      <c r="A1846" s="24">
        <v>1845</v>
      </c>
      <c r="B1846" s="24">
        <v>504645</v>
      </c>
      <c r="C1846" s="24" t="s">
        <v>2840</v>
      </c>
      <c r="D1846" s="24">
        <v>13</v>
      </c>
      <c r="E1846" s="24">
        <v>9</v>
      </c>
    </row>
    <row r="1847" spans="1:5" x14ac:dyDescent="0.25">
      <c r="A1847" s="24">
        <v>1846</v>
      </c>
      <c r="B1847" s="24">
        <v>508195</v>
      </c>
      <c r="C1847" s="24" t="s">
        <v>2841</v>
      </c>
      <c r="D1847" s="24">
        <v>6</v>
      </c>
      <c r="E1847" s="24">
        <v>1</v>
      </c>
    </row>
    <row r="1848" spans="1:5" x14ac:dyDescent="0.25">
      <c r="A1848" s="24">
        <v>1847</v>
      </c>
      <c r="B1848" s="24">
        <v>526959</v>
      </c>
      <c r="C1848" s="24" t="s">
        <v>2843</v>
      </c>
      <c r="D1848" s="24">
        <v>65</v>
      </c>
      <c r="E1848" s="24">
        <v>61</v>
      </c>
    </row>
    <row r="1849" spans="1:5" x14ac:dyDescent="0.25">
      <c r="A1849" s="24">
        <v>1848</v>
      </c>
      <c r="B1849" s="24">
        <v>526967</v>
      </c>
      <c r="C1849" s="24" t="s">
        <v>2844</v>
      </c>
      <c r="D1849" s="24">
        <v>65</v>
      </c>
      <c r="E1849" s="24">
        <v>61</v>
      </c>
    </row>
    <row r="1850" spans="1:5" x14ac:dyDescent="0.25">
      <c r="A1850" s="24">
        <v>1849</v>
      </c>
      <c r="B1850" s="24">
        <v>528641</v>
      </c>
      <c r="C1850" s="24" t="s">
        <v>2845</v>
      </c>
      <c r="D1850" s="24">
        <v>79</v>
      </c>
      <c r="E1850" s="24">
        <v>71</v>
      </c>
    </row>
    <row r="1851" spans="1:5" x14ac:dyDescent="0.25">
      <c r="A1851" s="24">
        <v>1850</v>
      </c>
      <c r="B1851" s="24">
        <v>511722</v>
      </c>
      <c r="C1851" s="24" t="s">
        <v>2846</v>
      </c>
      <c r="D1851" s="24">
        <v>48</v>
      </c>
      <c r="E1851" s="24">
        <v>44</v>
      </c>
    </row>
    <row r="1852" spans="1:5" x14ac:dyDescent="0.25">
      <c r="A1852" s="24">
        <v>1851</v>
      </c>
      <c r="B1852" s="24">
        <v>526096</v>
      </c>
      <c r="C1852" s="24" t="s">
        <v>2848</v>
      </c>
      <c r="D1852" s="24">
        <v>76</v>
      </c>
      <c r="E1852" s="24">
        <v>68</v>
      </c>
    </row>
    <row r="1853" spans="1:5" x14ac:dyDescent="0.25">
      <c r="A1853" s="24">
        <v>1852</v>
      </c>
      <c r="B1853" s="24">
        <v>513474</v>
      </c>
      <c r="C1853" s="24" t="s">
        <v>2849</v>
      </c>
      <c r="D1853" s="24">
        <v>21</v>
      </c>
      <c r="E1853" s="24">
        <v>17</v>
      </c>
    </row>
    <row r="1854" spans="1:5" x14ac:dyDescent="0.25">
      <c r="A1854" s="24">
        <v>1853</v>
      </c>
      <c r="B1854" s="24">
        <v>518689</v>
      </c>
      <c r="C1854" s="24" t="s">
        <v>2850</v>
      </c>
      <c r="D1854" s="24">
        <v>53</v>
      </c>
      <c r="E1854" s="24">
        <v>49</v>
      </c>
    </row>
    <row r="1855" spans="1:5" x14ac:dyDescent="0.25">
      <c r="A1855" s="24">
        <v>1854</v>
      </c>
      <c r="B1855" s="24">
        <v>515302</v>
      </c>
      <c r="C1855" s="24" t="s">
        <v>2851</v>
      </c>
      <c r="D1855" s="24">
        <v>50</v>
      </c>
      <c r="E1855" s="24">
        <v>46</v>
      </c>
    </row>
    <row r="1856" spans="1:5" x14ac:dyDescent="0.25">
      <c r="A1856" s="24">
        <v>1855</v>
      </c>
      <c r="B1856" s="24">
        <v>521884</v>
      </c>
      <c r="C1856" s="24" t="s">
        <v>2851</v>
      </c>
      <c r="D1856" s="24">
        <v>74</v>
      </c>
      <c r="E1856" s="24">
        <v>66</v>
      </c>
    </row>
    <row r="1857" spans="1:5" x14ac:dyDescent="0.25">
      <c r="A1857" s="24">
        <v>1856</v>
      </c>
      <c r="B1857" s="24">
        <v>506401</v>
      </c>
      <c r="C1857" s="24" t="s">
        <v>2853</v>
      </c>
      <c r="D1857" s="24">
        <v>19</v>
      </c>
      <c r="E1857" s="24">
        <v>15</v>
      </c>
    </row>
    <row r="1858" spans="1:5" x14ac:dyDescent="0.25">
      <c r="A1858" s="24">
        <v>1857</v>
      </c>
      <c r="B1858" s="24">
        <v>558222</v>
      </c>
      <c r="C1858" s="24" t="s">
        <v>2854</v>
      </c>
      <c r="D1858" s="24">
        <v>21</v>
      </c>
      <c r="E1858" s="24">
        <v>17</v>
      </c>
    </row>
    <row r="1859" spans="1:5" x14ac:dyDescent="0.25">
      <c r="A1859" s="24">
        <v>1858</v>
      </c>
      <c r="B1859" s="24">
        <v>517160</v>
      </c>
      <c r="C1859" s="24" t="s">
        <v>2855</v>
      </c>
      <c r="D1859" s="24">
        <v>44</v>
      </c>
      <c r="E1859" s="24">
        <v>40</v>
      </c>
    </row>
    <row r="1860" spans="1:5" x14ac:dyDescent="0.25">
      <c r="A1860" s="24">
        <v>1859</v>
      </c>
      <c r="B1860" s="24">
        <v>509981</v>
      </c>
      <c r="C1860" s="24" t="s">
        <v>2856</v>
      </c>
      <c r="D1860" s="24">
        <v>41</v>
      </c>
      <c r="E1860" s="24">
        <v>37</v>
      </c>
    </row>
    <row r="1861" spans="1:5" x14ac:dyDescent="0.25">
      <c r="A1861" s="24">
        <v>1860</v>
      </c>
      <c r="B1861" s="24">
        <v>504653</v>
      </c>
      <c r="C1861" s="24" t="s">
        <v>2857</v>
      </c>
      <c r="D1861" s="24">
        <v>13</v>
      </c>
      <c r="E1861" s="24">
        <v>9</v>
      </c>
    </row>
    <row r="1862" spans="1:5" x14ac:dyDescent="0.25">
      <c r="A1862" s="24">
        <v>1861</v>
      </c>
      <c r="B1862" s="24">
        <v>508853</v>
      </c>
      <c r="C1862" s="24" t="s">
        <v>2858</v>
      </c>
      <c r="D1862" s="24">
        <v>45</v>
      </c>
      <c r="E1862" s="24">
        <v>41</v>
      </c>
    </row>
    <row r="1863" spans="1:5" x14ac:dyDescent="0.25">
      <c r="A1863" s="24">
        <v>1862</v>
      </c>
      <c r="B1863" s="24">
        <v>503479</v>
      </c>
      <c r="C1863" s="24" t="s">
        <v>4244</v>
      </c>
      <c r="D1863" s="24">
        <v>28</v>
      </c>
      <c r="E1863" s="24">
        <v>24</v>
      </c>
    </row>
    <row r="1864" spans="1:5" x14ac:dyDescent="0.25">
      <c r="A1864" s="24">
        <v>1863</v>
      </c>
      <c r="B1864" s="24">
        <v>500674</v>
      </c>
      <c r="C1864" s="24" t="s">
        <v>2864</v>
      </c>
      <c r="D1864" s="24">
        <v>27</v>
      </c>
      <c r="E1864" s="24">
        <v>23</v>
      </c>
    </row>
    <row r="1865" spans="1:5" x14ac:dyDescent="0.25">
      <c r="A1865" s="24">
        <v>1864</v>
      </c>
      <c r="B1865" s="24">
        <v>523780</v>
      </c>
      <c r="C1865" s="24" t="s">
        <v>2864</v>
      </c>
      <c r="D1865" s="24">
        <v>58</v>
      </c>
      <c r="E1865" s="24">
        <v>54</v>
      </c>
    </row>
    <row r="1866" spans="1:5" x14ac:dyDescent="0.25">
      <c r="A1866" s="24">
        <v>1865</v>
      </c>
      <c r="B1866" s="24">
        <v>525022</v>
      </c>
      <c r="C1866" s="24" t="s">
        <v>2864</v>
      </c>
      <c r="D1866" s="24">
        <v>62</v>
      </c>
      <c r="E1866" s="24">
        <v>58</v>
      </c>
    </row>
    <row r="1867" spans="1:5" x14ac:dyDescent="0.25">
      <c r="A1867" s="24">
        <v>1866</v>
      </c>
      <c r="B1867" s="24">
        <v>517143</v>
      </c>
      <c r="C1867" s="24" t="s">
        <v>2867</v>
      </c>
      <c r="D1867" s="24">
        <v>44</v>
      </c>
      <c r="E1867" s="24">
        <v>40</v>
      </c>
    </row>
    <row r="1868" spans="1:5" x14ac:dyDescent="0.25">
      <c r="A1868" s="24">
        <v>1867</v>
      </c>
      <c r="B1868" s="24">
        <v>517879</v>
      </c>
      <c r="C1868" s="24" t="s">
        <v>2867</v>
      </c>
      <c r="D1868" s="24">
        <v>42</v>
      </c>
      <c r="E1868" s="24">
        <v>38</v>
      </c>
    </row>
    <row r="1869" spans="1:5" x14ac:dyDescent="0.25">
      <c r="A1869" s="24">
        <v>1868</v>
      </c>
      <c r="B1869" s="24">
        <v>522929</v>
      </c>
      <c r="C1869" s="24" t="s">
        <v>2868</v>
      </c>
      <c r="D1869" s="24">
        <v>77</v>
      </c>
      <c r="E1869" s="24">
        <v>69</v>
      </c>
    </row>
    <row r="1870" spans="1:5" x14ac:dyDescent="0.25">
      <c r="A1870" s="24">
        <v>1869</v>
      </c>
      <c r="B1870" s="24">
        <v>505340</v>
      </c>
      <c r="C1870" s="24" t="s">
        <v>2869</v>
      </c>
      <c r="D1870" s="24">
        <v>30</v>
      </c>
      <c r="E1870" s="24">
        <v>26</v>
      </c>
    </row>
    <row r="1871" spans="1:5" x14ac:dyDescent="0.25">
      <c r="A1871" s="24">
        <v>1870</v>
      </c>
      <c r="B1871" s="24">
        <v>512508</v>
      </c>
      <c r="C1871" s="24" t="s">
        <v>2869</v>
      </c>
      <c r="D1871" s="24">
        <v>37</v>
      </c>
      <c r="E1871" s="24">
        <v>33</v>
      </c>
    </row>
    <row r="1872" spans="1:5" x14ac:dyDescent="0.25">
      <c r="A1872" s="24">
        <v>1871</v>
      </c>
      <c r="B1872" s="24">
        <v>514306</v>
      </c>
      <c r="C1872" s="24" t="s">
        <v>2869</v>
      </c>
      <c r="D1872" s="24">
        <v>22</v>
      </c>
      <c r="E1872" s="24">
        <v>18</v>
      </c>
    </row>
    <row r="1873" spans="1:5" x14ac:dyDescent="0.25">
      <c r="A1873" s="24">
        <v>1872</v>
      </c>
      <c r="B1873" s="24">
        <v>525031</v>
      </c>
      <c r="C1873" s="24" t="s">
        <v>2871</v>
      </c>
      <c r="D1873" s="24">
        <v>62</v>
      </c>
      <c r="E1873" s="24">
        <v>58</v>
      </c>
    </row>
    <row r="1874" spans="1:5" x14ac:dyDescent="0.25">
      <c r="A1874" s="24">
        <v>1873</v>
      </c>
      <c r="B1874" s="24">
        <v>508861</v>
      </c>
      <c r="C1874" s="24" t="s">
        <v>2872</v>
      </c>
      <c r="D1874" s="24">
        <v>43</v>
      </c>
      <c r="E1874" s="24">
        <v>39</v>
      </c>
    </row>
    <row r="1875" spans="1:5" x14ac:dyDescent="0.25">
      <c r="A1875" s="24">
        <v>1874</v>
      </c>
      <c r="B1875" s="24">
        <v>511731</v>
      </c>
      <c r="C1875" s="24" t="s">
        <v>2873</v>
      </c>
      <c r="D1875" s="24">
        <v>46</v>
      </c>
      <c r="E1875" s="24">
        <v>42</v>
      </c>
    </row>
    <row r="1876" spans="1:5" x14ac:dyDescent="0.25">
      <c r="A1876" s="24">
        <v>1875</v>
      </c>
      <c r="B1876" s="24">
        <v>506419</v>
      </c>
      <c r="C1876" s="24" t="s">
        <v>2874</v>
      </c>
      <c r="D1876" s="24">
        <v>18</v>
      </c>
      <c r="E1876" s="24">
        <v>14</v>
      </c>
    </row>
    <row r="1877" spans="1:5" x14ac:dyDescent="0.25">
      <c r="A1877" s="24">
        <v>1876</v>
      </c>
      <c r="B1877" s="24">
        <v>502669</v>
      </c>
      <c r="C1877" s="24" t="s">
        <v>2875</v>
      </c>
      <c r="D1877" s="24">
        <v>26</v>
      </c>
      <c r="E1877" s="24">
        <v>22</v>
      </c>
    </row>
    <row r="1878" spans="1:5" x14ac:dyDescent="0.25">
      <c r="A1878" s="24">
        <v>1877</v>
      </c>
      <c r="B1878" s="24">
        <v>505358</v>
      </c>
      <c r="C1878" s="24" t="s">
        <v>2875</v>
      </c>
      <c r="D1878" s="24">
        <v>16</v>
      </c>
      <c r="E1878" s="24">
        <v>12</v>
      </c>
    </row>
    <row r="1879" spans="1:5" x14ac:dyDescent="0.25">
      <c r="A1879" s="24">
        <v>1878</v>
      </c>
      <c r="B1879" s="24">
        <v>506427</v>
      </c>
      <c r="C1879" s="24" t="s">
        <v>2877</v>
      </c>
      <c r="D1879" s="24">
        <v>19</v>
      </c>
      <c r="E1879" s="24">
        <v>15</v>
      </c>
    </row>
    <row r="1880" spans="1:5" x14ac:dyDescent="0.25">
      <c r="A1880" s="24">
        <v>1879</v>
      </c>
      <c r="B1880" s="24">
        <v>526975</v>
      </c>
      <c r="C1880" s="24" t="s">
        <v>2878</v>
      </c>
      <c r="D1880" s="24">
        <v>65</v>
      </c>
      <c r="E1880" s="24">
        <v>61</v>
      </c>
    </row>
    <row r="1881" spans="1:5" x14ac:dyDescent="0.25">
      <c r="A1881" s="24">
        <v>1880</v>
      </c>
      <c r="B1881" s="24">
        <v>511749</v>
      </c>
      <c r="C1881" s="24" t="s">
        <v>2879</v>
      </c>
      <c r="D1881" s="24">
        <v>48</v>
      </c>
      <c r="E1881" s="24">
        <v>44</v>
      </c>
    </row>
    <row r="1882" spans="1:5" x14ac:dyDescent="0.25">
      <c r="A1882" s="24">
        <v>1881</v>
      </c>
      <c r="B1882" s="24">
        <v>580864</v>
      </c>
      <c r="C1882" s="24" t="s">
        <v>2880</v>
      </c>
      <c r="D1882" s="24">
        <v>21</v>
      </c>
      <c r="E1882" s="24">
        <v>17</v>
      </c>
    </row>
    <row r="1883" spans="1:5" x14ac:dyDescent="0.25">
      <c r="A1883" s="24">
        <v>1882</v>
      </c>
      <c r="B1883" s="24">
        <v>510947</v>
      </c>
      <c r="C1883" s="24" t="s">
        <v>2881</v>
      </c>
      <c r="D1883" s="24">
        <v>36</v>
      </c>
      <c r="E1883" s="24">
        <v>32</v>
      </c>
    </row>
    <row r="1884" spans="1:5" x14ac:dyDescent="0.25">
      <c r="A1884" s="24">
        <v>1883</v>
      </c>
      <c r="B1884" s="24">
        <v>509361</v>
      </c>
      <c r="C1884" s="24" t="s">
        <v>2884</v>
      </c>
      <c r="D1884" s="24">
        <v>33</v>
      </c>
      <c r="E1884" s="24">
        <v>29</v>
      </c>
    </row>
    <row r="1885" spans="1:5" x14ac:dyDescent="0.25">
      <c r="A1885" s="24">
        <v>1884</v>
      </c>
      <c r="B1885" s="24">
        <v>518697</v>
      </c>
      <c r="C1885" s="24" t="s">
        <v>2885</v>
      </c>
      <c r="D1885" s="24">
        <v>53</v>
      </c>
      <c r="E1885" s="24">
        <v>49</v>
      </c>
    </row>
    <row r="1886" spans="1:5" x14ac:dyDescent="0.25">
      <c r="A1886" s="24">
        <v>1885</v>
      </c>
      <c r="B1886" s="24">
        <v>508870</v>
      </c>
      <c r="C1886" s="24" t="s">
        <v>2886</v>
      </c>
      <c r="D1886" s="24">
        <v>45</v>
      </c>
      <c r="E1886" s="24">
        <v>41</v>
      </c>
    </row>
    <row r="1887" spans="1:5" x14ac:dyDescent="0.25">
      <c r="A1887" s="24">
        <v>1886</v>
      </c>
      <c r="B1887" s="24">
        <v>500682</v>
      </c>
      <c r="C1887" s="24" t="s">
        <v>2887</v>
      </c>
      <c r="D1887" s="24">
        <v>27</v>
      </c>
      <c r="E1887" s="24">
        <v>23</v>
      </c>
    </row>
    <row r="1888" spans="1:5" x14ac:dyDescent="0.25">
      <c r="A1888" s="24">
        <v>1887</v>
      </c>
      <c r="B1888" s="24">
        <v>508888</v>
      </c>
      <c r="C1888" s="24" t="s">
        <v>2888</v>
      </c>
      <c r="D1888" s="24">
        <v>45</v>
      </c>
      <c r="E1888" s="24">
        <v>41</v>
      </c>
    </row>
    <row r="1889" spans="1:5" x14ac:dyDescent="0.25">
      <c r="A1889" s="24">
        <v>1888</v>
      </c>
      <c r="B1889" s="24">
        <v>508896</v>
      </c>
      <c r="C1889" s="24" t="s">
        <v>2889</v>
      </c>
      <c r="D1889" s="24">
        <v>43</v>
      </c>
      <c r="E1889" s="24">
        <v>39</v>
      </c>
    </row>
    <row r="1890" spans="1:5" x14ac:dyDescent="0.25">
      <c r="A1890" s="24">
        <v>1889</v>
      </c>
      <c r="B1890" s="24">
        <v>502677</v>
      </c>
      <c r="C1890" s="24" t="s">
        <v>2890</v>
      </c>
      <c r="D1890" s="24">
        <v>26</v>
      </c>
      <c r="E1890" s="24">
        <v>22</v>
      </c>
    </row>
    <row r="1891" spans="1:5" x14ac:dyDescent="0.25">
      <c r="A1891" s="24">
        <v>1890</v>
      </c>
      <c r="B1891" s="24">
        <v>556742</v>
      </c>
      <c r="C1891" s="24" t="s">
        <v>2891</v>
      </c>
      <c r="D1891" s="24">
        <v>16</v>
      </c>
      <c r="E1891" s="24">
        <v>12</v>
      </c>
    </row>
    <row r="1892" spans="1:5" x14ac:dyDescent="0.25">
      <c r="A1892" s="24">
        <v>1891</v>
      </c>
      <c r="B1892" s="24">
        <v>509990</v>
      </c>
      <c r="C1892" s="24" t="s">
        <v>2892</v>
      </c>
      <c r="D1892" s="24">
        <v>34</v>
      </c>
      <c r="E1892" s="24">
        <v>30</v>
      </c>
    </row>
    <row r="1893" spans="1:5" x14ac:dyDescent="0.25">
      <c r="A1893" s="24">
        <v>1892</v>
      </c>
      <c r="B1893" s="24">
        <v>543462</v>
      </c>
      <c r="C1893" s="24" t="s">
        <v>2894</v>
      </c>
      <c r="D1893" s="24">
        <v>59</v>
      </c>
      <c r="E1893" s="24">
        <v>55</v>
      </c>
    </row>
    <row r="1894" spans="1:5" x14ac:dyDescent="0.25">
      <c r="A1894" s="24">
        <v>1893</v>
      </c>
      <c r="B1894" s="24">
        <v>528668</v>
      </c>
      <c r="C1894" s="24" t="s">
        <v>2895</v>
      </c>
      <c r="D1894" s="24">
        <v>79</v>
      </c>
      <c r="E1894" s="24">
        <v>74</v>
      </c>
    </row>
    <row r="1895" spans="1:5" x14ac:dyDescent="0.25">
      <c r="A1895" s="24">
        <v>1894</v>
      </c>
      <c r="B1895" s="24">
        <v>519723</v>
      </c>
      <c r="C1895" s="24" t="s">
        <v>2897</v>
      </c>
      <c r="D1895" s="24">
        <v>56</v>
      </c>
      <c r="E1895" s="24">
        <v>52</v>
      </c>
    </row>
    <row r="1896" spans="1:5" x14ac:dyDescent="0.25">
      <c r="A1896" s="24">
        <v>1895</v>
      </c>
      <c r="B1896" s="24">
        <v>504661</v>
      </c>
      <c r="C1896" s="24" t="s">
        <v>2898</v>
      </c>
      <c r="D1896" s="24">
        <v>18</v>
      </c>
      <c r="E1896" s="24">
        <v>14</v>
      </c>
    </row>
    <row r="1897" spans="1:5" x14ac:dyDescent="0.25">
      <c r="A1897" s="24">
        <v>1896</v>
      </c>
      <c r="B1897" s="24">
        <v>511757</v>
      </c>
      <c r="C1897" s="24" t="s">
        <v>2899</v>
      </c>
      <c r="D1897" s="24">
        <v>48</v>
      </c>
      <c r="E1897" s="24">
        <v>44</v>
      </c>
    </row>
    <row r="1898" spans="1:5" x14ac:dyDescent="0.25">
      <c r="A1898" s="24">
        <v>1897</v>
      </c>
      <c r="B1898" s="24">
        <v>515311</v>
      </c>
      <c r="C1898" s="24" t="s">
        <v>2900</v>
      </c>
      <c r="D1898" s="24">
        <v>50</v>
      </c>
      <c r="E1898" s="24">
        <v>46</v>
      </c>
    </row>
    <row r="1899" spans="1:5" x14ac:dyDescent="0.25">
      <c r="A1899" s="24">
        <v>1898</v>
      </c>
      <c r="B1899" s="24">
        <v>500691</v>
      </c>
      <c r="C1899" s="24" t="s">
        <v>2901</v>
      </c>
      <c r="D1899" s="24">
        <v>27</v>
      </c>
      <c r="E1899" s="24">
        <v>23</v>
      </c>
    </row>
    <row r="1900" spans="1:5" x14ac:dyDescent="0.25">
      <c r="A1900" s="24">
        <v>1899</v>
      </c>
      <c r="B1900" s="24">
        <v>525049</v>
      </c>
      <c r="C1900" s="24" t="s">
        <v>2903</v>
      </c>
      <c r="D1900" s="24">
        <v>63</v>
      </c>
      <c r="E1900" s="24">
        <v>59</v>
      </c>
    </row>
    <row r="1901" spans="1:5" x14ac:dyDescent="0.25">
      <c r="A1901" s="24">
        <v>1900</v>
      </c>
      <c r="B1901" s="24">
        <v>508900</v>
      </c>
      <c r="C1901" s="24" t="s">
        <v>2904</v>
      </c>
      <c r="D1901" s="24">
        <v>45</v>
      </c>
      <c r="E1901" s="24">
        <v>41</v>
      </c>
    </row>
    <row r="1902" spans="1:5" x14ac:dyDescent="0.25">
      <c r="A1902" s="24">
        <v>1901</v>
      </c>
      <c r="B1902" s="24">
        <v>511765</v>
      </c>
      <c r="C1902" s="24" t="s">
        <v>2905</v>
      </c>
      <c r="D1902" s="24">
        <v>49</v>
      </c>
      <c r="E1902" s="24">
        <v>45</v>
      </c>
    </row>
    <row r="1903" spans="1:5" x14ac:dyDescent="0.25">
      <c r="A1903" s="24">
        <v>1902</v>
      </c>
      <c r="B1903" s="24">
        <v>514314</v>
      </c>
      <c r="C1903" s="24" t="s">
        <v>2908</v>
      </c>
      <c r="D1903" s="24">
        <v>22</v>
      </c>
      <c r="E1903" s="24">
        <v>18</v>
      </c>
    </row>
    <row r="1904" spans="1:5" x14ac:dyDescent="0.25">
      <c r="A1904" s="24">
        <v>1903</v>
      </c>
      <c r="B1904" s="24">
        <v>543471</v>
      </c>
      <c r="C1904" s="24" t="s">
        <v>2910</v>
      </c>
      <c r="D1904" s="24">
        <v>59</v>
      </c>
      <c r="E1904" s="24">
        <v>55</v>
      </c>
    </row>
    <row r="1905" spans="1:5" x14ac:dyDescent="0.25">
      <c r="A1905" s="24">
        <v>1904</v>
      </c>
      <c r="B1905" s="24">
        <v>508918</v>
      </c>
      <c r="C1905" s="24" t="s">
        <v>2911</v>
      </c>
      <c r="D1905" s="24">
        <v>43</v>
      </c>
      <c r="E1905" s="24">
        <v>39</v>
      </c>
    </row>
    <row r="1906" spans="1:5" x14ac:dyDescent="0.25">
      <c r="A1906" s="24">
        <v>1905</v>
      </c>
      <c r="B1906" s="24">
        <v>523381</v>
      </c>
      <c r="C1906" s="24" t="s">
        <v>2912</v>
      </c>
      <c r="D1906" s="24">
        <v>61</v>
      </c>
      <c r="E1906" s="24">
        <v>57</v>
      </c>
    </row>
    <row r="1907" spans="1:5" x14ac:dyDescent="0.25">
      <c r="A1907" s="24">
        <v>1906</v>
      </c>
      <c r="B1907" s="24">
        <v>515337</v>
      </c>
      <c r="C1907" s="24" t="s">
        <v>2916</v>
      </c>
      <c r="D1907" s="24">
        <v>51</v>
      </c>
      <c r="E1907" s="24">
        <v>47</v>
      </c>
    </row>
    <row r="1908" spans="1:5" x14ac:dyDescent="0.25">
      <c r="A1908" s="24">
        <v>1907</v>
      </c>
      <c r="B1908" s="24">
        <v>521892</v>
      </c>
      <c r="C1908" s="24" t="s">
        <v>2916</v>
      </c>
      <c r="D1908" s="24">
        <v>74</v>
      </c>
      <c r="E1908" s="24">
        <v>72</v>
      </c>
    </row>
    <row r="1909" spans="1:5" x14ac:dyDescent="0.25">
      <c r="A1909" s="24">
        <v>1908</v>
      </c>
      <c r="B1909" s="24">
        <v>504670</v>
      </c>
      <c r="C1909" s="24" t="s">
        <v>4245</v>
      </c>
      <c r="D1909" s="24">
        <v>14</v>
      </c>
      <c r="E1909" s="24">
        <v>10</v>
      </c>
    </row>
    <row r="1910" spans="1:5" x14ac:dyDescent="0.25">
      <c r="A1910" s="24">
        <v>1909</v>
      </c>
      <c r="B1910" s="24">
        <v>543489</v>
      </c>
      <c r="C1910" s="24" t="s">
        <v>2918</v>
      </c>
      <c r="D1910" s="24">
        <v>78</v>
      </c>
      <c r="E1910" s="24">
        <v>70</v>
      </c>
    </row>
    <row r="1911" spans="1:5" x14ac:dyDescent="0.25">
      <c r="A1911" s="24">
        <v>1910</v>
      </c>
      <c r="B1911" s="24">
        <v>504688</v>
      </c>
      <c r="C1911" s="24" t="s">
        <v>2919</v>
      </c>
      <c r="D1911" s="24">
        <v>18</v>
      </c>
      <c r="E1911" s="24">
        <v>14</v>
      </c>
    </row>
    <row r="1912" spans="1:5" x14ac:dyDescent="0.25">
      <c r="A1912" s="24">
        <v>1911</v>
      </c>
      <c r="B1912" s="24">
        <v>522937</v>
      </c>
      <c r="C1912" s="24" t="s">
        <v>2920</v>
      </c>
      <c r="D1912" s="24">
        <v>77</v>
      </c>
      <c r="E1912" s="24">
        <v>69</v>
      </c>
    </row>
    <row r="1913" spans="1:5" x14ac:dyDescent="0.25">
      <c r="A1913" s="24">
        <v>1912</v>
      </c>
      <c r="B1913" s="24">
        <v>514322</v>
      </c>
      <c r="C1913" s="24" t="s">
        <v>2921</v>
      </c>
      <c r="D1913" s="24">
        <v>22</v>
      </c>
      <c r="E1913" s="24">
        <v>18</v>
      </c>
    </row>
    <row r="1914" spans="1:5" x14ac:dyDescent="0.25">
      <c r="A1914" s="24">
        <v>1913</v>
      </c>
      <c r="B1914" s="24">
        <v>522945</v>
      </c>
      <c r="C1914" s="24" t="s">
        <v>2922</v>
      </c>
      <c r="D1914" s="24">
        <v>75</v>
      </c>
      <c r="E1914" s="24">
        <v>67</v>
      </c>
    </row>
    <row r="1915" spans="1:5" x14ac:dyDescent="0.25">
      <c r="A1915" s="24">
        <v>1914</v>
      </c>
      <c r="B1915" s="24">
        <v>519731</v>
      </c>
      <c r="C1915" s="24" t="s">
        <v>2197</v>
      </c>
      <c r="D1915" s="24">
        <v>56</v>
      </c>
      <c r="E1915" s="24">
        <v>52</v>
      </c>
    </row>
    <row r="1916" spans="1:5" x14ac:dyDescent="0.25">
      <c r="A1916" s="24">
        <v>1915</v>
      </c>
      <c r="B1916" s="24">
        <v>520667</v>
      </c>
      <c r="C1916" s="24" t="s">
        <v>2197</v>
      </c>
      <c r="D1916" s="24">
        <v>57</v>
      </c>
      <c r="E1916" s="24">
        <v>53</v>
      </c>
    </row>
    <row r="1917" spans="1:5" x14ac:dyDescent="0.25">
      <c r="A1917" s="24">
        <v>1916</v>
      </c>
      <c r="B1917" s="24">
        <v>522953</v>
      </c>
      <c r="C1917" s="24" t="s">
        <v>2197</v>
      </c>
      <c r="D1917" s="24">
        <v>77</v>
      </c>
      <c r="E1917" s="24">
        <v>69</v>
      </c>
    </row>
    <row r="1918" spans="1:5" x14ac:dyDescent="0.25">
      <c r="A1918" s="24">
        <v>1917</v>
      </c>
      <c r="B1918" s="24">
        <v>557960</v>
      </c>
      <c r="C1918" s="24" t="s">
        <v>2197</v>
      </c>
      <c r="D1918" s="24">
        <v>42</v>
      </c>
      <c r="E1918" s="24">
        <v>38</v>
      </c>
    </row>
    <row r="1919" spans="1:5" x14ac:dyDescent="0.25">
      <c r="A1919" s="24">
        <v>1918</v>
      </c>
      <c r="B1919" s="24">
        <v>529001</v>
      </c>
      <c r="C1919" s="24" t="s">
        <v>2924</v>
      </c>
      <c r="D1919" s="24">
        <v>68</v>
      </c>
      <c r="E1919" s="24">
        <v>64</v>
      </c>
    </row>
    <row r="1920" spans="1:5" x14ac:dyDescent="0.25">
      <c r="A1920" s="24">
        <v>1919</v>
      </c>
      <c r="B1920" s="24">
        <v>510955</v>
      </c>
      <c r="C1920" s="24" t="s">
        <v>2926</v>
      </c>
      <c r="D1920" s="24">
        <v>39</v>
      </c>
      <c r="E1920" s="24">
        <v>35</v>
      </c>
    </row>
    <row r="1921" spans="1:5" x14ac:dyDescent="0.25">
      <c r="A1921" s="24">
        <v>1920</v>
      </c>
      <c r="B1921" s="24">
        <v>515345</v>
      </c>
      <c r="C1921" s="24" t="s">
        <v>2926</v>
      </c>
      <c r="D1921" s="24">
        <v>51</v>
      </c>
      <c r="E1921" s="24">
        <v>47</v>
      </c>
    </row>
    <row r="1922" spans="1:5" x14ac:dyDescent="0.25">
      <c r="A1922" s="24">
        <v>1921</v>
      </c>
      <c r="B1922" s="24">
        <v>527726</v>
      </c>
      <c r="C1922" s="24" t="s">
        <v>2927</v>
      </c>
      <c r="D1922" s="24">
        <v>66</v>
      </c>
      <c r="E1922" s="24">
        <v>62</v>
      </c>
    </row>
    <row r="1923" spans="1:5" x14ac:dyDescent="0.25">
      <c r="A1923" s="24">
        <v>1922</v>
      </c>
      <c r="B1923" s="24">
        <v>527718</v>
      </c>
      <c r="C1923" s="24" t="s">
        <v>2925</v>
      </c>
      <c r="D1923" s="24">
        <v>66</v>
      </c>
      <c r="E1923" s="24">
        <v>62</v>
      </c>
    </row>
    <row r="1924" spans="1:5" x14ac:dyDescent="0.25">
      <c r="A1924" s="24">
        <v>1923</v>
      </c>
      <c r="B1924" s="24">
        <v>582522</v>
      </c>
      <c r="C1924" s="24" t="s">
        <v>1506</v>
      </c>
      <c r="D1924" s="24">
        <v>9</v>
      </c>
      <c r="E1924" s="24">
        <v>5</v>
      </c>
    </row>
    <row r="1925" spans="1:5" x14ac:dyDescent="0.25">
      <c r="A1925" s="24">
        <v>1924</v>
      </c>
      <c r="B1925" s="24">
        <v>506435</v>
      </c>
      <c r="C1925" s="24" t="s">
        <v>2930</v>
      </c>
      <c r="D1925" s="24">
        <v>19</v>
      </c>
      <c r="E1925" s="24">
        <v>15</v>
      </c>
    </row>
    <row r="1926" spans="1:5" x14ac:dyDescent="0.25">
      <c r="A1926" s="24">
        <v>1925</v>
      </c>
      <c r="B1926" s="24">
        <v>506443</v>
      </c>
      <c r="C1926" s="24" t="s">
        <v>2931</v>
      </c>
      <c r="D1926" s="24">
        <v>19</v>
      </c>
      <c r="E1926" s="24">
        <v>15</v>
      </c>
    </row>
    <row r="1927" spans="1:5" x14ac:dyDescent="0.25">
      <c r="A1927" s="24">
        <v>1926</v>
      </c>
      <c r="B1927" s="24">
        <v>512842</v>
      </c>
      <c r="C1927" s="24" t="s">
        <v>2932</v>
      </c>
      <c r="D1927" s="24">
        <v>21</v>
      </c>
      <c r="E1927" s="24">
        <v>17</v>
      </c>
    </row>
    <row r="1928" spans="1:5" x14ac:dyDescent="0.25">
      <c r="A1928" s="24">
        <v>1927</v>
      </c>
      <c r="B1928" s="24">
        <v>509370</v>
      </c>
      <c r="C1928" s="24" t="s">
        <v>2936</v>
      </c>
      <c r="D1928" s="24">
        <v>35</v>
      </c>
      <c r="E1928" s="24">
        <v>31</v>
      </c>
    </row>
    <row r="1929" spans="1:5" x14ac:dyDescent="0.25">
      <c r="A1929" s="24">
        <v>1928</v>
      </c>
      <c r="B1929" s="24">
        <v>555720</v>
      </c>
      <c r="C1929" s="24" t="s">
        <v>4246</v>
      </c>
      <c r="D1929" s="24">
        <v>9</v>
      </c>
      <c r="E1929" s="24">
        <v>5</v>
      </c>
    </row>
    <row r="1930" spans="1:5" x14ac:dyDescent="0.25">
      <c r="A1930" s="24">
        <v>1929</v>
      </c>
      <c r="B1930" s="24">
        <v>508926</v>
      </c>
      <c r="C1930" s="24" t="s">
        <v>2937</v>
      </c>
      <c r="D1930" s="24">
        <v>43</v>
      </c>
      <c r="E1930" s="24">
        <v>39</v>
      </c>
    </row>
    <row r="1931" spans="1:5" x14ac:dyDescent="0.25">
      <c r="A1931" s="24">
        <v>1930</v>
      </c>
      <c r="B1931" s="24">
        <v>503487</v>
      </c>
      <c r="C1931" s="24" t="s">
        <v>2938</v>
      </c>
      <c r="D1931" s="24">
        <v>28</v>
      </c>
      <c r="E1931" s="24">
        <v>24</v>
      </c>
    </row>
    <row r="1932" spans="1:5" x14ac:dyDescent="0.25">
      <c r="A1932" s="24">
        <v>1931</v>
      </c>
      <c r="B1932" s="24">
        <v>522961</v>
      </c>
      <c r="C1932" s="24" t="s">
        <v>2939</v>
      </c>
      <c r="D1932" s="24">
        <v>75</v>
      </c>
      <c r="E1932" s="24">
        <v>67</v>
      </c>
    </row>
    <row r="1933" spans="1:5" x14ac:dyDescent="0.25">
      <c r="A1933" s="24">
        <v>1932</v>
      </c>
      <c r="B1933" s="24">
        <v>516295</v>
      </c>
      <c r="C1933" s="24" t="s">
        <v>2928</v>
      </c>
      <c r="D1933" s="24">
        <v>52</v>
      </c>
      <c r="E1933" s="24">
        <v>48</v>
      </c>
    </row>
    <row r="1934" spans="1:5" x14ac:dyDescent="0.25">
      <c r="A1934" s="24">
        <v>1933</v>
      </c>
      <c r="B1934" s="24">
        <v>511773</v>
      </c>
      <c r="C1934" s="24" t="s">
        <v>2940</v>
      </c>
      <c r="D1934" s="24">
        <v>48</v>
      </c>
      <c r="E1934" s="24">
        <v>44</v>
      </c>
    </row>
    <row r="1935" spans="1:5" x14ac:dyDescent="0.25">
      <c r="A1935" s="24">
        <v>1934</v>
      </c>
      <c r="B1935" s="24">
        <v>543497</v>
      </c>
      <c r="C1935" s="24" t="s">
        <v>2941</v>
      </c>
      <c r="D1935" s="24">
        <v>69</v>
      </c>
      <c r="E1935" s="24">
        <v>65</v>
      </c>
    </row>
    <row r="1936" spans="1:5" x14ac:dyDescent="0.25">
      <c r="A1936" s="24">
        <v>1935</v>
      </c>
      <c r="B1936" s="24">
        <v>505374</v>
      </c>
      <c r="C1936" s="24" t="s">
        <v>2942</v>
      </c>
      <c r="D1936" s="24">
        <v>30</v>
      </c>
      <c r="E1936" s="24">
        <v>26</v>
      </c>
    </row>
    <row r="1937" spans="1:5" x14ac:dyDescent="0.25">
      <c r="A1937" s="24">
        <v>1936</v>
      </c>
      <c r="B1937" s="24">
        <v>507466</v>
      </c>
      <c r="C1937" s="24" t="s">
        <v>2943</v>
      </c>
      <c r="D1937" s="24">
        <v>12</v>
      </c>
      <c r="E1937" s="24">
        <v>8</v>
      </c>
    </row>
    <row r="1938" spans="1:5" x14ac:dyDescent="0.25">
      <c r="A1938" s="24">
        <v>1937</v>
      </c>
      <c r="B1938" s="24">
        <v>514331</v>
      </c>
      <c r="C1938" s="24" t="s">
        <v>2944</v>
      </c>
      <c r="D1938" s="24">
        <v>22</v>
      </c>
      <c r="E1938" s="24">
        <v>18</v>
      </c>
    </row>
    <row r="1939" spans="1:5" x14ac:dyDescent="0.25">
      <c r="A1939" s="24">
        <v>1938</v>
      </c>
      <c r="B1939" s="24">
        <v>516309</v>
      </c>
      <c r="C1939" s="24" t="s">
        <v>2945</v>
      </c>
      <c r="D1939" s="24">
        <v>52</v>
      </c>
      <c r="E1939" s="24">
        <v>48</v>
      </c>
    </row>
    <row r="1940" spans="1:5" x14ac:dyDescent="0.25">
      <c r="A1940" s="24">
        <v>1939</v>
      </c>
      <c r="B1940" s="24">
        <v>505382</v>
      </c>
      <c r="C1940" s="24" t="s">
        <v>2946</v>
      </c>
      <c r="D1940" s="24">
        <v>16</v>
      </c>
      <c r="E1940" s="24">
        <v>12</v>
      </c>
    </row>
    <row r="1941" spans="1:5" x14ac:dyDescent="0.25">
      <c r="A1941" s="24">
        <v>1940</v>
      </c>
      <c r="B1941" s="24">
        <v>581658</v>
      </c>
      <c r="C1941" s="24" t="s">
        <v>2948</v>
      </c>
      <c r="D1941" s="24">
        <v>30</v>
      </c>
      <c r="E1941" s="24">
        <v>26</v>
      </c>
    </row>
    <row r="1942" spans="1:5" x14ac:dyDescent="0.25">
      <c r="A1942" s="24">
        <v>1941</v>
      </c>
      <c r="B1942" s="24">
        <v>513563</v>
      </c>
      <c r="C1942" s="24" t="s">
        <v>2949</v>
      </c>
      <c r="D1942" s="24">
        <v>21</v>
      </c>
      <c r="E1942" s="24">
        <v>17</v>
      </c>
    </row>
    <row r="1943" spans="1:5" x14ac:dyDescent="0.25">
      <c r="A1943" s="24">
        <v>1942</v>
      </c>
      <c r="B1943" s="24">
        <v>508934</v>
      </c>
      <c r="C1943" s="24" t="s">
        <v>2950</v>
      </c>
      <c r="D1943" s="24">
        <v>45</v>
      </c>
      <c r="E1943" s="24">
        <v>41</v>
      </c>
    </row>
    <row r="1944" spans="1:5" x14ac:dyDescent="0.25">
      <c r="A1944" s="24">
        <v>1943</v>
      </c>
      <c r="B1944" s="24">
        <v>517895</v>
      </c>
      <c r="C1944" s="24" t="s">
        <v>2951</v>
      </c>
      <c r="D1944" s="24">
        <v>32</v>
      </c>
      <c r="E1944" s="24">
        <v>28</v>
      </c>
    </row>
    <row r="1945" spans="1:5" x14ac:dyDescent="0.25">
      <c r="A1945" s="24">
        <v>1944</v>
      </c>
      <c r="B1945" s="24">
        <v>517178</v>
      </c>
      <c r="C1945" s="24" t="s">
        <v>2953</v>
      </c>
      <c r="D1945" s="24">
        <v>44</v>
      </c>
      <c r="E1945" s="24">
        <v>40</v>
      </c>
    </row>
    <row r="1946" spans="1:5" x14ac:dyDescent="0.25">
      <c r="A1946" s="24">
        <v>1945</v>
      </c>
      <c r="B1946" s="24">
        <v>505404</v>
      </c>
      <c r="C1946" s="24" t="s">
        <v>2954</v>
      </c>
      <c r="D1946" s="24">
        <v>30</v>
      </c>
      <c r="E1946" s="24">
        <v>26</v>
      </c>
    </row>
    <row r="1947" spans="1:5" x14ac:dyDescent="0.25">
      <c r="A1947" s="24">
        <v>1946</v>
      </c>
      <c r="B1947" s="24">
        <v>517186</v>
      </c>
      <c r="C1947" s="24" t="s">
        <v>2956</v>
      </c>
      <c r="D1947" s="24">
        <v>55</v>
      </c>
      <c r="E1947" s="24">
        <v>51</v>
      </c>
    </row>
    <row r="1948" spans="1:5" x14ac:dyDescent="0.25">
      <c r="A1948" s="24">
        <v>1947</v>
      </c>
      <c r="B1948" s="24">
        <v>524140</v>
      </c>
      <c r="C1948" s="24" t="s">
        <v>2957</v>
      </c>
      <c r="D1948" s="24">
        <v>62</v>
      </c>
      <c r="E1948" s="24">
        <v>58</v>
      </c>
    </row>
    <row r="1949" spans="1:5" x14ac:dyDescent="0.25">
      <c r="A1949" s="24">
        <v>1948</v>
      </c>
      <c r="B1949" s="24">
        <v>516317</v>
      </c>
      <c r="C1949" s="24" t="s">
        <v>4247</v>
      </c>
      <c r="D1949" s="24">
        <v>52</v>
      </c>
      <c r="E1949" s="24">
        <v>48</v>
      </c>
    </row>
    <row r="1950" spans="1:5" x14ac:dyDescent="0.25">
      <c r="A1950" s="24">
        <v>1949</v>
      </c>
      <c r="B1950" s="24">
        <v>528684</v>
      </c>
      <c r="C1950" s="24" t="s">
        <v>2960</v>
      </c>
      <c r="D1950" s="24">
        <v>79</v>
      </c>
      <c r="E1950" s="24">
        <v>74</v>
      </c>
    </row>
    <row r="1951" spans="1:5" x14ac:dyDescent="0.25">
      <c r="A1951" s="24">
        <v>1950</v>
      </c>
      <c r="B1951" s="24">
        <v>501328</v>
      </c>
      <c r="C1951" s="24" t="s">
        <v>2961</v>
      </c>
      <c r="D1951" s="24">
        <v>25</v>
      </c>
      <c r="E1951" s="24">
        <v>21</v>
      </c>
    </row>
    <row r="1952" spans="1:5" x14ac:dyDescent="0.25">
      <c r="A1952" s="24">
        <v>1951</v>
      </c>
      <c r="B1952" s="24">
        <v>510009</v>
      </c>
      <c r="C1952" s="24" t="s">
        <v>2962</v>
      </c>
      <c r="D1952" s="24">
        <v>34</v>
      </c>
      <c r="E1952" s="24">
        <v>30</v>
      </c>
    </row>
    <row r="1953" spans="1:5" x14ac:dyDescent="0.25">
      <c r="A1953" s="24">
        <v>1952</v>
      </c>
      <c r="B1953" s="24">
        <v>512524</v>
      </c>
      <c r="C1953" s="24" t="s">
        <v>2964</v>
      </c>
      <c r="D1953" s="24">
        <v>37</v>
      </c>
      <c r="E1953" s="24">
        <v>33</v>
      </c>
    </row>
    <row r="1954" spans="1:5" x14ac:dyDescent="0.25">
      <c r="A1954" s="24">
        <v>1953</v>
      </c>
      <c r="B1954" s="24">
        <v>510963</v>
      </c>
      <c r="C1954" s="24" t="s">
        <v>2965</v>
      </c>
      <c r="D1954" s="24">
        <v>36</v>
      </c>
      <c r="E1954" s="24">
        <v>32</v>
      </c>
    </row>
    <row r="1955" spans="1:5" x14ac:dyDescent="0.25">
      <c r="A1955" s="24">
        <v>1954</v>
      </c>
      <c r="B1955" s="24">
        <v>508942</v>
      </c>
      <c r="C1955" s="24" t="s">
        <v>2966</v>
      </c>
      <c r="D1955" s="24">
        <v>43</v>
      </c>
      <c r="E1955" s="24">
        <v>39</v>
      </c>
    </row>
    <row r="1956" spans="1:5" x14ac:dyDescent="0.25">
      <c r="A1956" s="24">
        <v>1955</v>
      </c>
      <c r="B1956" s="24">
        <v>522970</v>
      </c>
      <c r="C1956" s="24" t="s">
        <v>2967</v>
      </c>
      <c r="D1956" s="24">
        <v>77</v>
      </c>
      <c r="E1956" s="24">
        <v>69</v>
      </c>
    </row>
    <row r="1957" spans="1:5" x14ac:dyDescent="0.25">
      <c r="A1957" s="24">
        <v>1956</v>
      </c>
      <c r="B1957" s="24">
        <v>504696</v>
      </c>
      <c r="C1957" s="24" t="s">
        <v>2968</v>
      </c>
      <c r="D1957" s="24">
        <v>18</v>
      </c>
      <c r="E1957" s="24">
        <v>14</v>
      </c>
    </row>
    <row r="1958" spans="1:5" x14ac:dyDescent="0.25">
      <c r="A1958" s="24">
        <v>1957</v>
      </c>
      <c r="B1958" s="24">
        <v>504700</v>
      </c>
      <c r="C1958" s="24" t="s">
        <v>2969</v>
      </c>
      <c r="D1958" s="24">
        <v>13</v>
      </c>
      <c r="E1958" s="24">
        <v>9</v>
      </c>
    </row>
    <row r="1959" spans="1:5" x14ac:dyDescent="0.25">
      <c r="A1959" s="24">
        <v>1958</v>
      </c>
      <c r="B1959" s="24">
        <v>504718</v>
      </c>
      <c r="C1959" s="24" t="s">
        <v>2970</v>
      </c>
      <c r="D1959" s="24">
        <v>14</v>
      </c>
      <c r="E1959" s="24">
        <v>10</v>
      </c>
    </row>
    <row r="1960" spans="1:5" x14ac:dyDescent="0.25">
      <c r="A1960" s="24">
        <v>1959</v>
      </c>
      <c r="B1960" s="24">
        <v>504726</v>
      </c>
      <c r="C1960" s="24" t="s">
        <v>2971</v>
      </c>
      <c r="D1960" s="24">
        <v>13</v>
      </c>
      <c r="E1960" s="24">
        <v>9</v>
      </c>
    </row>
    <row r="1961" spans="1:5" x14ac:dyDescent="0.25">
      <c r="A1961" s="24">
        <v>1960</v>
      </c>
      <c r="B1961" s="24">
        <v>513881</v>
      </c>
      <c r="C1961" s="24" t="s">
        <v>2972</v>
      </c>
      <c r="D1961" s="24">
        <v>22</v>
      </c>
      <c r="E1961" s="24">
        <v>18</v>
      </c>
    </row>
    <row r="1962" spans="1:5" x14ac:dyDescent="0.25">
      <c r="A1962" s="24">
        <v>1961</v>
      </c>
      <c r="B1962" s="24">
        <v>526100</v>
      </c>
      <c r="C1962" s="24" t="s">
        <v>2975</v>
      </c>
      <c r="D1962" s="24">
        <v>50</v>
      </c>
      <c r="E1962" s="24">
        <v>46</v>
      </c>
    </row>
    <row r="1963" spans="1:5" x14ac:dyDescent="0.25">
      <c r="A1963" s="24">
        <v>1962</v>
      </c>
      <c r="B1963" s="24">
        <v>527734</v>
      </c>
      <c r="C1963" s="24" t="s">
        <v>2976</v>
      </c>
      <c r="D1963" s="24">
        <v>67</v>
      </c>
      <c r="E1963" s="24">
        <v>63</v>
      </c>
    </row>
    <row r="1964" spans="1:5" x14ac:dyDescent="0.25">
      <c r="A1964" s="24">
        <v>1963</v>
      </c>
      <c r="B1964" s="24">
        <v>520675</v>
      </c>
      <c r="C1964" s="24" t="s">
        <v>2977</v>
      </c>
      <c r="D1964" s="24">
        <v>64</v>
      </c>
      <c r="E1964" s="24">
        <v>60</v>
      </c>
    </row>
    <row r="1965" spans="1:5" x14ac:dyDescent="0.25">
      <c r="A1965" s="24">
        <v>1964</v>
      </c>
      <c r="B1965" s="24">
        <v>529010</v>
      </c>
      <c r="C1965" s="24" t="s">
        <v>2978</v>
      </c>
      <c r="D1965" s="24">
        <v>57</v>
      </c>
      <c r="E1965" s="24">
        <v>53</v>
      </c>
    </row>
    <row r="1966" spans="1:5" x14ac:dyDescent="0.25">
      <c r="A1966" s="24">
        <v>1965</v>
      </c>
      <c r="B1966" s="24">
        <v>525057</v>
      </c>
      <c r="C1966" s="24" t="s">
        <v>2979</v>
      </c>
      <c r="D1966" s="24">
        <v>62</v>
      </c>
      <c r="E1966" s="24">
        <v>58</v>
      </c>
    </row>
    <row r="1967" spans="1:5" x14ac:dyDescent="0.25">
      <c r="A1967" s="24">
        <v>1966</v>
      </c>
      <c r="B1967" s="24">
        <v>517194</v>
      </c>
      <c r="C1967" s="24" t="s">
        <v>2980</v>
      </c>
      <c r="D1967" s="24">
        <v>55</v>
      </c>
      <c r="E1967" s="24">
        <v>51</v>
      </c>
    </row>
    <row r="1968" spans="1:5" x14ac:dyDescent="0.25">
      <c r="A1968" s="24">
        <v>1967</v>
      </c>
      <c r="B1968" s="24">
        <v>529028</v>
      </c>
      <c r="C1968" s="24" t="s">
        <v>2981</v>
      </c>
      <c r="D1968" s="24">
        <v>68</v>
      </c>
      <c r="E1968" s="24">
        <v>64</v>
      </c>
    </row>
    <row r="1969" spans="1:5" x14ac:dyDescent="0.25">
      <c r="A1969" s="24">
        <v>1968</v>
      </c>
      <c r="B1969" s="24">
        <v>510971</v>
      </c>
      <c r="C1969" s="24" t="s">
        <v>2982</v>
      </c>
      <c r="D1969" s="24">
        <v>36</v>
      </c>
      <c r="E1969" s="24">
        <v>32</v>
      </c>
    </row>
    <row r="1970" spans="1:5" x14ac:dyDescent="0.25">
      <c r="A1970" s="24">
        <v>1969</v>
      </c>
      <c r="B1970" s="24">
        <v>511781</v>
      </c>
      <c r="C1970" s="24" t="s">
        <v>2984</v>
      </c>
      <c r="D1970" s="24">
        <v>48</v>
      </c>
      <c r="E1970" s="24">
        <v>44</v>
      </c>
    </row>
    <row r="1971" spans="1:5" x14ac:dyDescent="0.25">
      <c r="A1971" s="24">
        <v>1970</v>
      </c>
      <c r="B1971" s="24">
        <v>513598</v>
      </c>
      <c r="C1971" s="24" t="s">
        <v>2985</v>
      </c>
      <c r="D1971" s="24">
        <v>17</v>
      </c>
      <c r="E1971" s="24">
        <v>13</v>
      </c>
    </row>
    <row r="1972" spans="1:5" x14ac:dyDescent="0.25">
      <c r="A1972" s="24">
        <v>1971</v>
      </c>
      <c r="B1972" s="24">
        <v>505412</v>
      </c>
      <c r="C1972" s="24" t="s">
        <v>2986</v>
      </c>
      <c r="D1972" s="24">
        <v>16</v>
      </c>
      <c r="E1972" s="24">
        <v>12</v>
      </c>
    </row>
    <row r="1973" spans="1:5" x14ac:dyDescent="0.25">
      <c r="A1973" s="24">
        <v>1972</v>
      </c>
      <c r="B1973" s="24">
        <v>513601</v>
      </c>
      <c r="C1973" s="24" t="s">
        <v>2987</v>
      </c>
      <c r="D1973" s="24">
        <v>21</v>
      </c>
      <c r="E1973" s="24">
        <v>17</v>
      </c>
    </row>
    <row r="1974" spans="1:5" x14ac:dyDescent="0.25">
      <c r="A1974" s="24">
        <v>1973</v>
      </c>
      <c r="B1974" s="24">
        <v>527742</v>
      </c>
      <c r="C1974" s="24" t="s">
        <v>2989</v>
      </c>
      <c r="D1974" s="24">
        <v>67</v>
      </c>
      <c r="E1974" s="24">
        <v>63</v>
      </c>
    </row>
    <row r="1975" spans="1:5" x14ac:dyDescent="0.25">
      <c r="A1975" s="24">
        <v>1974</v>
      </c>
      <c r="B1975" s="24">
        <v>520683</v>
      </c>
      <c r="C1975" s="24" t="s">
        <v>2991</v>
      </c>
      <c r="D1975" s="24">
        <v>57</v>
      </c>
      <c r="E1975" s="24">
        <v>53</v>
      </c>
    </row>
    <row r="1976" spans="1:5" x14ac:dyDescent="0.25">
      <c r="A1976" s="24">
        <v>1975</v>
      </c>
      <c r="B1976" s="24">
        <v>528692</v>
      </c>
      <c r="C1976" s="24" t="s">
        <v>2992</v>
      </c>
      <c r="D1976" s="24">
        <v>75</v>
      </c>
      <c r="E1976" s="24">
        <v>73</v>
      </c>
    </row>
    <row r="1977" spans="1:5" x14ac:dyDescent="0.25">
      <c r="A1977" s="24">
        <v>1976</v>
      </c>
      <c r="B1977" s="24">
        <v>510017</v>
      </c>
      <c r="C1977" s="24" t="s">
        <v>2993</v>
      </c>
      <c r="D1977" s="24">
        <v>34</v>
      </c>
      <c r="E1977" s="24">
        <v>30</v>
      </c>
    </row>
    <row r="1978" spans="1:5" x14ac:dyDescent="0.25">
      <c r="A1978" s="24">
        <v>1977</v>
      </c>
      <c r="B1978" s="24">
        <v>513610</v>
      </c>
      <c r="C1978" s="24" t="s">
        <v>2994</v>
      </c>
      <c r="D1978" s="24">
        <v>23</v>
      </c>
      <c r="E1978" s="24">
        <v>19</v>
      </c>
    </row>
    <row r="1979" spans="1:5" x14ac:dyDescent="0.25">
      <c r="A1979" s="24">
        <v>1978</v>
      </c>
      <c r="B1979" s="24">
        <v>502693</v>
      </c>
      <c r="C1979" s="24" t="s">
        <v>2997</v>
      </c>
      <c r="D1979" s="24">
        <v>26</v>
      </c>
      <c r="E1979" s="24">
        <v>22</v>
      </c>
    </row>
    <row r="1980" spans="1:5" x14ac:dyDescent="0.25">
      <c r="A1980" s="24">
        <v>1979</v>
      </c>
      <c r="B1980" s="24">
        <v>522988</v>
      </c>
      <c r="C1980" s="24" t="s">
        <v>2998</v>
      </c>
      <c r="D1980" s="24">
        <v>75</v>
      </c>
      <c r="E1980" s="24">
        <v>67</v>
      </c>
    </row>
    <row r="1981" spans="1:5" x14ac:dyDescent="0.25">
      <c r="A1981" s="24">
        <v>1980</v>
      </c>
      <c r="B1981" s="24">
        <v>526983</v>
      </c>
      <c r="C1981" s="24" t="s">
        <v>2999</v>
      </c>
      <c r="D1981" s="24">
        <v>65</v>
      </c>
      <c r="E1981" s="24">
        <v>61</v>
      </c>
    </row>
    <row r="1982" spans="1:5" x14ac:dyDescent="0.25">
      <c r="A1982" s="24">
        <v>1981</v>
      </c>
      <c r="B1982" s="24">
        <v>503967</v>
      </c>
      <c r="C1982" s="24" t="s">
        <v>3000</v>
      </c>
      <c r="D1982" s="24">
        <v>10</v>
      </c>
      <c r="E1982" s="24">
        <v>6</v>
      </c>
    </row>
    <row r="1983" spans="1:5" x14ac:dyDescent="0.25">
      <c r="A1983" s="24">
        <v>1982</v>
      </c>
      <c r="B1983" s="24">
        <v>503975</v>
      </c>
      <c r="C1983" s="24" t="s">
        <v>3001</v>
      </c>
      <c r="D1983" s="24">
        <v>10</v>
      </c>
      <c r="E1983" s="24">
        <v>6</v>
      </c>
    </row>
    <row r="1984" spans="1:5" x14ac:dyDescent="0.25">
      <c r="A1984" s="24">
        <v>1983</v>
      </c>
      <c r="B1984" s="24">
        <v>525065</v>
      </c>
      <c r="C1984" s="24" t="s">
        <v>3002</v>
      </c>
      <c r="D1984" s="24">
        <v>62</v>
      </c>
      <c r="E1984" s="24">
        <v>58</v>
      </c>
    </row>
    <row r="1985" spans="1:5" x14ac:dyDescent="0.25">
      <c r="A1985" s="24">
        <v>1984</v>
      </c>
      <c r="B1985" s="24">
        <v>510025</v>
      </c>
      <c r="C1985" s="24" t="s">
        <v>3003</v>
      </c>
      <c r="D1985" s="24">
        <v>38</v>
      </c>
      <c r="E1985" s="24">
        <v>34</v>
      </c>
    </row>
    <row r="1986" spans="1:5" x14ac:dyDescent="0.25">
      <c r="A1986" s="24">
        <v>1985</v>
      </c>
      <c r="B1986" s="24">
        <v>510033</v>
      </c>
      <c r="C1986" s="24" t="s">
        <v>3004</v>
      </c>
      <c r="D1986" s="24">
        <v>38</v>
      </c>
      <c r="E1986" s="24">
        <v>34</v>
      </c>
    </row>
    <row r="1987" spans="1:5" x14ac:dyDescent="0.25">
      <c r="A1987" s="24">
        <v>1986</v>
      </c>
      <c r="B1987" s="24">
        <v>528706</v>
      </c>
      <c r="C1987" s="24" t="s">
        <v>3005</v>
      </c>
      <c r="D1987" s="24">
        <v>79</v>
      </c>
      <c r="E1987" s="24">
        <v>74</v>
      </c>
    </row>
    <row r="1988" spans="1:5" x14ac:dyDescent="0.25">
      <c r="A1988" s="24">
        <v>1987</v>
      </c>
      <c r="B1988" s="24">
        <v>525073</v>
      </c>
      <c r="C1988" s="24" t="s">
        <v>3006</v>
      </c>
      <c r="D1988" s="24">
        <v>62</v>
      </c>
      <c r="E1988" s="24">
        <v>58</v>
      </c>
    </row>
    <row r="1989" spans="1:5" x14ac:dyDescent="0.25">
      <c r="A1989" s="24">
        <v>1988</v>
      </c>
      <c r="B1989" s="24">
        <v>503495</v>
      </c>
      <c r="C1989" s="24" t="s">
        <v>3007</v>
      </c>
      <c r="D1989" s="24">
        <v>28</v>
      </c>
      <c r="E1989" s="24">
        <v>24</v>
      </c>
    </row>
    <row r="1990" spans="1:5" x14ac:dyDescent="0.25">
      <c r="A1990" s="24">
        <v>1989</v>
      </c>
      <c r="B1990" s="24">
        <v>504734</v>
      </c>
      <c r="C1990" s="24" t="s">
        <v>3008</v>
      </c>
      <c r="D1990" s="24">
        <v>14</v>
      </c>
      <c r="E1990" s="24">
        <v>10</v>
      </c>
    </row>
    <row r="1991" spans="1:5" x14ac:dyDescent="0.25">
      <c r="A1991" s="24">
        <v>1990</v>
      </c>
      <c r="B1991" s="24">
        <v>515353</v>
      </c>
      <c r="C1991" s="24" t="s">
        <v>3009</v>
      </c>
      <c r="D1991" s="24">
        <v>51</v>
      </c>
      <c r="E1991" s="24">
        <v>47</v>
      </c>
    </row>
    <row r="1992" spans="1:5" x14ac:dyDescent="0.25">
      <c r="A1992" s="24">
        <v>1991</v>
      </c>
      <c r="B1992" s="24">
        <v>514349</v>
      </c>
      <c r="C1992" s="24" t="s">
        <v>3010</v>
      </c>
      <c r="D1992" s="24">
        <v>22</v>
      </c>
      <c r="E1992" s="24">
        <v>18</v>
      </c>
    </row>
    <row r="1993" spans="1:5" x14ac:dyDescent="0.25">
      <c r="A1993" s="24">
        <v>1992</v>
      </c>
      <c r="B1993" s="24">
        <v>580791</v>
      </c>
      <c r="C1993" s="24" t="s">
        <v>3011</v>
      </c>
      <c r="D1993" s="24">
        <v>35</v>
      </c>
      <c r="E1993" s="24">
        <v>31</v>
      </c>
    </row>
    <row r="1994" spans="1:5" x14ac:dyDescent="0.25">
      <c r="A1994" s="24">
        <v>1993</v>
      </c>
      <c r="B1994" s="24">
        <v>527751</v>
      </c>
      <c r="C1994" s="24" t="s">
        <v>3012</v>
      </c>
      <c r="D1994" s="24">
        <v>67</v>
      </c>
      <c r="E1994" s="24">
        <v>63</v>
      </c>
    </row>
    <row r="1995" spans="1:5" x14ac:dyDescent="0.25">
      <c r="A1995" s="24">
        <v>1994</v>
      </c>
      <c r="B1995" s="24">
        <v>505421</v>
      </c>
      <c r="C1995" s="24" t="s">
        <v>3014</v>
      </c>
      <c r="D1995" s="24">
        <v>30</v>
      </c>
      <c r="E1995" s="24">
        <v>26</v>
      </c>
    </row>
    <row r="1996" spans="1:5" x14ac:dyDescent="0.25">
      <c r="A1996" s="24">
        <v>1995</v>
      </c>
      <c r="B1996" s="24">
        <v>504742</v>
      </c>
      <c r="C1996" s="24" t="s">
        <v>3015</v>
      </c>
      <c r="D1996" s="24">
        <v>14</v>
      </c>
      <c r="E1996" s="24">
        <v>10</v>
      </c>
    </row>
    <row r="1997" spans="1:5" x14ac:dyDescent="0.25">
      <c r="A1997" s="24">
        <v>1996</v>
      </c>
      <c r="B1997" s="24">
        <v>556653</v>
      </c>
      <c r="C1997" s="24" t="s">
        <v>3015</v>
      </c>
      <c r="D1997" s="24">
        <v>15</v>
      </c>
      <c r="E1997" s="24">
        <v>11</v>
      </c>
    </row>
    <row r="1998" spans="1:5" x14ac:dyDescent="0.25">
      <c r="A1998" s="24">
        <v>1997</v>
      </c>
      <c r="B1998" s="24">
        <v>509396</v>
      </c>
      <c r="C1998" s="24" t="s">
        <v>3013</v>
      </c>
      <c r="D1998" s="24">
        <v>33</v>
      </c>
      <c r="E1998" s="24">
        <v>29</v>
      </c>
    </row>
    <row r="1999" spans="1:5" x14ac:dyDescent="0.25">
      <c r="A1999" s="24">
        <v>1998</v>
      </c>
      <c r="B1999" s="24">
        <v>501336</v>
      </c>
      <c r="C1999" s="24" t="s">
        <v>3016</v>
      </c>
      <c r="D1999" s="24">
        <v>25</v>
      </c>
      <c r="E1999" s="24">
        <v>21</v>
      </c>
    </row>
    <row r="2000" spans="1:5" x14ac:dyDescent="0.25">
      <c r="A2000" s="24">
        <v>1999</v>
      </c>
      <c r="B2000" s="24">
        <v>520691</v>
      </c>
      <c r="C2000" s="24" t="s">
        <v>3018</v>
      </c>
      <c r="D2000" s="24">
        <v>60</v>
      </c>
      <c r="E2000" s="24">
        <v>56</v>
      </c>
    </row>
    <row r="2001" spans="1:5" x14ac:dyDescent="0.25">
      <c r="A2001" s="24">
        <v>2000</v>
      </c>
      <c r="B2001" s="24">
        <v>529036</v>
      </c>
      <c r="C2001" s="24" t="s">
        <v>3019</v>
      </c>
      <c r="D2001" s="24">
        <v>68</v>
      </c>
      <c r="E2001" s="24">
        <v>64</v>
      </c>
    </row>
    <row r="2002" spans="1:5" x14ac:dyDescent="0.25">
      <c r="A2002" s="24">
        <v>2001</v>
      </c>
      <c r="B2002" s="24">
        <v>511790</v>
      </c>
      <c r="C2002" s="24" t="s">
        <v>3020</v>
      </c>
      <c r="D2002" s="24">
        <v>48</v>
      </c>
      <c r="E2002" s="24">
        <v>44</v>
      </c>
    </row>
    <row r="2003" spans="1:5" x14ac:dyDescent="0.25">
      <c r="A2003" s="24">
        <v>2002</v>
      </c>
      <c r="B2003" s="24">
        <v>529044</v>
      </c>
      <c r="C2003" s="24" t="s">
        <v>3021</v>
      </c>
      <c r="D2003" s="24">
        <v>68</v>
      </c>
      <c r="E2003" s="24">
        <v>64</v>
      </c>
    </row>
    <row r="2004" spans="1:5" x14ac:dyDescent="0.25">
      <c r="A2004" s="24">
        <v>2003</v>
      </c>
      <c r="B2004" s="24">
        <v>505439</v>
      </c>
      <c r="C2004" s="24" t="s">
        <v>3022</v>
      </c>
      <c r="D2004" s="24">
        <v>30</v>
      </c>
      <c r="E2004" s="24">
        <v>26</v>
      </c>
    </row>
    <row r="2005" spans="1:5" x14ac:dyDescent="0.25">
      <c r="A2005" s="24">
        <v>2004</v>
      </c>
      <c r="B2005" s="24">
        <v>517917</v>
      </c>
      <c r="C2005" s="24" t="s">
        <v>3023</v>
      </c>
      <c r="D2005" s="24">
        <v>42</v>
      </c>
      <c r="E2005" s="24">
        <v>38</v>
      </c>
    </row>
    <row r="2006" spans="1:5" x14ac:dyDescent="0.25">
      <c r="A2006" s="24">
        <v>2005</v>
      </c>
      <c r="B2006" s="24">
        <v>517925</v>
      </c>
      <c r="C2006" s="24" t="s">
        <v>3024</v>
      </c>
      <c r="D2006" s="24">
        <v>42</v>
      </c>
      <c r="E2006" s="24">
        <v>38</v>
      </c>
    </row>
    <row r="2007" spans="1:5" x14ac:dyDescent="0.25">
      <c r="A2007" s="24">
        <v>2006</v>
      </c>
      <c r="B2007" s="24">
        <v>517933</v>
      </c>
      <c r="C2007" s="24" t="s">
        <v>3025</v>
      </c>
      <c r="D2007" s="24">
        <v>42</v>
      </c>
      <c r="E2007" s="24">
        <v>38</v>
      </c>
    </row>
    <row r="2008" spans="1:5" x14ac:dyDescent="0.25">
      <c r="A2008" s="24">
        <v>2007</v>
      </c>
      <c r="B2008" s="24">
        <v>521906</v>
      </c>
      <c r="C2008" s="24" t="s">
        <v>3026</v>
      </c>
      <c r="D2008" s="24">
        <v>74</v>
      </c>
      <c r="E2008" s="24">
        <v>66</v>
      </c>
    </row>
    <row r="2009" spans="1:5" x14ac:dyDescent="0.25">
      <c r="A2009" s="24">
        <v>2008</v>
      </c>
      <c r="B2009" s="24">
        <v>526118</v>
      </c>
      <c r="C2009" s="24" t="s">
        <v>3026</v>
      </c>
      <c r="D2009" s="24">
        <v>50</v>
      </c>
      <c r="E2009" s="24">
        <v>46</v>
      </c>
    </row>
    <row r="2010" spans="1:5" x14ac:dyDescent="0.25">
      <c r="A2010" s="24">
        <v>2009</v>
      </c>
      <c r="B2010" s="24">
        <v>509400</v>
      </c>
      <c r="C2010" s="24" t="s">
        <v>3027</v>
      </c>
      <c r="D2010" s="24">
        <v>33</v>
      </c>
      <c r="E2010" s="24">
        <v>29</v>
      </c>
    </row>
    <row r="2011" spans="1:5" x14ac:dyDescent="0.25">
      <c r="A2011" s="24">
        <v>2010</v>
      </c>
      <c r="B2011" s="24">
        <v>527769</v>
      </c>
      <c r="C2011" s="24" t="s">
        <v>3028</v>
      </c>
      <c r="D2011" s="24">
        <v>67</v>
      </c>
      <c r="E2011" s="24">
        <v>63</v>
      </c>
    </row>
    <row r="2012" spans="1:5" x14ac:dyDescent="0.25">
      <c r="A2012" s="24">
        <v>2011</v>
      </c>
      <c r="B2012" s="24">
        <v>522996</v>
      </c>
      <c r="C2012" s="24" t="s">
        <v>3029</v>
      </c>
      <c r="D2012" s="24">
        <v>75</v>
      </c>
      <c r="E2012" s="24">
        <v>67</v>
      </c>
    </row>
    <row r="2013" spans="1:5" x14ac:dyDescent="0.25">
      <c r="A2013" s="24">
        <v>2012</v>
      </c>
      <c r="B2013" s="24">
        <v>507482</v>
      </c>
      <c r="C2013" s="24" t="s">
        <v>3030</v>
      </c>
      <c r="D2013" s="24">
        <v>12</v>
      </c>
      <c r="E2013" s="24">
        <v>8</v>
      </c>
    </row>
    <row r="2014" spans="1:5" x14ac:dyDescent="0.25">
      <c r="A2014" s="24">
        <v>2013</v>
      </c>
      <c r="B2014" s="24">
        <v>526126</v>
      </c>
      <c r="C2014" s="24" t="s">
        <v>3031</v>
      </c>
      <c r="D2014" s="24">
        <v>76</v>
      </c>
      <c r="E2014" s="24">
        <v>68</v>
      </c>
    </row>
    <row r="2015" spans="1:5" x14ac:dyDescent="0.25">
      <c r="A2015" s="24">
        <v>2014</v>
      </c>
      <c r="B2015" s="24">
        <v>512541</v>
      </c>
      <c r="C2015" s="24" t="s">
        <v>3032</v>
      </c>
      <c r="D2015" s="24">
        <v>37</v>
      </c>
      <c r="E2015" s="24">
        <v>33</v>
      </c>
    </row>
    <row r="2016" spans="1:5" x14ac:dyDescent="0.25">
      <c r="A2016" s="24">
        <v>2015</v>
      </c>
      <c r="B2016" s="24">
        <v>512559</v>
      </c>
      <c r="C2016" s="24" t="s">
        <v>3033</v>
      </c>
      <c r="D2016" s="24">
        <v>40</v>
      </c>
      <c r="E2016" s="24">
        <v>36</v>
      </c>
    </row>
    <row r="2017" spans="1:5" x14ac:dyDescent="0.25">
      <c r="A2017" s="24">
        <v>2016</v>
      </c>
      <c r="B2017" s="24">
        <v>523798</v>
      </c>
      <c r="C2017" s="24" t="s">
        <v>3034</v>
      </c>
      <c r="D2017" s="24">
        <v>58</v>
      </c>
      <c r="E2017" s="24">
        <v>54</v>
      </c>
    </row>
    <row r="2018" spans="1:5" x14ac:dyDescent="0.25">
      <c r="A2018" s="24">
        <v>2017</v>
      </c>
      <c r="B2018" s="24">
        <v>557854</v>
      </c>
      <c r="C2018" s="24" t="s">
        <v>3678</v>
      </c>
      <c r="D2018" s="24">
        <v>51</v>
      </c>
      <c r="E2018" s="24">
        <v>47</v>
      </c>
    </row>
    <row r="2019" spans="1:5" x14ac:dyDescent="0.25">
      <c r="A2019" s="24">
        <v>2018</v>
      </c>
      <c r="B2019" s="24">
        <v>521914</v>
      </c>
      <c r="C2019" s="24" t="s">
        <v>3035</v>
      </c>
      <c r="D2019" s="24">
        <v>74</v>
      </c>
      <c r="E2019" s="24">
        <v>66</v>
      </c>
    </row>
    <row r="2020" spans="1:5" x14ac:dyDescent="0.25">
      <c r="A2020" s="24">
        <v>2019</v>
      </c>
      <c r="B2020" s="24">
        <v>511803</v>
      </c>
      <c r="C2020" s="24" t="s">
        <v>3036</v>
      </c>
      <c r="D2020" s="24">
        <v>48</v>
      </c>
      <c r="E2020" s="24">
        <v>44</v>
      </c>
    </row>
    <row r="2021" spans="1:5" x14ac:dyDescent="0.25">
      <c r="A2021" s="24">
        <v>2020</v>
      </c>
      <c r="B2021" s="24">
        <v>519936</v>
      </c>
      <c r="C2021" s="24" t="s">
        <v>4248</v>
      </c>
      <c r="D2021" s="24">
        <v>56</v>
      </c>
      <c r="E2021" s="24">
        <v>52</v>
      </c>
    </row>
    <row r="2022" spans="1:5" x14ac:dyDescent="0.25">
      <c r="A2022" s="24">
        <v>2021</v>
      </c>
      <c r="B2022" s="24">
        <v>503509</v>
      </c>
      <c r="C2022" s="24" t="s">
        <v>3037</v>
      </c>
      <c r="D2022" s="24">
        <v>28</v>
      </c>
      <c r="E2022" s="24">
        <v>24</v>
      </c>
    </row>
    <row r="2023" spans="1:5" x14ac:dyDescent="0.25">
      <c r="A2023" s="24">
        <v>2022</v>
      </c>
      <c r="B2023" s="24">
        <v>515361</v>
      </c>
      <c r="C2023" s="24" t="s">
        <v>3038</v>
      </c>
      <c r="D2023" s="24">
        <v>50</v>
      </c>
      <c r="E2023" s="24">
        <v>46</v>
      </c>
    </row>
    <row r="2024" spans="1:5" x14ac:dyDescent="0.25">
      <c r="A2024" s="24">
        <v>2023</v>
      </c>
      <c r="B2024" s="24">
        <v>511811</v>
      </c>
      <c r="C2024" s="24" t="s">
        <v>3039</v>
      </c>
      <c r="D2024" s="24">
        <v>48</v>
      </c>
      <c r="E2024" s="24">
        <v>44</v>
      </c>
    </row>
    <row r="2025" spans="1:5" x14ac:dyDescent="0.25">
      <c r="A2025" s="24">
        <v>2024</v>
      </c>
      <c r="B2025" s="24">
        <v>515370</v>
      </c>
      <c r="C2025" s="24" t="s">
        <v>3040</v>
      </c>
      <c r="D2025" s="24">
        <v>50</v>
      </c>
      <c r="E2025" s="24">
        <v>46</v>
      </c>
    </row>
    <row r="2026" spans="1:5" x14ac:dyDescent="0.25">
      <c r="A2026" s="24">
        <v>2025</v>
      </c>
      <c r="B2026" s="24">
        <v>518620</v>
      </c>
      <c r="C2026" s="24" t="s">
        <v>3042</v>
      </c>
      <c r="D2026" s="24">
        <v>11</v>
      </c>
      <c r="E2026" s="24">
        <v>7</v>
      </c>
    </row>
    <row r="2027" spans="1:5" x14ac:dyDescent="0.25">
      <c r="A2027" s="24">
        <v>2026</v>
      </c>
      <c r="B2027" s="24">
        <v>512567</v>
      </c>
      <c r="C2027" s="24" t="s">
        <v>3043</v>
      </c>
      <c r="D2027" s="24">
        <v>37</v>
      </c>
      <c r="E2027" s="24">
        <v>33</v>
      </c>
    </row>
    <row r="2028" spans="1:5" x14ac:dyDescent="0.25">
      <c r="A2028" s="24">
        <v>2027</v>
      </c>
      <c r="B2028" s="24">
        <v>515388</v>
      </c>
      <c r="C2028" s="24" t="s">
        <v>3044</v>
      </c>
      <c r="D2028" s="24">
        <v>51</v>
      </c>
      <c r="E2028" s="24">
        <v>47</v>
      </c>
    </row>
    <row r="2029" spans="1:5" x14ac:dyDescent="0.25">
      <c r="A2029" s="24">
        <v>2028</v>
      </c>
      <c r="B2029" s="24">
        <v>515396</v>
      </c>
      <c r="C2029" s="24" t="s">
        <v>3045</v>
      </c>
      <c r="D2029" s="24">
        <v>51</v>
      </c>
      <c r="E2029" s="24">
        <v>47</v>
      </c>
    </row>
    <row r="2030" spans="1:5" x14ac:dyDescent="0.25">
      <c r="A2030" s="24">
        <v>2029</v>
      </c>
      <c r="B2030" s="24">
        <v>515400</v>
      </c>
      <c r="C2030" s="24" t="s">
        <v>3047</v>
      </c>
      <c r="D2030" s="24">
        <v>50</v>
      </c>
      <c r="E2030" s="24">
        <v>46</v>
      </c>
    </row>
    <row r="2031" spans="1:5" x14ac:dyDescent="0.25">
      <c r="A2031" s="24">
        <v>2030</v>
      </c>
      <c r="B2031" s="24">
        <v>507491</v>
      </c>
      <c r="C2031" s="24" t="s">
        <v>3048</v>
      </c>
      <c r="D2031" s="24">
        <v>12</v>
      </c>
      <c r="E2031" s="24">
        <v>8</v>
      </c>
    </row>
    <row r="2032" spans="1:5" x14ac:dyDescent="0.25">
      <c r="A2032" s="24">
        <v>2031</v>
      </c>
      <c r="B2032" s="24">
        <v>525081</v>
      </c>
      <c r="C2032" s="24" t="s">
        <v>3049</v>
      </c>
      <c r="D2032" s="24">
        <v>63</v>
      </c>
      <c r="E2032" s="24">
        <v>59</v>
      </c>
    </row>
    <row r="2033" spans="1:5" x14ac:dyDescent="0.25">
      <c r="A2033" s="24">
        <v>2032</v>
      </c>
      <c r="B2033" s="24">
        <v>514357</v>
      </c>
      <c r="C2033" s="24" t="s">
        <v>3050</v>
      </c>
      <c r="D2033" s="24">
        <v>22</v>
      </c>
      <c r="E2033" s="24">
        <v>18</v>
      </c>
    </row>
    <row r="2034" spans="1:5" x14ac:dyDescent="0.25">
      <c r="A2034" s="24">
        <v>2033</v>
      </c>
      <c r="B2034" s="24">
        <v>508951</v>
      </c>
      <c r="C2034" s="24" t="s">
        <v>3051</v>
      </c>
      <c r="D2034" s="24">
        <v>45</v>
      </c>
      <c r="E2034" s="24">
        <v>41</v>
      </c>
    </row>
    <row r="2035" spans="1:5" x14ac:dyDescent="0.25">
      <c r="A2035" s="24">
        <v>2034</v>
      </c>
      <c r="B2035" s="24">
        <v>525090</v>
      </c>
      <c r="C2035" s="24" t="s">
        <v>3053</v>
      </c>
      <c r="D2035" s="24">
        <v>63</v>
      </c>
      <c r="E2035" s="24">
        <v>59</v>
      </c>
    </row>
    <row r="2036" spans="1:5" x14ac:dyDescent="0.25">
      <c r="A2036" s="24">
        <v>2035</v>
      </c>
      <c r="B2036" s="24">
        <v>503983</v>
      </c>
      <c r="C2036" s="24" t="s">
        <v>3055</v>
      </c>
      <c r="D2036" s="24">
        <v>8</v>
      </c>
      <c r="E2036" s="24">
        <v>3</v>
      </c>
    </row>
    <row r="2037" spans="1:5" x14ac:dyDescent="0.25">
      <c r="A2037" s="24">
        <v>2036</v>
      </c>
      <c r="B2037" s="24">
        <v>519740</v>
      </c>
      <c r="C2037" s="24" t="s">
        <v>3056</v>
      </c>
      <c r="D2037" s="24">
        <v>56</v>
      </c>
      <c r="E2037" s="24">
        <v>52</v>
      </c>
    </row>
    <row r="2038" spans="1:5" x14ac:dyDescent="0.25">
      <c r="A2038" s="24">
        <v>2037</v>
      </c>
      <c r="B2038" s="24">
        <v>526134</v>
      </c>
      <c r="C2038" s="24" t="s">
        <v>3057</v>
      </c>
      <c r="D2038" s="24">
        <v>76</v>
      </c>
      <c r="E2038" s="24">
        <v>68</v>
      </c>
    </row>
    <row r="2039" spans="1:5" x14ac:dyDescent="0.25">
      <c r="A2039" s="24">
        <v>2038</v>
      </c>
      <c r="B2039" s="24">
        <v>523801</v>
      </c>
      <c r="C2039" s="24" t="s">
        <v>3058</v>
      </c>
      <c r="D2039" s="24">
        <v>58</v>
      </c>
      <c r="E2039" s="24">
        <v>54</v>
      </c>
    </row>
    <row r="2040" spans="1:5" x14ac:dyDescent="0.25">
      <c r="A2040" s="24">
        <v>2039</v>
      </c>
      <c r="B2040" s="24">
        <v>529052</v>
      </c>
      <c r="C2040" s="24" t="s">
        <v>3059</v>
      </c>
      <c r="D2040" s="24">
        <v>68</v>
      </c>
      <c r="E2040" s="24">
        <v>64</v>
      </c>
    </row>
    <row r="2041" spans="1:5" x14ac:dyDescent="0.25">
      <c r="A2041" s="24">
        <v>2040</v>
      </c>
      <c r="B2041" s="24">
        <v>523003</v>
      </c>
      <c r="C2041" s="24" t="s">
        <v>3060</v>
      </c>
      <c r="D2041" s="24">
        <v>77</v>
      </c>
      <c r="E2041" s="24">
        <v>69</v>
      </c>
    </row>
    <row r="2042" spans="1:5" x14ac:dyDescent="0.25">
      <c r="A2042" s="24">
        <v>2041</v>
      </c>
      <c r="B2042" s="24">
        <v>525103</v>
      </c>
      <c r="C2042" s="24" t="s">
        <v>3061</v>
      </c>
      <c r="D2042" s="24">
        <v>63</v>
      </c>
      <c r="E2042" s="24">
        <v>59</v>
      </c>
    </row>
    <row r="2043" spans="1:5" x14ac:dyDescent="0.25">
      <c r="A2043" s="24">
        <v>2042</v>
      </c>
      <c r="B2043" s="24">
        <v>520705</v>
      </c>
      <c r="C2043" s="24" t="s">
        <v>3062</v>
      </c>
      <c r="D2043" s="24">
        <v>60</v>
      </c>
      <c r="E2043" s="24">
        <v>56</v>
      </c>
    </row>
    <row r="2044" spans="1:5" x14ac:dyDescent="0.25">
      <c r="A2044" s="24">
        <v>2043</v>
      </c>
      <c r="B2044" s="24">
        <v>517216</v>
      </c>
      <c r="C2044" s="24" t="s">
        <v>3063</v>
      </c>
      <c r="D2044" s="24">
        <v>55</v>
      </c>
      <c r="E2044" s="24">
        <v>51</v>
      </c>
    </row>
    <row r="2045" spans="1:5" x14ac:dyDescent="0.25">
      <c r="A2045" s="24">
        <v>2044</v>
      </c>
      <c r="B2045" s="24">
        <v>521922</v>
      </c>
      <c r="C2045" s="24" t="s">
        <v>3064</v>
      </c>
      <c r="D2045" s="24">
        <v>74</v>
      </c>
      <c r="E2045" s="24">
        <v>72</v>
      </c>
    </row>
    <row r="2046" spans="1:5" x14ac:dyDescent="0.25">
      <c r="A2046" s="24">
        <v>2045</v>
      </c>
      <c r="B2046" s="24">
        <v>519758</v>
      </c>
      <c r="C2046" s="24" t="s">
        <v>3065</v>
      </c>
      <c r="D2046" s="24">
        <v>56</v>
      </c>
      <c r="E2046" s="24">
        <v>52</v>
      </c>
    </row>
    <row r="2047" spans="1:5" x14ac:dyDescent="0.25">
      <c r="A2047" s="24">
        <v>2046</v>
      </c>
      <c r="B2047" s="24">
        <v>526142</v>
      </c>
      <c r="C2047" s="24" t="s">
        <v>3067</v>
      </c>
      <c r="D2047" s="24">
        <v>50</v>
      </c>
      <c r="E2047" s="24">
        <v>46</v>
      </c>
    </row>
    <row r="2048" spans="1:5" x14ac:dyDescent="0.25">
      <c r="A2048" s="24">
        <v>2047</v>
      </c>
      <c r="B2048" s="24">
        <v>526151</v>
      </c>
      <c r="C2048" s="24" t="s">
        <v>3068</v>
      </c>
      <c r="D2048" s="24">
        <v>50</v>
      </c>
      <c r="E2048" s="24">
        <v>46</v>
      </c>
    </row>
    <row r="2049" spans="1:5" x14ac:dyDescent="0.25">
      <c r="A2049" s="24">
        <v>2048</v>
      </c>
      <c r="B2049" s="24">
        <v>508969</v>
      </c>
      <c r="C2049" s="24" t="s">
        <v>3070</v>
      </c>
      <c r="D2049" s="24">
        <v>43</v>
      </c>
      <c r="E2049" s="24">
        <v>39</v>
      </c>
    </row>
    <row r="2050" spans="1:5" x14ac:dyDescent="0.25">
      <c r="A2050" s="24">
        <v>2049</v>
      </c>
      <c r="B2050" s="24">
        <v>557765</v>
      </c>
      <c r="C2050" s="24" t="s">
        <v>3070</v>
      </c>
      <c r="D2050" s="24">
        <v>51</v>
      </c>
      <c r="E2050" s="24">
        <v>47</v>
      </c>
    </row>
    <row r="2051" spans="1:5" x14ac:dyDescent="0.25">
      <c r="A2051" s="24">
        <v>2050</v>
      </c>
      <c r="B2051" s="24">
        <v>543501</v>
      </c>
      <c r="C2051" s="24" t="s">
        <v>3072</v>
      </c>
      <c r="D2051" s="24">
        <v>69</v>
      </c>
      <c r="E2051" s="24">
        <v>65</v>
      </c>
    </row>
    <row r="2052" spans="1:5" x14ac:dyDescent="0.25">
      <c r="A2052" s="24">
        <v>2051</v>
      </c>
      <c r="B2052" s="24">
        <v>519766</v>
      </c>
      <c r="C2052" s="24" t="s">
        <v>3073</v>
      </c>
      <c r="D2052" s="24">
        <v>56</v>
      </c>
      <c r="E2052" s="24">
        <v>52</v>
      </c>
    </row>
    <row r="2053" spans="1:5" x14ac:dyDescent="0.25">
      <c r="A2053" s="24">
        <v>2052</v>
      </c>
      <c r="B2053" s="24">
        <v>515426</v>
      </c>
      <c r="C2053" s="24" t="s">
        <v>3074</v>
      </c>
      <c r="D2053" s="24">
        <v>51</v>
      </c>
      <c r="E2053" s="24">
        <v>47</v>
      </c>
    </row>
    <row r="2054" spans="1:5" x14ac:dyDescent="0.25">
      <c r="A2054" s="24">
        <v>2053</v>
      </c>
      <c r="B2054" s="24">
        <v>515442</v>
      </c>
      <c r="C2054" s="24" t="s">
        <v>3076</v>
      </c>
      <c r="D2054" s="24">
        <v>51</v>
      </c>
      <c r="E2054" s="24">
        <v>47</v>
      </c>
    </row>
    <row r="2055" spans="1:5" x14ac:dyDescent="0.25">
      <c r="A2055" s="24">
        <v>2054</v>
      </c>
      <c r="B2055" s="24">
        <v>514462</v>
      </c>
      <c r="C2055" s="24" t="s">
        <v>3077</v>
      </c>
      <c r="D2055" s="24">
        <v>51</v>
      </c>
      <c r="E2055" s="24">
        <v>47</v>
      </c>
    </row>
    <row r="2056" spans="1:5" x14ac:dyDescent="0.25">
      <c r="A2056" s="24">
        <v>2055</v>
      </c>
      <c r="B2056" s="24">
        <v>515451</v>
      </c>
      <c r="C2056" s="24" t="s">
        <v>3079</v>
      </c>
      <c r="D2056" s="24">
        <v>51</v>
      </c>
      <c r="E2056" s="24">
        <v>47</v>
      </c>
    </row>
    <row r="2057" spans="1:5" x14ac:dyDescent="0.25">
      <c r="A2057" s="24">
        <v>2056</v>
      </c>
      <c r="B2057" s="24">
        <v>515469</v>
      </c>
      <c r="C2057" s="24" t="s">
        <v>3080</v>
      </c>
      <c r="D2057" s="24">
        <v>51</v>
      </c>
      <c r="E2057" s="24">
        <v>47</v>
      </c>
    </row>
    <row r="2058" spans="1:5" x14ac:dyDescent="0.25">
      <c r="A2058" s="24">
        <v>2057</v>
      </c>
      <c r="B2058" s="24">
        <v>557811</v>
      </c>
      <c r="C2058" s="24" t="s">
        <v>3081</v>
      </c>
      <c r="D2058" s="24">
        <v>51</v>
      </c>
      <c r="E2058" s="24">
        <v>47</v>
      </c>
    </row>
    <row r="2059" spans="1:5" x14ac:dyDescent="0.25">
      <c r="A2059" s="24">
        <v>2058</v>
      </c>
      <c r="B2059" s="24">
        <v>500704</v>
      </c>
      <c r="C2059" s="24" t="s">
        <v>3082</v>
      </c>
      <c r="D2059" s="24">
        <v>27</v>
      </c>
      <c r="E2059" s="24">
        <v>23</v>
      </c>
    </row>
    <row r="2060" spans="1:5" x14ac:dyDescent="0.25">
      <c r="A2060" s="24">
        <v>2059</v>
      </c>
      <c r="B2060" s="24">
        <v>556122</v>
      </c>
      <c r="C2060" s="24" t="s">
        <v>3084</v>
      </c>
      <c r="D2060" s="24">
        <v>13</v>
      </c>
      <c r="E2060" s="24">
        <v>9</v>
      </c>
    </row>
    <row r="2061" spans="1:5" x14ac:dyDescent="0.25">
      <c r="A2061" s="24">
        <v>2060</v>
      </c>
      <c r="B2061" s="24">
        <v>501891</v>
      </c>
      <c r="C2061" s="24" t="s">
        <v>3083</v>
      </c>
      <c r="D2061" s="24">
        <v>9</v>
      </c>
      <c r="E2061" s="24">
        <v>5</v>
      </c>
    </row>
    <row r="2062" spans="1:5" x14ac:dyDescent="0.25">
      <c r="A2062" s="24">
        <v>2061</v>
      </c>
      <c r="B2062" s="24">
        <v>504769</v>
      </c>
      <c r="C2062" s="24" t="s">
        <v>3086</v>
      </c>
      <c r="D2062" s="24">
        <v>6</v>
      </c>
      <c r="E2062" s="24">
        <v>1</v>
      </c>
    </row>
    <row r="2063" spans="1:5" x14ac:dyDescent="0.25">
      <c r="A2063" s="24">
        <v>2062</v>
      </c>
      <c r="B2063" s="24">
        <v>529061</v>
      </c>
      <c r="C2063" s="24" t="s">
        <v>3086</v>
      </c>
      <c r="D2063" s="24">
        <v>57</v>
      </c>
      <c r="E2063" s="24">
        <v>53</v>
      </c>
    </row>
    <row r="2064" spans="1:5" x14ac:dyDescent="0.25">
      <c r="A2064" s="24">
        <v>2063</v>
      </c>
      <c r="B2064" s="24">
        <v>526177</v>
      </c>
      <c r="C2064" s="24" t="s">
        <v>3087</v>
      </c>
      <c r="D2064" s="24">
        <v>76</v>
      </c>
      <c r="E2064" s="24">
        <v>68</v>
      </c>
    </row>
    <row r="2065" spans="1:5" x14ac:dyDescent="0.25">
      <c r="A2065" s="24">
        <v>2064</v>
      </c>
      <c r="B2065" s="24">
        <v>525111</v>
      </c>
      <c r="C2065" s="24" t="s">
        <v>3088</v>
      </c>
      <c r="D2065" s="24">
        <v>62</v>
      </c>
      <c r="E2065" s="24">
        <v>58</v>
      </c>
    </row>
    <row r="2066" spans="1:5" x14ac:dyDescent="0.25">
      <c r="A2066" s="24">
        <v>2065</v>
      </c>
      <c r="B2066" s="24">
        <v>519774</v>
      </c>
      <c r="C2066" s="24" t="s">
        <v>3089</v>
      </c>
      <c r="D2066" s="24">
        <v>56</v>
      </c>
      <c r="E2066" s="24">
        <v>52</v>
      </c>
    </row>
    <row r="2067" spans="1:5" x14ac:dyDescent="0.25">
      <c r="A2067" s="24">
        <v>2066</v>
      </c>
      <c r="B2067" s="24">
        <v>520250</v>
      </c>
      <c r="C2067" s="24" t="s">
        <v>4249</v>
      </c>
      <c r="D2067" s="24">
        <v>57</v>
      </c>
      <c r="E2067" s="24">
        <v>53</v>
      </c>
    </row>
    <row r="2068" spans="1:5" x14ac:dyDescent="0.25">
      <c r="A2068" s="24">
        <v>2067</v>
      </c>
      <c r="B2068" s="24">
        <v>559610</v>
      </c>
      <c r="C2068" s="24" t="s">
        <v>2037</v>
      </c>
      <c r="D2068" s="24">
        <v>60</v>
      </c>
      <c r="E2068" s="24">
        <v>56</v>
      </c>
    </row>
    <row r="2069" spans="1:5" x14ac:dyDescent="0.25">
      <c r="A2069" s="24">
        <v>2068</v>
      </c>
      <c r="B2069" s="24">
        <v>517941</v>
      </c>
      <c r="C2069" s="24" t="s">
        <v>3090</v>
      </c>
      <c r="D2069" s="24">
        <v>42</v>
      </c>
      <c r="E2069" s="24">
        <v>38</v>
      </c>
    </row>
    <row r="2070" spans="1:5" x14ac:dyDescent="0.25">
      <c r="A2070" s="24">
        <v>2069</v>
      </c>
      <c r="B2070" s="24">
        <v>520713</v>
      </c>
      <c r="C2070" s="24" t="s">
        <v>3091</v>
      </c>
      <c r="D2070" s="24">
        <v>60</v>
      </c>
      <c r="E2070" s="24">
        <v>56</v>
      </c>
    </row>
    <row r="2071" spans="1:5" x14ac:dyDescent="0.25">
      <c r="A2071" s="24">
        <v>2070</v>
      </c>
      <c r="B2071" s="24">
        <v>526185</v>
      </c>
      <c r="C2071" s="24" t="s">
        <v>3092</v>
      </c>
      <c r="D2071" s="24">
        <v>76</v>
      </c>
      <c r="E2071" s="24">
        <v>68</v>
      </c>
    </row>
    <row r="2072" spans="1:5" x14ac:dyDescent="0.25">
      <c r="A2072" s="24">
        <v>2071</v>
      </c>
      <c r="B2072" s="24">
        <v>504777</v>
      </c>
      <c r="C2072" s="24" t="s">
        <v>3093</v>
      </c>
      <c r="D2072" s="24">
        <v>13</v>
      </c>
      <c r="E2072" s="24">
        <v>9</v>
      </c>
    </row>
    <row r="2073" spans="1:5" x14ac:dyDescent="0.25">
      <c r="A2073" s="24">
        <v>2072</v>
      </c>
      <c r="B2073" s="24">
        <v>508209</v>
      </c>
      <c r="C2073" s="24" t="s">
        <v>3094</v>
      </c>
      <c r="D2073" s="24">
        <v>8</v>
      </c>
      <c r="E2073" s="24">
        <v>3</v>
      </c>
    </row>
    <row r="2074" spans="1:5" x14ac:dyDescent="0.25">
      <c r="A2074" s="24">
        <v>2073</v>
      </c>
      <c r="B2074" s="24">
        <v>511820</v>
      </c>
      <c r="C2074" s="24" t="s">
        <v>3095</v>
      </c>
      <c r="D2074" s="24">
        <v>49</v>
      </c>
      <c r="E2074" s="24">
        <v>45</v>
      </c>
    </row>
    <row r="2075" spans="1:5" x14ac:dyDescent="0.25">
      <c r="A2075" s="24">
        <v>2074</v>
      </c>
      <c r="B2075" s="24">
        <v>515485</v>
      </c>
      <c r="C2075" s="24" t="s">
        <v>3097</v>
      </c>
      <c r="D2075" s="24">
        <v>51</v>
      </c>
      <c r="E2075" s="24">
        <v>47</v>
      </c>
    </row>
    <row r="2076" spans="1:5" x14ac:dyDescent="0.25">
      <c r="A2076" s="24">
        <v>2075</v>
      </c>
      <c r="B2076" s="24">
        <v>520721</v>
      </c>
      <c r="C2076" s="24" t="s">
        <v>3097</v>
      </c>
      <c r="D2076" s="24">
        <v>57</v>
      </c>
      <c r="E2076" s="24">
        <v>53</v>
      </c>
    </row>
    <row r="2077" spans="1:5" x14ac:dyDescent="0.25">
      <c r="A2077" s="24">
        <v>2076</v>
      </c>
      <c r="B2077" s="24">
        <v>527777</v>
      </c>
      <c r="C2077" s="24" t="s">
        <v>3097</v>
      </c>
      <c r="D2077" s="24">
        <v>67</v>
      </c>
      <c r="E2077" s="24">
        <v>63</v>
      </c>
    </row>
    <row r="2078" spans="1:5" x14ac:dyDescent="0.25">
      <c r="A2078" s="24">
        <v>2077</v>
      </c>
      <c r="B2078" s="24">
        <v>521931</v>
      </c>
      <c r="C2078" s="24" t="s">
        <v>3099</v>
      </c>
      <c r="D2078" s="24">
        <v>74</v>
      </c>
      <c r="E2078" s="24">
        <v>66</v>
      </c>
    </row>
    <row r="2079" spans="1:5" x14ac:dyDescent="0.25">
      <c r="A2079" s="24">
        <v>2078</v>
      </c>
      <c r="B2079" s="24">
        <v>526193</v>
      </c>
      <c r="C2079" s="24" t="s">
        <v>3100</v>
      </c>
      <c r="D2079" s="24">
        <v>76</v>
      </c>
      <c r="E2079" s="24">
        <v>68</v>
      </c>
    </row>
    <row r="2080" spans="1:5" x14ac:dyDescent="0.25">
      <c r="A2080" s="24">
        <v>2079</v>
      </c>
      <c r="B2080" s="24">
        <v>527785</v>
      </c>
      <c r="C2080" s="24" t="s">
        <v>3101</v>
      </c>
      <c r="D2080" s="24">
        <v>67</v>
      </c>
      <c r="E2080" s="24">
        <v>63</v>
      </c>
    </row>
    <row r="2081" spans="1:5" x14ac:dyDescent="0.25">
      <c r="A2081" s="24">
        <v>2080</v>
      </c>
      <c r="B2081" s="24">
        <v>525120</v>
      </c>
      <c r="C2081" s="24" t="s">
        <v>3103</v>
      </c>
      <c r="D2081" s="24">
        <v>63</v>
      </c>
      <c r="E2081" s="24">
        <v>59</v>
      </c>
    </row>
    <row r="2082" spans="1:5" x14ac:dyDescent="0.25">
      <c r="A2082" s="24">
        <v>2081</v>
      </c>
      <c r="B2082" s="24">
        <v>525529</v>
      </c>
      <c r="C2082" s="24" t="s">
        <v>3104</v>
      </c>
      <c r="D2082" s="24">
        <v>76</v>
      </c>
      <c r="E2082" s="24">
        <v>68</v>
      </c>
    </row>
    <row r="2083" spans="1:5" x14ac:dyDescent="0.25">
      <c r="A2083" s="24">
        <v>2082</v>
      </c>
      <c r="B2083" s="24">
        <v>526207</v>
      </c>
      <c r="C2083" s="24" t="s">
        <v>3107</v>
      </c>
      <c r="D2083" s="24">
        <v>76</v>
      </c>
      <c r="E2083" s="24">
        <v>68</v>
      </c>
    </row>
    <row r="2084" spans="1:5" x14ac:dyDescent="0.25">
      <c r="A2084" s="24">
        <v>2083</v>
      </c>
      <c r="B2084" s="24">
        <v>503517</v>
      </c>
      <c r="C2084" s="24" t="s">
        <v>3108</v>
      </c>
      <c r="D2084" s="24">
        <v>28</v>
      </c>
      <c r="E2084" s="24">
        <v>24</v>
      </c>
    </row>
    <row r="2085" spans="1:5" x14ac:dyDescent="0.25">
      <c r="A2085" s="24">
        <v>2084</v>
      </c>
      <c r="B2085" s="24">
        <v>509426</v>
      </c>
      <c r="C2085" s="24" t="s">
        <v>3109</v>
      </c>
      <c r="D2085" s="24">
        <v>35</v>
      </c>
      <c r="E2085" s="24">
        <v>31</v>
      </c>
    </row>
    <row r="2086" spans="1:5" x14ac:dyDescent="0.25">
      <c r="A2086" s="24">
        <v>2085</v>
      </c>
      <c r="B2086" s="24">
        <v>509434</v>
      </c>
      <c r="C2086" s="24" t="s">
        <v>3110</v>
      </c>
      <c r="D2086" s="24">
        <v>35</v>
      </c>
      <c r="E2086" s="24">
        <v>31</v>
      </c>
    </row>
    <row r="2087" spans="1:5" x14ac:dyDescent="0.25">
      <c r="A2087" s="24">
        <v>2086</v>
      </c>
      <c r="B2087" s="24">
        <v>509442</v>
      </c>
      <c r="C2087" s="24" t="s">
        <v>3111</v>
      </c>
      <c r="D2087" s="24">
        <v>35</v>
      </c>
      <c r="E2087" s="24">
        <v>31</v>
      </c>
    </row>
    <row r="2088" spans="1:5" x14ac:dyDescent="0.25">
      <c r="A2088" s="24">
        <v>2087</v>
      </c>
      <c r="B2088" s="24">
        <v>529079</v>
      </c>
      <c r="C2088" s="24" t="s">
        <v>3112</v>
      </c>
      <c r="D2088" s="24">
        <v>68</v>
      </c>
      <c r="E2088" s="24">
        <v>64</v>
      </c>
    </row>
    <row r="2089" spans="1:5" x14ac:dyDescent="0.25">
      <c r="A2089" s="24">
        <v>2088</v>
      </c>
      <c r="B2089" s="24">
        <v>526215</v>
      </c>
      <c r="C2089" s="24" t="s">
        <v>3113</v>
      </c>
      <c r="D2089" s="24">
        <v>76</v>
      </c>
      <c r="E2089" s="24">
        <v>68</v>
      </c>
    </row>
    <row r="2090" spans="1:5" x14ac:dyDescent="0.25">
      <c r="A2090" s="24">
        <v>2089</v>
      </c>
      <c r="B2090" s="24">
        <v>543519</v>
      </c>
      <c r="C2090" s="24" t="s">
        <v>3114</v>
      </c>
      <c r="D2090" s="24">
        <v>78</v>
      </c>
      <c r="E2090" s="24">
        <v>70</v>
      </c>
    </row>
    <row r="2091" spans="1:5" x14ac:dyDescent="0.25">
      <c r="A2091" s="24">
        <v>2090</v>
      </c>
      <c r="B2091" s="24">
        <v>514365</v>
      </c>
      <c r="C2091" s="24" t="s">
        <v>3115</v>
      </c>
      <c r="D2091" s="24">
        <v>22</v>
      </c>
      <c r="E2091" s="24">
        <v>18</v>
      </c>
    </row>
    <row r="2092" spans="1:5" x14ac:dyDescent="0.25">
      <c r="A2092" s="24">
        <v>2091</v>
      </c>
      <c r="B2092" s="24">
        <v>504793</v>
      </c>
      <c r="C2092" s="24" t="s">
        <v>3116</v>
      </c>
      <c r="D2092" s="24">
        <v>18</v>
      </c>
      <c r="E2092" s="24">
        <v>14</v>
      </c>
    </row>
    <row r="2093" spans="1:5" x14ac:dyDescent="0.25">
      <c r="A2093" s="24">
        <v>2092</v>
      </c>
      <c r="B2093" s="24">
        <v>521949</v>
      </c>
      <c r="C2093" s="24" t="s">
        <v>3116</v>
      </c>
      <c r="D2093" s="24">
        <v>74</v>
      </c>
      <c r="E2093" s="24">
        <v>72</v>
      </c>
    </row>
    <row r="2094" spans="1:5" x14ac:dyDescent="0.25">
      <c r="A2094" s="24">
        <v>2093</v>
      </c>
      <c r="B2094" s="24">
        <v>512575</v>
      </c>
      <c r="C2094" s="24" t="s">
        <v>3117</v>
      </c>
      <c r="D2094" s="24">
        <v>40</v>
      </c>
      <c r="E2094" s="24">
        <v>36</v>
      </c>
    </row>
    <row r="2095" spans="1:5" x14ac:dyDescent="0.25">
      <c r="A2095" s="24">
        <v>2094</v>
      </c>
      <c r="B2095" s="24">
        <v>517232</v>
      </c>
      <c r="C2095" s="24" t="s">
        <v>3118</v>
      </c>
      <c r="D2095" s="24">
        <v>54</v>
      </c>
      <c r="E2095" s="24">
        <v>50</v>
      </c>
    </row>
    <row r="2096" spans="1:5" x14ac:dyDescent="0.25">
      <c r="A2096" s="24">
        <v>2095</v>
      </c>
      <c r="B2096" s="24">
        <v>500712</v>
      </c>
      <c r="C2096" s="24" t="s">
        <v>3119</v>
      </c>
      <c r="D2096" s="24">
        <v>27</v>
      </c>
      <c r="E2096" s="24">
        <v>23</v>
      </c>
    </row>
    <row r="2097" spans="1:5" x14ac:dyDescent="0.25">
      <c r="A2097" s="24">
        <v>2096</v>
      </c>
      <c r="B2097" s="24">
        <v>515493</v>
      </c>
      <c r="C2097" s="24" t="s">
        <v>3120</v>
      </c>
      <c r="D2097" s="24">
        <v>51</v>
      </c>
      <c r="E2097" s="24">
        <v>47</v>
      </c>
    </row>
    <row r="2098" spans="1:5" x14ac:dyDescent="0.25">
      <c r="A2098" s="24">
        <v>2097</v>
      </c>
      <c r="B2098" s="24">
        <v>520730</v>
      </c>
      <c r="C2098" s="24" t="s">
        <v>3121</v>
      </c>
      <c r="D2098" s="24">
        <v>64</v>
      </c>
      <c r="E2098" s="24">
        <v>60</v>
      </c>
    </row>
    <row r="2099" spans="1:5" x14ac:dyDescent="0.25">
      <c r="A2099" s="24">
        <v>2098</v>
      </c>
      <c r="B2099" s="24">
        <v>528714</v>
      </c>
      <c r="C2099" s="24" t="s">
        <v>3123</v>
      </c>
      <c r="D2099" s="24">
        <v>75</v>
      </c>
      <c r="E2099" s="24">
        <v>73</v>
      </c>
    </row>
    <row r="2100" spans="1:5" x14ac:dyDescent="0.25">
      <c r="A2100" s="24">
        <v>2099</v>
      </c>
      <c r="B2100" s="24">
        <v>523011</v>
      </c>
      <c r="C2100" s="24" t="s">
        <v>3124</v>
      </c>
      <c r="D2100" s="24">
        <v>77</v>
      </c>
      <c r="E2100" s="24">
        <v>69</v>
      </c>
    </row>
    <row r="2101" spans="1:5" x14ac:dyDescent="0.25">
      <c r="A2101" s="24">
        <v>2100</v>
      </c>
      <c r="B2101" s="24">
        <v>529087</v>
      </c>
      <c r="C2101" s="24" t="s">
        <v>3125</v>
      </c>
      <c r="D2101" s="24">
        <v>57</v>
      </c>
      <c r="E2101" s="24">
        <v>53</v>
      </c>
    </row>
    <row r="2102" spans="1:5" x14ac:dyDescent="0.25">
      <c r="A2102" s="24">
        <v>2101</v>
      </c>
      <c r="B2102" s="24">
        <v>525138</v>
      </c>
      <c r="C2102" s="24" t="s">
        <v>3126</v>
      </c>
      <c r="D2102" s="24">
        <v>62</v>
      </c>
      <c r="E2102" s="24">
        <v>58</v>
      </c>
    </row>
    <row r="2103" spans="1:5" x14ac:dyDescent="0.25">
      <c r="A2103" s="24">
        <v>2102</v>
      </c>
      <c r="B2103" s="24">
        <v>529095</v>
      </c>
      <c r="C2103" s="24" t="s">
        <v>3127</v>
      </c>
      <c r="D2103" s="24">
        <v>57</v>
      </c>
      <c r="E2103" s="24">
        <v>53</v>
      </c>
    </row>
    <row r="2104" spans="1:5" x14ac:dyDescent="0.25">
      <c r="A2104" s="24">
        <v>2103</v>
      </c>
      <c r="B2104" s="24">
        <v>529109</v>
      </c>
      <c r="C2104" s="24" t="s">
        <v>3128</v>
      </c>
      <c r="D2104" s="24">
        <v>68</v>
      </c>
      <c r="E2104" s="24">
        <v>64</v>
      </c>
    </row>
    <row r="2105" spans="1:5" x14ac:dyDescent="0.25">
      <c r="A2105" s="24">
        <v>2104</v>
      </c>
      <c r="B2105" s="24">
        <v>526991</v>
      </c>
      <c r="C2105" s="24" t="s">
        <v>3129</v>
      </c>
      <c r="D2105" s="24">
        <v>65</v>
      </c>
      <c r="E2105" s="24">
        <v>61</v>
      </c>
    </row>
    <row r="2106" spans="1:5" x14ac:dyDescent="0.25">
      <c r="A2106" s="24">
        <v>2105</v>
      </c>
      <c r="B2106" s="24">
        <v>520748</v>
      </c>
      <c r="C2106" s="24" t="s">
        <v>3130</v>
      </c>
      <c r="D2106" s="24">
        <v>64</v>
      </c>
      <c r="E2106" s="24">
        <v>60</v>
      </c>
    </row>
    <row r="2107" spans="1:5" x14ac:dyDescent="0.25">
      <c r="A2107" s="24">
        <v>2106</v>
      </c>
      <c r="B2107" s="24">
        <v>521957</v>
      </c>
      <c r="C2107" s="24" t="s">
        <v>3132</v>
      </c>
      <c r="D2107" s="24">
        <v>74</v>
      </c>
      <c r="E2107" s="24">
        <v>66</v>
      </c>
    </row>
    <row r="2108" spans="1:5" x14ac:dyDescent="0.25">
      <c r="A2108" s="24">
        <v>2107</v>
      </c>
      <c r="B2108" s="24">
        <v>505447</v>
      </c>
      <c r="C2108" s="24" t="s">
        <v>3133</v>
      </c>
      <c r="D2108" s="24">
        <v>16</v>
      </c>
      <c r="E2108" s="24">
        <v>12</v>
      </c>
    </row>
    <row r="2109" spans="1:5" x14ac:dyDescent="0.25">
      <c r="A2109" s="24">
        <v>2108</v>
      </c>
      <c r="B2109" s="24">
        <v>523020</v>
      </c>
      <c r="C2109" s="24" t="s">
        <v>3133</v>
      </c>
      <c r="D2109" s="24">
        <v>77</v>
      </c>
      <c r="E2109" s="24">
        <v>69</v>
      </c>
    </row>
    <row r="2110" spans="1:5" x14ac:dyDescent="0.25">
      <c r="A2110" s="24">
        <v>2109</v>
      </c>
      <c r="B2110" s="24">
        <v>523038</v>
      </c>
      <c r="C2110" s="24" t="s">
        <v>3134</v>
      </c>
      <c r="D2110" s="24">
        <v>77</v>
      </c>
      <c r="E2110" s="24">
        <v>69</v>
      </c>
    </row>
    <row r="2111" spans="1:5" x14ac:dyDescent="0.25">
      <c r="A2111" s="24">
        <v>2110</v>
      </c>
      <c r="B2111" s="24">
        <v>520764</v>
      </c>
      <c r="C2111" s="24" t="s">
        <v>3137</v>
      </c>
      <c r="D2111" s="24">
        <v>64</v>
      </c>
      <c r="E2111" s="24">
        <v>60</v>
      </c>
    </row>
    <row r="2112" spans="1:5" x14ac:dyDescent="0.25">
      <c r="A2112" s="24">
        <v>2111</v>
      </c>
      <c r="B2112" s="24">
        <v>511838</v>
      </c>
      <c r="C2112" s="24" t="s">
        <v>3139</v>
      </c>
      <c r="D2112" s="24">
        <v>48</v>
      </c>
      <c r="E2112" s="24">
        <v>44</v>
      </c>
    </row>
    <row r="2113" spans="1:5" x14ac:dyDescent="0.25">
      <c r="A2113" s="24">
        <v>2112</v>
      </c>
      <c r="B2113" s="24">
        <v>507512</v>
      </c>
      <c r="C2113" s="24" t="s">
        <v>3140</v>
      </c>
      <c r="D2113" s="24">
        <v>15</v>
      </c>
      <c r="E2113" s="24">
        <v>11</v>
      </c>
    </row>
    <row r="2114" spans="1:5" x14ac:dyDescent="0.25">
      <c r="A2114" s="24">
        <v>2113</v>
      </c>
      <c r="B2114" s="24">
        <v>510998</v>
      </c>
      <c r="C2114" s="24" t="s">
        <v>3141</v>
      </c>
      <c r="D2114" s="24">
        <v>39</v>
      </c>
      <c r="E2114" s="24">
        <v>35</v>
      </c>
    </row>
    <row r="2115" spans="1:5" x14ac:dyDescent="0.25">
      <c r="A2115" s="24">
        <v>2114</v>
      </c>
      <c r="B2115" s="24">
        <v>505455</v>
      </c>
      <c r="C2115" s="24" t="s">
        <v>3142</v>
      </c>
      <c r="D2115" s="24">
        <v>16</v>
      </c>
      <c r="E2115" s="24">
        <v>12</v>
      </c>
    </row>
    <row r="2116" spans="1:5" x14ac:dyDescent="0.25">
      <c r="A2116" s="24">
        <v>2115</v>
      </c>
      <c r="B2116" s="24">
        <v>556131</v>
      </c>
      <c r="C2116" s="24" t="s">
        <v>3085</v>
      </c>
      <c r="D2116" s="24">
        <v>13</v>
      </c>
      <c r="E2116" s="24">
        <v>9</v>
      </c>
    </row>
    <row r="2117" spans="1:5" x14ac:dyDescent="0.25">
      <c r="A2117" s="24">
        <v>2116</v>
      </c>
      <c r="B2117" s="24">
        <v>502707</v>
      </c>
      <c r="C2117" s="24" t="s">
        <v>3143</v>
      </c>
      <c r="D2117" s="24">
        <v>26</v>
      </c>
      <c r="E2117" s="24">
        <v>22</v>
      </c>
    </row>
    <row r="2118" spans="1:5" x14ac:dyDescent="0.25">
      <c r="A2118" s="24">
        <v>2117</v>
      </c>
      <c r="B2118" s="24">
        <v>515507</v>
      </c>
      <c r="C2118" s="24" t="s">
        <v>3143</v>
      </c>
      <c r="D2118" s="24">
        <v>50</v>
      </c>
      <c r="E2118" s="24">
        <v>46</v>
      </c>
    </row>
    <row r="2119" spans="1:5" x14ac:dyDescent="0.25">
      <c r="A2119" s="24">
        <v>2118</v>
      </c>
      <c r="B2119" s="24">
        <v>518701</v>
      </c>
      <c r="C2119" s="24" t="s">
        <v>4250</v>
      </c>
      <c r="D2119" s="24">
        <v>47</v>
      </c>
      <c r="E2119" s="24">
        <v>43</v>
      </c>
    </row>
    <row r="2120" spans="1:5" x14ac:dyDescent="0.25">
      <c r="A2120" s="24">
        <v>2119</v>
      </c>
      <c r="B2120" s="24">
        <v>525146</v>
      </c>
      <c r="C2120" s="24" t="s">
        <v>3147</v>
      </c>
      <c r="D2120" s="24">
        <v>63</v>
      </c>
      <c r="E2120" s="24">
        <v>59</v>
      </c>
    </row>
    <row r="2121" spans="1:5" x14ac:dyDescent="0.25">
      <c r="A2121" s="24">
        <v>2120</v>
      </c>
      <c r="B2121" s="24">
        <v>529125</v>
      </c>
      <c r="C2121" s="24" t="s">
        <v>3149</v>
      </c>
      <c r="D2121" s="24">
        <v>68</v>
      </c>
      <c r="E2121" s="24">
        <v>64</v>
      </c>
    </row>
    <row r="2122" spans="1:5" x14ac:dyDescent="0.25">
      <c r="A2122" s="24">
        <v>2121</v>
      </c>
      <c r="B2122" s="24">
        <v>557595</v>
      </c>
      <c r="C2122" s="24" t="s">
        <v>3150</v>
      </c>
      <c r="D2122" s="24">
        <v>21</v>
      </c>
      <c r="E2122" s="24">
        <v>17</v>
      </c>
    </row>
    <row r="2123" spans="1:5" x14ac:dyDescent="0.25">
      <c r="A2123" s="24">
        <v>2122</v>
      </c>
      <c r="B2123" s="24">
        <v>521965</v>
      </c>
      <c r="C2123" s="24" t="s">
        <v>4251</v>
      </c>
      <c r="D2123" s="24">
        <v>74</v>
      </c>
      <c r="E2123" s="24">
        <v>66</v>
      </c>
    </row>
    <row r="2124" spans="1:5" x14ac:dyDescent="0.25">
      <c r="A2124" s="24">
        <v>2123</v>
      </c>
      <c r="B2124" s="24">
        <v>503525</v>
      </c>
      <c r="C2124" s="24" t="s">
        <v>3153</v>
      </c>
      <c r="D2124" s="24">
        <v>28</v>
      </c>
      <c r="E2124" s="24">
        <v>24</v>
      </c>
    </row>
    <row r="2125" spans="1:5" x14ac:dyDescent="0.25">
      <c r="A2125" s="24">
        <v>2124</v>
      </c>
      <c r="B2125" s="24">
        <v>502715</v>
      </c>
      <c r="C2125" s="24" t="s">
        <v>3156</v>
      </c>
      <c r="D2125" s="24">
        <v>26</v>
      </c>
      <c r="E2125" s="24">
        <v>22</v>
      </c>
    </row>
    <row r="2126" spans="1:5" x14ac:dyDescent="0.25">
      <c r="A2126" s="24">
        <v>2125</v>
      </c>
      <c r="B2126" s="24">
        <v>501875</v>
      </c>
      <c r="C2126" s="24" t="s">
        <v>2777</v>
      </c>
      <c r="D2126" s="24">
        <v>9</v>
      </c>
      <c r="E2126" s="24">
        <v>5</v>
      </c>
    </row>
    <row r="2127" spans="1:5" x14ac:dyDescent="0.25">
      <c r="A2127" s="24">
        <v>2126</v>
      </c>
      <c r="B2127" s="24">
        <v>518727</v>
      </c>
      <c r="C2127" s="24" t="s">
        <v>2149</v>
      </c>
      <c r="D2127" s="24">
        <v>53</v>
      </c>
      <c r="E2127" s="24">
        <v>49</v>
      </c>
    </row>
    <row r="2128" spans="1:5" x14ac:dyDescent="0.25">
      <c r="A2128" s="24">
        <v>2127</v>
      </c>
      <c r="B2128" s="24">
        <v>557820</v>
      </c>
      <c r="C2128" s="24" t="s">
        <v>2149</v>
      </c>
      <c r="D2128" s="24">
        <v>50</v>
      </c>
      <c r="E2128" s="24">
        <v>46</v>
      </c>
    </row>
    <row r="2129" spans="1:5" x14ac:dyDescent="0.25">
      <c r="A2129" s="24">
        <v>2128</v>
      </c>
      <c r="B2129" s="24">
        <v>507521</v>
      </c>
      <c r="C2129" s="24" t="s">
        <v>3157</v>
      </c>
      <c r="D2129" s="24">
        <v>11</v>
      </c>
      <c r="E2129" s="24">
        <v>7</v>
      </c>
    </row>
    <row r="2130" spans="1:5" x14ac:dyDescent="0.25">
      <c r="A2130" s="24">
        <v>2129</v>
      </c>
      <c r="B2130" s="24">
        <v>502723</v>
      </c>
      <c r="C2130" s="24" t="s">
        <v>3158</v>
      </c>
      <c r="D2130" s="24">
        <v>26</v>
      </c>
      <c r="E2130" s="24">
        <v>22</v>
      </c>
    </row>
    <row r="2131" spans="1:5" x14ac:dyDescent="0.25">
      <c r="A2131" s="24">
        <v>2130</v>
      </c>
      <c r="B2131" s="24">
        <v>508977</v>
      </c>
      <c r="C2131" s="24" t="s">
        <v>4252</v>
      </c>
      <c r="D2131" s="24">
        <v>43</v>
      </c>
      <c r="E2131" s="24">
        <v>39</v>
      </c>
    </row>
    <row r="2132" spans="1:5" x14ac:dyDescent="0.25">
      <c r="A2132" s="24">
        <v>2131</v>
      </c>
      <c r="B2132" s="24">
        <v>514373</v>
      </c>
      <c r="C2132" s="24" t="s">
        <v>3161</v>
      </c>
      <c r="D2132" s="24">
        <v>22</v>
      </c>
      <c r="E2132" s="24">
        <v>18</v>
      </c>
    </row>
    <row r="2133" spans="1:5" x14ac:dyDescent="0.25">
      <c r="A2133" s="24">
        <v>2132</v>
      </c>
      <c r="B2133" s="24">
        <v>518735</v>
      </c>
      <c r="C2133" s="24" t="s">
        <v>3162</v>
      </c>
      <c r="D2133" s="24">
        <v>47</v>
      </c>
      <c r="E2133" s="24">
        <v>43</v>
      </c>
    </row>
    <row r="2134" spans="1:5" x14ac:dyDescent="0.25">
      <c r="A2134" s="24">
        <v>2133</v>
      </c>
      <c r="B2134" s="24">
        <v>514381</v>
      </c>
      <c r="C2134" s="24" t="s">
        <v>3163</v>
      </c>
      <c r="D2134" s="24">
        <v>22</v>
      </c>
      <c r="E2134" s="24">
        <v>18</v>
      </c>
    </row>
    <row r="2135" spans="1:5" x14ac:dyDescent="0.25">
      <c r="A2135" s="24">
        <v>2134</v>
      </c>
      <c r="B2135" s="24">
        <v>516333</v>
      </c>
      <c r="C2135" s="24" t="s">
        <v>3164</v>
      </c>
      <c r="D2135" s="24">
        <v>52</v>
      </c>
      <c r="E2135" s="24">
        <v>48</v>
      </c>
    </row>
    <row r="2136" spans="1:5" x14ac:dyDescent="0.25">
      <c r="A2136" s="24">
        <v>2135</v>
      </c>
      <c r="B2136" s="24">
        <v>528722</v>
      </c>
      <c r="C2136" s="24" t="s">
        <v>3165</v>
      </c>
      <c r="D2136" s="24">
        <v>79</v>
      </c>
      <c r="E2136" s="24">
        <v>71</v>
      </c>
    </row>
    <row r="2137" spans="1:5" x14ac:dyDescent="0.25">
      <c r="A2137" s="24">
        <v>2136</v>
      </c>
      <c r="B2137" s="24">
        <v>529133</v>
      </c>
      <c r="C2137" s="24" t="s">
        <v>3166</v>
      </c>
      <c r="D2137" s="24">
        <v>68</v>
      </c>
      <c r="E2137" s="24">
        <v>64</v>
      </c>
    </row>
    <row r="2138" spans="1:5" x14ac:dyDescent="0.25">
      <c r="A2138" s="24">
        <v>2137</v>
      </c>
      <c r="B2138" s="24">
        <v>510041</v>
      </c>
      <c r="C2138" s="24" t="s">
        <v>3167</v>
      </c>
      <c r="D2138" s="24">
        <v>34</v>
      </c>
      <c r="E2138" s="24">
        <v>30</v>
      </c>
    </row>
    <row r="2139" spans="1:5" x14ac:dyDescent="0.25">
      <c r="A2139" s="24">
        <v>2138</v>
      </c>
      <c r="B2139" s="24">
        <v>525154</v>
      </c>
      <c r="C2139" s="24" t="s">
        <v>3168</v>
      </c>
      <c r="D2139" s="24">
        <v>62</v>
      </c>
      <c r="E2139" s="24">
        <v>58</v>
      </c>
    </row>
    <row r="2140" spans="1:5" x14ac:dyDescent="0.25">
      <c r="A2140" s="24">
        <v>2139</v>
      </c>
      <c r="B2140" s="24">
        <v>529141</v>
      </c>
      <c r="C2140" s="24" t="s">
        <v>3171</v>
      </c>
      <c r="D2140" s="24">
        <v>68</v>
      </c>
      <c r="E2140" s="24">
        <v>64</v>
      </c>
    </row>
    <row r="2141" spans="1:5" x14ac:dyDescent="0.25">
      <c r="A2141" s="24">
        <v>2140</v>
      </c>
      <c r="B2141" s="24">
        <v>557412</v>
      </c>
      <c r="C2141" s="24" t="s">
        <v>3172</v>
      </c>
      <c r="D2141" s="24">
        <v>17</v>
      </c>
      <c r="E2141" s="24">
        <v>13</v>
      </c>
    </row>
    <row r="2142" spans="1:5" x14ac:dyDescent="0.25">
      <c r="A2142" s="24">
        <v>2141</v>
      </c>
      <c r="B2142" s="24">
        <v>523046</v>
      </c>
      <c r="C2142" s="24" t="s">
        <v>3173</v>
      </c>
      <c r="D2142" s="24">
        <v>77</v>
      </c>
      <c r="E2142" s="24">
        <v>69</v>
      </c>
    </row>
    <row r="2143" spans="1:5" x14ac:dyDescent="0.25">
      <c r="A2143" s="24">
        <v>2142</v>
      </c>
      <c r="B2143" s="24">
        <v>556114</v>
      </c>
      <c r="C2143" s="24" t="s">
        <v>3174</v>
      </c>
      <c r="D2143" s="24">
        <v>13</v>
      </c>
      <c r="E2143" s="24">
        <v>9</v>
      </c>
    </row>
    <row r="2144" spans="1:5" x14ac:dyDescent="0.25">
      <c r="A2144" s="24">
        <v>2143</v>
      </c>
      <c r="B2144" s="24">
        <v>516341</v>
      </c>
      <c r="C2144" s="24" t="s">
        <v>3175</v>
      </c>
      <c r="D2144" s="24">
        <v>52</v>
      </c>
      <c r="E2144" s="24">
        <v>48</v>
      </c>
    </row>
    <row r="2145" spans="1:5" x14ac:dyDescent="0.25">
      <c r="A2145" s="24">
        <v>2144</v>
      </c>
      <c r="B2145" s="24">
        <v>508985</v>
      </c>
      <c r="C2145" s="24" t="s">
        <v>3176</v>
      </c>
      <c r="D2145" s="24">
        <v>43</v>
      </c>
      <c r="E2145" s="24">
        <v>39</v>
      </c>
    </row>
    <row r="2146" spans="1:5" x14ac:dyDescent="0.25">
      <c r="A2146" s="24">
        <v>2145</v>
      </c>
      <c r="B2146" s="24">
        <v>515515</v>
      </c>
      <c r="C2146" s="24" t="s">
        <v>3176</v>
      </c>
      <c r="D2146" s="24">
        <v>49</v>
      </c>
      <c r="E2146" s="24">
        <v>45</v>
      </c>
    </row>
    <row r="2147" spans="1:5" x14ac:dyDescent="0.25">
      <c r="A2147" s="24">
        <v>2146</v>
      </c>
      <c r="B2147" s="24">
        <v>518743</v>
      </c>
      <c r="C2147" s="24" t="s">
        <v>3176</v>
      </c>
      <c r="D2147" s="24">
        <v>47</v>
      </c>
      <c r="E2147" s="24">
        <v>43</v>
      </c>
    </row>
    <row r="2148" spans="1:5" x14ac:dyDescent="0.25">
      <c r="A2148" s="24">
        <v>2147</v>
      </c>
      <c r="B2148" s="24">
        <v>506478</v>
      </c>
      <c r="C2148" s="24" t="s">
        <v>3177</v>
      </c>
      <c r="D2148" s="24">
        <v>24</v>
      </c>
      <c r="E2148" s="24">
        <v>20</v>
      </c>
    </row>
    <row r="2149" spans="1:5" x14ac:dyDescent="0.25">
      <c r="A2149" s="24">
        <v>2148</v>
      </c>
      <c r="B2149" s="24">
        <v>503991</v>
      </c>
      <c r="C2149" s="24" t="s">
        <v>3178</v>
      </c>
      <c r="D2149" s="24">
        <v>29</v>
      </c>
      <c r="E2149" s="24">
        <v>25</v>
      </c>
    </row>
    <row r="2150" spans="1:5" x14ac:dyDescent="0.25">
      <c r="A2150" s="24">
        <v>2149</v>
      </c>
      <c r="B2150" s="24">
        <v>503533</v>
      </c>
      <c r="C2150" s="24" t="s">
        <v>3180</v>
      </c>
      <c r="D2150" s="24">
        <v>28</v>
      </c>
      <c r="E2150" s="24">
        <v>24</v>
      </c>
    </row>
    <row r="2151" spans="1:5" x14ac:dyDescent="0.25">
      <c r="A2151" s="24">
        <v>2150</v>
      </c>
      <c r="B2151" s="24">
        <v>521973</v>
      </c>
      <c r="C2151" s="24" t="s">
        <v>3181</v>
      </c>
      <c r="D2151" s="24">
        <v>74</v>
      </c>
      <c r="E2151" s="24">
        <v>66</v>
      </c>
    </row>
    <row r="2152" spans="1:5" x14ac:dyDescent="0.25">
      <c r="A2152" s="24">
        <v>2151</v>
      </c>
      <c r="B2152" s="24">
        <v>508217</v>
      </c>
      <c r="C2152" s="24" t="s">
        <v>3182</v>
      </c>
      <c r="D2152" s="24">
        <v>8</v>
      </c>
      <c r="E2152" s="24">
        <v>3</v>
      </c>
    </row>
    <row r="2153" spans="1:5" x14ac:dyDescent="0.25">
      <c r="A2153" s="24">
        <v>2152</v>
      </c>
      <c r="B2153" s="24">
        <v>525162</v>
      </c>
      <c r="C2153" s="24" t="s">
        <v>3183</v>
      </c>
      <c r="D2153" s="24">
        <v>62</v>
      </c>
      <c r="E2153" s="24">
        <v>58</v>
      </c>
    </row>
    <row r="2154" spans="1:5" x14ac:dyDescent="0.25">
      <c r="A2154" s="24">
        <v>2153</v>
      </c>
      <c r="B2154" s="24">
        <v>504203</v>
      </c>
      <c r="C2154" s="24" t="s">
        <v>791</v>
      </c>
      <c r="D2154" s="24">
        <v>13</v>
      </c>
      <c r="E2154" s="24">
        <v>9</v>
      </c>
    </row>
    <row r="2155" spans="1:5" x14ac:dyDescent="0.25">
      <c r="A2155" s="24">
        <v>2154</v>
      </c>
      <c r="B2155" s="24">
        <v>516368</v>
      </c>
      <c r="C2155" s="24" t="s">
        <v>3184</v>
      </c>
      <c r="D2155" s="24">
        <v>52</v>
      </c>
      <c r="E2155" s="24">
        <v>48</v>
      </c>
    </row>
    <row r="2156" spans="1:5" x14ac:dyDescent="0.25">
      <c r="A2156" s="24">
        <v>2155</v>
      </c>
      <c r="B2156" s="24">
        <v>523054</v>
      </c>
      <c r="C2156" s="24" t="s">
        <v>3184</v>
      </c>
      <c r="D2156" s="24">
        <v>75</v>
      </c>
      <c r="E2156" s="24">
        <v>67</v>
      </c>
    </row>
    <row r="2157" spans="1:5" x14ac:dyDescent="0.25">
      <c r="A2157" s="24">
        <v>2156</v>
      </c>
      <c r="B2157" s="24">
        <v>518751</v>
      </c>
      <c r="C2157" s="24" t="s">
        <v>3185</v>
      </c>
      <c r="D2157" s="24">
        <v>47</v>
      </c>
      <c r="E2157" s="24">
        <v>43</v>
      </c>
    </row>
    <row r="2158" spans="1:5" x14ac:dyDescent="0.25">
      <c r="A2158" s="24">
        <v>2157</v>
      </c>
      <c r="B2158" s="24">
        <v>504009</v>
      </c>
      <c r="C2158" s="24" t="s">
        <v>3187</v>
      </c>
      <c r="D2158" s="24">
        <v>10</v>
      </c>
      <c r="E2158" s="24">
        <v>6</v>
      </c>
    </row>
    <row r="2159" spans="1:5" x14ac:dyDescent="0.25">
      <c r="A2159" s="24">
        <v>2158</v>
      </c>
      <c r="B2159" s="24">
        <v>518760</v>
      </c>
      <c r="C2159" s="24" t="s">
        <v>3190</v>
      </c>
      <c r="D2159" s="24">
        <v>53</v>
      </c>
      <c r="E2159" s="24">
        <v>49</v>
      </c>
    </row>
    <row r="2160" spans="1:5" x14ac:dyDescent="0.25">
      <c r="A2160" s="24">
        <v>2159</v>
      </c>
      <c r="B2160" s="24">
        <v>510050</v>
      </c>
      <c r="C2160" s="24" t="s">
        <v>3191</v>
      </c>
      <c r="D2160" s="24">
        <v>38</v>
      </c>
      <c r="E2160" s="24">
        <v>34</v>
      </c>
    </row>
    <row r="2161" spans="1:5" x14ac:dyDescent="0.25">
      <c r="A2161" s="24">
        <v>2160</v>
      </c>
      <c r="B2161" s="24">
        <v>508993</v>
      </c>
      <c r="C2161" s="24" t="s">
        <v>3192</v>
      </c>
      <c r="D2161" s="24">
        <v>45</v>
      </c>
      <c r="E2161" s="24">
        <v>41</v>
      </c>
    </row>
    <row r="2162" spans="1:5" x14ac:dyDescent="0.25">
      <c r="A2162" s="24">
        <v>2161</v>
      </c>
      <c r="B2162" s="24">
        <v>502731</v>
      </c>
      <c r="C2162" s="24" t="s">
        <v>4253</v>
      </c>
      <c r="D2162" s="24">
        <v>26</v>
      </c>
      <c r="E2162" s="24">
        <v>22</v>
      </c>
    </row>
    <row r="2163" spans="1:5" x14ac:dyDescent="0.25">
      <c r="A2163" s="24">
        <v>2162</v>
      </c>
      <c r="B2163" s="24">
        <v>503541</v>
      </c>
      <c r="C2163" s="24" t="s">
        <v>3195</v>
      </c>
      <c r="D2163" s="24">
        <v>28</v>
      </c>
      <c r="E2163" s="24">
        <v>24</v>
      </c>
    </row>
    <row r="2164" spans="1:5" x14ac:dyDescent="0.25">
      <c r="A2164" s="24">
        <v>2163</v>
      </c>
      <c r="B2164" s="24">
        <v>507539</v>
      </c>
      <c r="C2164" s="24" t="s">
        <v>3196</v>
      </c>
      <c r="D2164" s="24">
        <v>11</v>
      </c>
      <c r="E2164" s="24">
        <v>7</v>
      </c>
    </row>
    <row r="2165" spans="1:5" x14ac:dyDescent="0.25">
      <c r="A2165" s="24">
        <v>2164</v>
      </c>
      <c r="B2165" s="24">
        <v>526223</v>
      </c>
      <c r="C2165" s="24" t="s">
        <v>3197</v>
      </c>
      <c r="D2165" s="24">
        <v>76</v>
      </c>
      <c r="E2165" s="24">
        <v>68</v>
      </c>
    </row>
    <row r="2166" spans="1:5" x14ac:dyDescent="0.25">
      <c r="A2166" s="24">
        <v>2165</v>
      </c>
      <c r="B2166" s="24">
        <v>526231</v>
      </c>
      <c r="C2166" s="24" t="s">
        <v>3198</v>
      </c>
      <c r="D2166" s="24">
        <v>76</v>
      </c>
      <c r="E2166" s="24">
        <v>68</v>
      </c>
    </row>
    <row r="2167" spans="1:5" x14ac:dyDescent="0.25">
      <c r="A2167" s="24">
        <v>2166</v>
      </c>
      <c r="B2167" s="24">
        <v>526240</v>
      </c>
      <c r="C2167" s="24" t="s">
        <v>3199</v>
      </c>
      <c r="D2167" s="24">
        <v>76</v>
      </c>
      <c r="E2167" s="24">
        <v>68</v>
      </c>
    </row>
    <row r="2168" spans="1:5" x14ac:dyDescent="0.25">
      <c r="A2168" s="24">
        <v>2167</v>
      </c>
      <c r="B2168" s="24">
        <v>526258</v>
      </c>
      <c r="C2168" s="24" t="s">
        <v>3200</v>
      </c>
      <c r="D2168" s="24">
        <v>50</v>
      </c>
      <c r="E2168" s="24">
        <v>46</v>
      </c>
    </row>
    <row r="2169" spans="1:5" x14ac:dyDescent="0.25">
      <c r="A2169" s="24">
        <v>2168</v>
      </c>
      <c r="B2169" s="24">
        <v>543730</v>
      </c>
      <c r="C2169" s="24" t="s">
        <v>3201</v>
      </c>
      <c r="D2169" s="24">
        <v>79</v>
      </c>
      <c r="E2169" s="24">
        <v>71</v>
      </c>
    </row>
    <row r="2170" spans="1:5" x14ac:dyDescent="0.25">
      <c r="A2170" s="24">
        <v>2169</v>
      </c>
      <c r="B2170" s="24">
        <v>505463</v>
      </c>
      <c r="C2170" s="24" t="s">
        <v>3203</v>
      </c>
      <c r="D2170" s="24">
        <v>20</v>
      </c>
      <c r="E2170" s="24">
        <v>16</v>
      </c>
    </row>
    <row r="2171" spans="1:5" x14ac:dyDescent="0.25">
      <c r="A2171" s="24">
        <v>2170</v>
      </c>
      <c r="B2171" s="24">
        <v>504815</v>
      </c>
      <c r="C2171" s="24" t="s">
        <v>3205</v>
      </c>
      <c r="D2171" s="24">
        <v>14</v>
      </c>
      <c r="E2171" s="24">
        <v>10</v>
      </c>
    </row>
    <row r="2172" spans="1:5" x14ac:dyDescent="0.25">
      <c r="A2172" s="24">
        <v>2171</v>
      </c>
      <c r="B2172" s="24">
        <v>509451</v>
      </c>
      <c r="C2172" s="24" t="s">
        <v>3206</v>
      </c>
      <c r="D2172" s="24">
        <v>33</v>
      </c>
      <c r="E2172" s="24">
        <v>29</v>
      </c>
    </row>
    <row r="2173" spans="1:5" x14ac:dyDescent="0.25">
      <c r="A2173" s="24">
        <v>2172</v>
      </c>
      <c r="B2173" s="24">
        <v>546682</v>
      </c>
      <c r="C2173" s="24" t="s">
        <v>4254</v>
      </c>
      <c r="D2173" s="24">
        <v>24</v>
      </c>
      <c r="E2173" s="24">
        <v>20</v>
      </c>
    </row>
    <row r="2174" spans="1:5" x14ac:dyDescent="0.25">
      <c r="A2174" s="24">
        <v>2173</v>
      </c>
      <c r="B2174" s="24">
        <v>521981</v>
      </c>
      <c r="C2174" s="24" t="s">
        <v>3208</v>
      </c>
      <c r="D2174" s="24">
        <v>74</v>
      </c>
      <c r="E2174" s="24">
        <v>66</v>
      </c>
    </row>
    <row r="2175" spans="1:5" x14ac:dyDescent="0.25">
      <c r="A2175" s="24">
        <v>2174</v>
      </c>
      <c r="B2175" s="24">
        <v>515523</v>
      </c>
      <c r="C2175" s="24" t="s">
        <v>3209</v>
      </c>
      <c r="D2175" s="24">
        <v>50</v>
      </c>
      <c r="E2175" s="24">
        <v>46</v>
      </c>
    </row>
    <row r="2176" spans="1:5" x14ac:dyDescent="0.25">
      <c r="A2176" s="24">
        <v>2175</v>
      </c>
      <c r="B2176" s="24">
        <v>516376</v>
      </c>
      <c r="C2176" s="24" t="s">
        <v>3211</v>
      </c>
      <c r="D2176" s="24">
        <v>52</v>
      </c>
      <c r="E2176" s="24">
        <v>48</v>
      </c>
    </row>
    <row r="2177" spans="1:5" x14ac:dyDescent="0.25">
      <c r="A2177" s="24">
        <v>2176</v>
      </c>
      <c r="B2177" s="24">
        <v>512583</v>
      </c>
      <c r="C2177" s="24" t="s">
        <v>3210</v>
      </c>
      <c r="D2177" s="24">
        <v>37</v>
      </c>
      <c r="E2177" s="24">
        <v>33</v>
      </c>
    </row>
    <row r="2178" spans="1:5" x14ac:dyDescent="0.25">
      <c r="A2178" s="24">
        <v>2177</v>
      </c>
      <c r="B2178" s="24">
        <v>512591</v>
      </c>
      <c r="C2178" s="24" t="s">
        <v>3212</v>
      </c>
      <c r="D2178" s="24">
        <v>37</v>
      </c>
      <c r="E2178" s="24">
        <v>33</v>
      </c>
    </row>
    <row r="2179" spans="1:5" x14ac:dyDescent="0.25">
      <c r="A2179" s="24">
        <v>2178</v>
      </c>
      <c r="B2179" s="24">
        <v>512605</v>
      </c>
      <c r="C2179" s="24" t="s">
        <v>3213</v>
      </c>
      <c r="D2179" s="24">
        <v>40</v>
      </c>
      <c r="E2179" s="24">
        <v>36</v>
      </c>
    </row>
    <row r="2180" spans="1:5" x14ac:dyDescent="0.25">
      <c r="A2180" s="24">
        <v>2179</v>
      </c>
      <c r="B2180" s="24">
        <v>517241</v>
      </c>
      <c r="C2180" s="24" t="s">
        <v>3214</v>
      </c>
      <c r="D2180" s="24">
        <v>55</v>
      </c>
      <c r="E2180" s="24">
        <v>51</v>
      </c>
    </row>
    <row r="2181" spans="1:5" x14ac:dyDescent="0.25">
      <c r="A2181" s="24">
        <v>2180</v>
      </c>
      <c r="B2181" s="24">
        <v>529150</v>
      </c>
      <c r="C2181" s="24" t="s">
        <v>3215</v>
      </c>
      <c r="D2181" s="24">
        <v>68</v>
      </c>
      <c r="E2181" s="24">
        <v>64</v>
      </c>
    </row>
    <row r="2182" spans="1:5" x14ac:dyDescent="0.25">
      <c r="A2182" s="24">
        <v>2181</v>
      </c>
      <c r="B2182" s="24">
        <v>500721</v>
      </c>
      <c r="C2182" s="24" t="s">
        <v>3216</v>
      </c>
      <c r="D2182" s="24">
        <v>31</v>
      </c>
      <c r="E2182" s="24">
        <v>27</v>
      </c>
    </row>
    <row r="2183" spans="1:5" x14ac:dyDescent="0.25">
      <c r="A2183" s="24">
        <v>2182</v>
      </c>
      <c r="B2183" s="24">
        <v>504017</v>
      </c>
      <c r="C2183" s="24" t="s">
        <v>3218</v>
      </c>
      <c r="D2183" s="24">
        <v>10</v>
      </c>
      <c r="E2183" s="24">
        <v>6</v>
      </c>
    </row>
    <row r="2184" spans="1:5" x14ac:dyDescent="0.25">
      <c r="A2184" s="24">
        <v>2183</v>
      </c>
      <c r="B2184" s="24">
        <v>518115</v>
      </c>
      <c r="C2184" s="24" t="s">
        <v>3219</v>
      </c>
      <c r="D2184" s="24">
        <v>74</v>
      </c>
      <c r="E2184" s="24">
        <v>66</v>
      </c>
    </row>
    <row r="2185" spans="1:5" x14ac:dyDescent="0.25">
      <c r="A2185" s="24">
        <v>2184</v>
      </c>
      <c r="B2185" s="24">
        <v>522007</v>
      </c>
      <c r="C2185" s="24" t="s">
        <v>3220</v>
      </c>
      <c r="D2185" s="24">
        <v>74</v>
      </c>
      <c r="E2185" s="24">
        <v>66</v>
      </c>
    </row>
    <row r="2186" spans="1:5" x14ac:dyDescent="0.25">
      <c r="A2186" s="24">
        <v>2185</v>
      </c>
      <c r="B2186" s="24">
        <v>522015</v>
      </c>
      <c r="C2186" s="24" t="s">
        <v>3221</v>
      </c>
      <c r="D2186" s="24">
        <v>74</v>
      </c>
      <c r="E2186" s="24">
        <v>66</v>
      </c>
    </row>
    <row r="2187" spans="1:5" x14ac:dyDescent="0.25">
      <c r="A2187" s="24">
        <v>2186</v>
      </c>
      <c r="B2187" s="24">
        <v>522023</v>
      </c>
      <c r="C2187" s="24" t="s">
        <v>3222</v>
      </c>
      <c r="D2187" s="24">
        <v>74</v>
      </c>
      <c r="E2187" s="24">
        <v>66</v>
      </c>
    </row>
    <row r="2188" spans="1:5" x14ac:dyDescent="0.25">
      <c r="A2188" s="24">
        <v>2187</v>
      </c>
      <c r="B2188" s="24">
        <v>517259</v>
      </c>
      <c r="C2188" s="24" t="s">
        <v>3223</v>
      </c>
      <c r="D2188" s="24">
        <v>55</v>
      </c>
      <c r="E2188" s="24">
        <v>51</v>
      </c>
    </row>
    <row r="2189" spans="1:5" x14ac:dyDescent="0.25">
      <c r="A2189" s="24">
        <v>2188</v>
      </c>
      <c r="B2189" s="24">
        <v>502740</v>
      </c>
      <c r="C2189" s="24" t="s">
        <v>3224</v>
      </c>
      <c r="D2189" s="24">
        <v>26</v>
      </c>
      <c r="E2189" s="24">
        <v>22</v>
      </c>
    </row>
    <row r="2190" spans="1:5" x14ac:dyDescent="0.25">
      <c r="A2190" s="24">
        <v>2189</v>
      </c>
      <c r="B2190" s="24">
        <v>505471</v>
      </c>
      <c r="C2190" s="24" t="s">
        <v>3225</v>
      </c>
      <c r="D2190" s="24">
        <v>16</v>
      </c>
      <c r="E2190" s="24">
        <v>12</v>
      </c>
    </row>
    <row r="2191" spans="1:5" x14ac:dyDescent="0.25">
      <c r="A2191" s="24">
        <v>2190</v>
      </c>
      <c r="B2191" s="24">
        <v>505480</v>
      </c>
      <c r="C2191" s="24" t="s">
        <v>3227</v>
      </c>
      <c r="D2191" s="24">
        <v>16</v>
      </c>
      <c r="E2191" s="24">
        <v>12</v>
      </c>
    </row>
    <row r="2192" spans="1:5" x14ac:dyDescent="0.25">
      <c r="A2192" s="24">
        <v>2191</v>
      </c>
      <c r="B2192" s="24">
        <v>518794</v>
      </c>
      <c r="C2192" s="24" t="s">
        <v>3228</v>
      </c>
      <c r="D2192" s="24">
        <v>46</v>
      </c>
      <c r="E2192" s="24">
        <v>42</v>
      </c>
    </row>
    <row r="2193" spans="1:5" x14ac:dyDescent="0.25">
      <c r="A2193" s="24">
        <v>2192</v>
      </c>
      <c r="B2193" s="24">
        <v>543527</v>
      </c>
      <c r="C2193" s="24" t="s">
        <v>3229</v>
      </c>
      <c r="D2193" s="24">
        <v>78</v>
      </c>
      <c r="E2193" s="24">
        <v>70</v>
      </c>
    </row>
    <row r="2194" spans="1:5" x14ac:dyDescent="0.25">
      <c r="A2194" s="24">
        <v>2193</v>
      </c>
      <c r="B2194" s="24">
        <v>526266</v>
      </c>
      <c r="C2194" s="24" t="s">
        <v>3230</v>
      </c>
      <c r="D2194" s="24">
        <v>76</v>
      </c>
      <c r="E2194" s="24">
        <v>68</v>
      </c>
    </row>
    <row r="2195" spans="1:5" x14ac:dyDescent="0.25">
      <c r="A2195" s="24">
        <v>2194</v>
      </c>
      <c r="B2195" s="24">
        <v>523062</v>
      </c>
      <c r="C2195" s="24" t="s">
        <v>3232</v>
      </c>
      <c r="D2195" s="24">
        <v>75</v>
      </c>
      <c r="E2195" s="24">
        <v>67</v>
      </c>
    </row>
    <row r="2196" spans="1:5" x14ac:dyDescent="0.25">
      <c r="A2196" s="24">
        <v>2195</v>
      </c>
      <c r="B2196" s="24">
        <v>557421</v>
      </c>
      <c r="C2196" s="24" t="s">
        <v>3233</v>
      </c>
      <c r="D2196" s="24">
        <v>17</v>
      </c>
      <c r="E2196" s="24">
        <v>13</v>
      </c>
    </row>
    <row r="2197" spans="1:5" x14ac:dyDescent="0.25">
      <c r="A2197" s="24">
        <v>2196</v>
      </c>
      <c r="B2197" s="24">
        <v>526274</v>
      </c>
      <c r="C2197" s="24" t="s">
        <v>3234</v>
      </c>
      <c r="D2197" s="24">
        <v>76</v>
      </c>
      <c r="E2197" s="24">
        <v>68</v>
      </c>
    </row>
    <row r="2198" spans="1:5" x14ac:dyDescent="0.25">
      <c r="A2198" s="24">
        <v>2197</v>
      </c>
      <c r="B2198" s="24">
        <v>526282</v>
      </c>
      <c r="C2198" s="24" t="s">
        <v>3235</v>
      </c>
      <c r="D2198" s="24">
        <v>76</v>
      </c>
      <c r="E2198" s="24">
        <v>68</v>
      </c>
    </row>
    <row r="2199" spans="1:5" x14ac:dyDescent="0.25">
      <c r="A2199" s="24">
        <v>2198</v>
      </c>
      <c r="B2199" s="24">
        <v>500747</v>
      </c>
      <c r="C2199" s="24" t="s">
        <v>4255</v>
      </c>
      <c r="D2199" s="24">
        <v>31</v>
      </c>
      <c r="E2199" s="24">
        <v>27</v>
      </c>
    </row>
    <row r="2200" spans="1:5" x14ac:dyDescent="0.25">
      <c r="A2200" s="24">
        <v>2199</v>
      </c>
      <c r="B2200" s="24">
        <v>500755</v>
      </c>
      <c r="C2200" s="24" t="s">
        <v>3238</v>
      </c>
      <c r="D2200" s="24">
        <v>31</v>
      </c>
      <c r="E2200" s="24">
        <v>27</v>
      </c>
    </row>
    <row r="2201" spans="1:5" x14ac:dyDescent="0.25">
      <c r="A2201" s="24">
        <v>2200</v>
      </c>
      <c r="B2201" s="24">
        <v>518808</v>
      </c>
      <c r="C2201" s="24" t="s">
        <v>4256</v>
      </c>
      <c r="D2201" s="24">
        <v>53</v>
      </c>
      <c r="E2201" s="24">
        <v>49</v>
      </c>
    </row>
    <row r="2202" spans="1:5" x14ac:dyDescent="0.25">
      <c r="A2202" s="24">
        <v>2201</v>
      </c>
      <c r="B2202" s="24">
        <v>523071</v>
      </c>
      <c r="C2202" s="24" t="s">
        <v>3242</v>
      </c>
      <c r="D2202" s="24">
        <v>75</v>
      </c>
      <c r="E2202" s="24">
        <v>67</v>
      </c>
    </row>
    <row r="2203" spans="1:5" x14ac:dyDescent="0.25">
      <c r="A2203" s="24">
        <v>2202</v>
      </c>
      <c r="B2203" s="24">
        <v>543748</v>
      </c>
      <c r="C2203" s="24" t="s">
        <v>3243</v>
      </c>
      <c r="D2203" s="24">
        <v>79</v>
      </c>
      <c r="E2203" s="24">
        <v>71</v>
      </c>
    </row>
    <row r="2204" spans="1:5" x14ac:dyDescent="0.25">
      <c r="A2204" s="24">
        <v>2203</v>
      </c>
      <c r="B2204" s="24">
        <v>515531</v>
      </c>
      <c r="C2204" s="24" t="s">
        <v>3244</v>
      </c>
      <c r="D2204" s="24">
        <v>51</v>
      </c>
      <c r="E2204" s="24">
        <v>47</v>
      </c>
    </row>
    <row r="2205" spans="1:5" x14ac:dyDescent="0.25">
      <c r="A2205" s="24">
        <v>2204</v>
      </c>
      <c r="B2205" s="24">
        <v>557480</v>
      </c>
      <c r="C2205" s="24" t="s">
        <v>3245</v>
      </c>
      <c r="D2205" s="24">
        <v>21</v>
      </c>
      <c r="E2205" s="24">
        <v>17</v>
      </c>
    </row>
    <row r="2206" spans="1:5" x14ac:dyDescent="0.25">
      <c r="A2206" s="24">
        <v>2205</v>
      </c>
      <c r="B2206" s="24">
        <v>512613</v>
      </c>
      <c r="C2206" s="24" t="s">
        <v>3246</v>
      </c>
      <c r="D2206" s="24">
        <v>37</v>
      </c>
      <c r="E2206" s="24">
        <v>33</v>
      </c>
    </row>
    <row r="2207" spans="1:5" x14ac:dyDescent="0.25">
      <c r="A2207" s="24">
        <v>2206</v>
      </c>
      <c r="B2207" s="24">
        <v>529168</v>
      </c>
      <c r="C2207" s="24" t="s">
        <v>3247</v>
      </c>
      <c r="D2207" s="24">
        <v>68</v>
      </c>
      <c r="E2207" s="24">
        <v>64</v>
      </c>
    </row>
    <row r="2208" spans="1:5" x14ac:dyDescent="0.25">
      <c r="A2208" s="24">
        <v>2207</v>
      </c>
      <c r="B2208" s="24">
        <v>509001</v>
      </c>
      <c r="C2208" s="24" t="s">
        <v>3248</v>
      </c>
      <c r="D2208" s="24">
        <v>43</v>
      </c>
      <c r="E2208" s="24">
        <v>39</v>
      </c>
    </row>
    <row r="2209" spans="1:5" x14ac:dyDescent="0.25">
      <c r="A2209" s="24">
        <v>2208</v>
      </c>
      <c r="B2209" s="24">
        <v>556564</v>
      </c>
      <c r="C2209" s="24" t="s">
        <v>3249</v>
      </c>
      <c r="D2209" s="24">
        <v>15</v>
      </c>
      <c r="E2209" s="24">
        <v>11</v>
      </c>
    </row>
    <row r="2210" spans="1:5" x14ac:dyDescent="0.25">
      <c r="A2210" s="24">
        <v>2209</v>
      </c>
      <c r="B2210" s="24">
        <v>523810</v>
      </c>
      <c r="C2210" s="24" t="s">
        <v>3250</v>
      </c>
      <c r="D2210" s="24">
        <v>58</v>
      </c>
      <c r="E2210" s="24">
        <v>54</v>
      </c>
    </row>
    <row r="2211" spans="1:5" x14ac:dyDescent="0.25">
      <c r="A2211" s="24">
        <v>2210</v>
      </c>
      <c r="B2211" s="24">
        <v>520772</v>
      </c>
      <c r="C2211" s="24" t="s">
        <v>3252</v>
      </c>
      <c r="D2211" s="24">
        <v>57</v>
      </c>
      <c r="E2211" s="24">
        <v>53</v>
      </c>
    </row>
    <row r="2212" spans="1:5" x14ac:dyDescent="0.25">
      <c r="A2212" s="24">
        <v>2211</v>
      </c>
      <c r="B2212" s="24">
        <v>516384</v>
      </c>
      <c r="C2212" s="24" t="s">
        <v>3253</v>
      </c>
      <c r="D2212" s="24">
        <v>52</v>
      </c>
      <c r="E2212" s="24">
        <v>48</v>
      </c>
    </row>
    <row r="2213" spans="1:5" x14ac:dyDescent="0.25">
      <c r="A2213" s="24">
        <v>2212</v>
      </c>
      <c r="B2213" s="24">
        <v>516392</v>
      </c>
      <c r="C2213" s="24" t="s">
        <v>3254</v>
      </c>
      <c r="D2213" s="24">
        <v>52</v>
      </c>
      <c r="E2213" s="24">
        <v>48</v>
      </c>
    </row>
    <row r="2214" spans="1:5" x14ac:dyDescent="0.25">
      <c r="A2214" s="24">
        <v>2213</v>
      </c>
      <c r="B2214" s="24">
        <v>520781</v>
      </c>
      <c r="C2214" s="24" t="s">
        <v>3255</v>
      </c>
      <c r="D2214" s="24">
        <v>57</v>
      </c>
      <c r="E2214" s="24">
        <v>53</v>
      </c>
    </row>
    <row r="2215" spans="1:5" x14ac:dyDescent="0.25">
      <c r="A2215" s="24">
        <v>2214</v>
      </c>
      <c r="B2215" s="24">
        <v>543756</v>
      </c>
      <c r="C2215" s="24" t="s">
        <v>3256</v>
      </c>
      <c r="D2215" s="24">
        <v>79</v>
      </c>
      <c r="E2215" s="24">
        <v>71</v>
      </c>
    </row>
    <row r="2216" spans="1:5" x14ac:dyDescent="0.25">
      <c r="A2216" s="24">
        <v>2215</v>
      </c>
      <c r="B2216" s="24">
        <v>512621</v>
      </c>
      <c r="C2216" s="24" t="s">
        <v>3257</v>
      </c>
      <c r="D2216" s="24">
        <v>40</v>
      </c>
      <c r="E2216" s="24">
        <v>36</v>
      </c>
    </row>
    <row r="2217" spans="1:5" x14ac:dyDescent="0.25">
      <c r="A2217" s="24">
        <v>2216</v>
      </c>
      <c r="B2217" s="24">
        <v>508225</v>
      </c>
      <c r="C2217" s="24" t="s">
        <v>3258</v>
      </c>
      <c r="D2217" s="24">
        <v>7</v>
      </c>
      <c r="E2217" s="24">
        <v>2</v>
      </c>
    </row>
    <row r="2218" spans="1:5" x14ac:dyDescent="0.25">
      <c r="A2218" s="24">
        <v>2217</v>
      </c>
      <c r="B2218" s="24">
        <v>543535</v>
      </c>
      <c r="C2218" s="24" t="s">
        <v>4257</v>
      </c>
      <c r="D2218" s="24">
        <v>78</v>
      </c>
      <c r="E2218" s="24">
        <v>70</v>
      </c>
    </row>
    <row r="2219" spans="1:5" x14ac:dyDescent="0.25">
      <c r="A2219" s="24">
        <v>2218</v>
      </c>
      <c r="B2219" s="24">
        <v>519782</v>
      </c>
      <c r="C2219" s="24" t="s">
        <v>3261</v>
      </c>
      <c r="D2219" s="24">
        <v>56</v>
      </c>
      <c r="E2219" s="24">
        <v>52</v>
      </c>
    </row>
    <row r="2220" spans="1:5" x14ac:dyDescent="0.25">
      <c r="A2220" s="24">
        <v>2219</v>
      </c>
      <c r="B2220" s="24">
        <v>560154</v>
      </c>
      <c r="C2220" s="24" t="s">
        <v>3262</v>
      </c>
      <c r="D2220" s="24">
        <v>78</v>
      </c>
      <c r="E2220" s="24">
        <v>70</v>
      </c>
    </row>
    <row r="2221" spans="1:5" x14ac:dyDescent="0.25">
      <c r="A2221" s="24">
        <v>2220</v>
      </c>
      <c r="B2221" s="24">
        <v>507555</v>
      </c>
      <c r="C2221" s="24" t="s">
        <v>3263</v>
      </c>
      <c r="D2221" s="24">
        <v>15</v>
      </c>
      <c r="E2221" s="24">
        <v>11</v>
      </c>
    </row>
    <row r="2222" spans="1:5" x14ac:dyDescent="0.25">
      <c r="A2222" s="24">
        <v>2221</v>
      </c>
      <c r="B2222" s="24">
        <v>504823</v>
      </c>
      <c r="C2222" s="24" t="s">
        <v>3265</v>
      </c>
      <c r="D2222" s="24">
        <v>13</v>
      </c>
      <c r="E2222" s="24">
        <v>9</v>
      </c>
    </row>
    <row r="2223" spans="1:5" x14ac:dyDescent="0.25">
      <c r="A2223" s="24">
        <v>2222</v>
      </c>
      <c r="B2223" s="24">
        <v>543551</v>
      </c>
      <c r="C2223" s="24" t="s">
        <v>3266</v>
      </c>
      <c r="D2223" s="24">
        <v>69</v>
      </c>
      <c r="E2223" s="24">
        <v>65</v>
      </c>
    </row>
    <row r="2224" spans="1:5" x14ac:dyDescent="0.25">
      <c r="A2224" s="24">
        <v>2223</v>
      </c>
      <c r="B2224" s="24">
        <v>543560</v>
      </c>
      <c r="C2224" s="24" t="s">
        <v>3268</v>
      </c>
      <c r="D2224" s="24">
        <v>69</v>
      </c>
      <c r="E2224" s="24">
        <v>65</v>
      </c>
    </row>
    <row r="2225" spans="1:5" x14ac:dyDescent="0.25">
      <c r="A2225" s="24">
        <v>2224</v>
      </c>
      <c r="B2225" s="24">
        <v>504831</v>
      </c>
      <c r="C2225" s="24" t="s">
        <v>3269</v>
      </c>
      <c r="D2225" s="24">
        <v>13</v>
      </c>
      <c r="E2225" s="24">
        <v>9</v>
      </c>
    </row>
    <row r="2226" spans="1:5" x14ac:dyDescent="0.25">
      <c r="A2226" s="24">
        <v>2225</v>
      </c>
      <c r="B2226" s="24">
        <v>511013</v>
      </c>
      <c r="C2226" s="24" t="s">
        <v>3270</v>
      </c>
      <c r="D2226" s="24">
        <v>36</v>
      </c>
      <c r="E2226" s="24">
        <v>32</v>
      </c>
    </row>
    <row r="2227" spans="1:5" x14ac:dyDescent="0.25">
      <c r="A2227" s="24">
        <v>2226</v>
      </c>
      <c r="B2227" s="24">
        <v>519791</v>
      </c>
      <c r="C2227" s="24" t="s">
        <v>3271</v>
      </c>
      <c r="D2227" s="24">
        <v>56</v>
      </c>
      <c r="E2227" s="24">
        <v>52</v>
      </c>
    </row>
    <row r="2228" spans="1:5" x14ac:dyDescent="0.25">
      <c r="A2228" s="24">
        <v>2227</v>
      </c>
      <c r="B2228" s="24">
        <v>509469</v>
      </c>
      <c r="C2228" s="24" t="s">
        <v>3272</v>
      </c>
      <c r="D2228" s="24">
        <v>35</v>
      </c>
      <c r="E2228" s="24">
        <v>31</v>
      </c>
    </row>
    <row r="2229" spans="1:5" x14ac:dyDescent="0.25">
      <c r="A2229" s="24">
        <v>2228</v>
      </c>
      <c r="B2229" s="24">
        <v>520802</v>
      </c>
      <c r="C2229" s="24" t="s">
        <v>3273</v>
      </c>
      <c r="D2229" s="24">
        <v>64</v>
      </c>
      <c r="E2229" s="24">
        <v>60</v>
      </c>
    </row>
    <row r="2230" spans="1:5" x14ac:dyDescent="0.25">
      <c r="A2230" s="24">
        <v>2229</v>
      </c>
      <c r="B2230" s="24">
        <v>506508</v>
      </c>
      <c r="C2230" s="24" t="s">
        <v>3274</v>
      </c>
      <c r="D2230" s="24">
        <v>24</v>
      </c>
      <c r="E2230" s="24">
        <v>20</v>
      </c>
    </row>
    <row r="2231" spans="1:5" x14ac:dyDescent="0.25">
      <c r="A2231" s="24">
        <v>2230</v>
      </c>
      <c r="B2231" s="24">
        <v>527807</v>
      </c>
      <c r="C2231" s="24" t="s">
        <v>3275</v>
      </c>
      <c r="D2231" s="24">
        <v>67</v>
      </c>
      <c r="E2231" s="24">
        <v>63</v>
      </c>
    </row>
    <row r="2232" spans="1:5" x14ac:dyDescent="0.25">
      <c r="A2232" s="24">
        <v>2231</v>
      </c>
      <c r="B2232" s="24">
        <v>504840</v>
      </c>
      <c r="C2232" s="24" t="s">
        <v>3276</v>
      </c>
      <c r="D2232" s="24">
        <v>13</v>
      </c>
      <c r="E2232" s="24">
        <v>9</v>
      </c>
    </row>
    <row r="2233" spans="1:5" x14ac:dyDescent="0.25">
      <c r="A2233" s="24">
        <v>2232</v>
      </c>
      <c r="B2233" s="24">
        <v>523089</v>
      </c>
      <c r="C2233" s="24" t="s">
        <v>3277</v>
      </c>
      <c r="D2233" s="24">
        <v>77</v>
      </c>
      <c r="E2233" s="24">
        <v>69</v>
      </c>
    </row>
    <row r="2234" spans="1:5" x14ac:dyDescent="0.25">
      <c r="A2234" s="24">
        <v>2233</v>
      </c>
      <c r="B2234" s="24">
        <v>512630</v>
      </c>
      <c r="C2234" s="24" t="s">
        <v>3278</v>
      </c>
      <c r="D2234" s="24">
        <v>37</v>
      </c>
      <c r="E2234" s="24">
        <v>33</v>
      </c>
    </row>
    <row r="2235" spans="1:5" x14ac:dyDescent="0.25">
      <c r="A2235" s="24">
        <v>2234</v>
      </c>
      <c r="B2235" s="24">
        <v>522031</v>
      </c>
      <c r="C2235" s="24" t="s">
        <v>3279</v>
      </c>
      <c r="D2235" s="24">
        <v>74</v>
      </c>
      <c r="E2235" s="24">
        <v>66</v>
      </c>
    </row>
    <row r="2236" spans="1:5" x14ac:dyDescent="0.25">
      <c r="A2236" s="24">
        <v>2235</v>
      </c>
      <c r="B2236" s="24">
        <v>559865</v>
      </c>
      <c r="C2236" s="24" t="s">
        <v>1646</v>
      </c>
      <c r="D2236" s="24">
        <v>74</v>
      </c>
      <c r="E2236" s="24">
        <v>66</v>
      </c>
    </row>
    <row r="2237" spans="1:5" x14ac:dyDescent="0.25">
      <c r="A2237" s="24">
        <v>2236</v>
      </c>
      <c r="B2237" s="24">
        <v>501344</v>
      </c>
      <c r="C2237" s="24" t="s">
        <v>4258</v>
      </c>
      <c r="D2237" s="24">
        <v>25</v>
      </c>
      <c r="E2237" s="24">
        <v>21</v>
      </c>
    </row>
    <row r="2238" spans="1:5" x14ac:dyDescent="0.25">
      <c r="A2238" s="24">
        <v>2237</v>
      </c>
      <c r="B2238" s="24">
        <v>507563</v>
      </c>
      <c r="C2238" s="24" t="s">
        <v>3282</v>
      </c>
      <c r="D2238" s="24">
        <v>12</v>
      </c>
      <c r="E2238" s="24">
        <v>8</v>
      </c>
    </row>
    <row r="2239" spans="1:5" x14ac:dyDescent="0.25">
      <c r="A2239" s="24">
        <v>2238</v>
      </c>
      <c r="B2239" s="24">
        <v>529176</v>
      </c>
      <c r="C2239" s="24" t="s">
        <v>3283</v>
      </c>
      <c r="D2239" s="24">
        <v>68</v>
      </c>
      <c r="E2239" s="24">
        <v>64</v>
      </c>
    </row>
    <row r="2240" spans="1:5" x14ac:dyDescent="0.25">
      <c r="A2240" s="24">
        <v>2239</v>
      </c>
      <c r="B2240" s="24">
        <v>505498</v>
      </c>
      <c r="C2240" s="24" t="s">
        <v>3284</v>
      </c>
      <c r="D2240" s="24">
        <v>30</v>
      </c>
      <c r="E2240" s="24">
        <v>26</v>
      </c>
    </row>
    <row r="2241" spans="1:5" x14ac:dyDescent="0.25">
      <c r="A2241" s="24">
        <v>2240</v>
      </c>
      <c r="B2241" s="24">
        <v>556327</v>
      </c>
      <c r="C2241" s="24" t="s">
        <v>3285</v>
      </c>
      <c r="D2241" s="24">
        <v>30</v>
      </c>
      <c r="E2241" s="24">
        <v>26</v>
      </c>
    </row>
    <row r="2242" spans="1:5" x14ac:dyDescent="0.25">
      <c r="A2242" s="24">
        <v>2241</v>
      </c>
      <c r="B2242" s="24">
        <v>543764</v>
      </c>
      <c r="C2242" s="24" t="s">
        <v>3287</v>
      </c>
      <c r="D2242" s="24">
        <v>79</v>
      </c>
      <c r="E2242" s="24">
        <v>74</v>
      </c>
    </row>
    <row r="2243" spans="1:5" x14ac:dyDescent="0.25">
      <c r="A2243" s="24">
        <v>2242</v>
      </c>
      <c r="B2243" s="24">
        <v>527815</v>
      </c>
      <c r="C2243" s="24" t="s">
        <v>3288</v>
      </c>
      <c r="D2243" s="24">
        <v>66</v>
      </c>
      <c r="E2243" s="24">
        <v>62</v>
      </c>
    </row>
    <row r="2244" spans="1:5" x14ac:dyDescent="0.25">
      <c r="A2244" s="24">
        <v>2243</v>
      </c>
      <c r="B2244" s="24">
        <v>504858</v>
      </c>
      <c r="C2244" s="24" t="s">
        <v>3289</v>
      </c>
      <c r="D2244" s="24">
        <v>6</v>
      </c>
      <c r="E2244" s="24">
        <v>1</v>
      </c>
    </row>
    <row r="2245" spans="1:5" x14ac:dyDescent="0.25">
      <c r="A2245" s="24">
        <v>2244</v>
      </c>
      <c r="B2245" s="24">
        <v>543772</v>
      </c>
      <c r="C2245" s="24" t="s">
        <v>3291</v>
      </c>
      <c r="D2245" s="24">
        <v>79</v>
      </c>
      <c r="E2245" s="24">
        <v>74</v>
      </c>
    </row>
    <row r="2246" spans="1:5" x14ac:dyDescent="0.25">
      <c r="A2246" s="24">
        <v>2245</v>
      </c>
      <c r="B2246" s="24">
        <v>559636</v>
      </c>
      <c r="C2246" s="24" t="s">
        <v>2688</v>
      </c>
      <c r="D2246" s="24">
        <v>57</v>
      </c>
      <c r="E2246" s="24">
        <v>53</v>
      </c>
    </row>
    <row r="2247" spans="1:5" x14ac:dyDescent="0.25">
      <c r="A2247" s="24">
        <v>2246</v>
      </c>
      <c r="B2247" s="24">
        <v>523828</v>
      </c>
      <c r="C2247" s="24" t="s">
        <v>3293</v>
      </c>
      <c r="D2247" s="24">
        <v>58</v>
      </c>
      <c r="E2247" s="24">
        <v>54</v>
      </c>
    </row>
    <row r="2248" spans="1:5" x14ac:dyDescent="0.25">
      <c r="A2248" s="24">
        <v>2247</v>
      </c>
      <c r="B2248" s="24">
        <v>526355</v>
      </c>
      <c r="C2248" s="24" t="s">
        <v>3294</v>
      </c>
      <c r="D2248" s="24">
        <v>78</v>
      </c>
      <c r="E2248" s="24">
        <v>70</v>
      </c>
    </row>
    <row r="2249" spans="1:5" x14ac:dyDescent="0.25">
      <c r="A2249" s="24">
        <v>2248</v>
      </c>
      <c r="B2249" s="24">
        <v>523836</v>
      </c>
      <c r="C2249" s="24" t="s">
        <v>3295</v>
      </c>
      <c r="D2249" s="24">
        <v>58</v>
      </c>
      <c r="E2249" s="24">
        <v>54</v>
      </c>
    </row>
    <row r="2250" spans="1:5" x14ac:dyDescent="0.25">
      <c r="A2250" s="24">
        <v>2249</v>
      </c>
      <c r="B2250" s="24">
        <v>523844</v>
      </c>
      <c r="C2250" s="24" t="s">
        <v>3296</v>
      </c>
      <c r="D2250" s="24">
        <v>61</v>
      </c>
      <c r="E2250" s="24">
        <v>57</v>
      </c>
    </row>
    <row r="2251" spans="1:5" x14ac:dyDescent="0.25">
      <c r="A2251" s="24">
        <v>2250</v>
      </c>
      <c r="B2251" s="24">
        <v>523852</v>
      </c>
      <c r="C2251" s="24" t="s">
        <v>3297</v>
      </c>
      <c r="D2251" s="24">
        <v>61</v>
      </c>
      <c r="E2251" s="24">
        <v>57</v>
      </c>
    </row>
    <row r="2252" spans="1:5" x14ac:dyDescent="0.25">
      <c r="A2252" s="24">
        <v>2251</v>
      </c>
      <c r="B2252" s="24">
        <v>523861</v>
      </c>
      <c r="C2252" s="24" t="s">
        <v>3298</v>
      </c>
      <c r="D2252" s="24">
        <v>58</v>
      </c>
      <c r="E2252" s="24">
        <v>54</v>
      </c>
    </row>
    <row r="2253" spans="1:5" x14ac:dyDescent="0.25">
      <c r="A2253" s="24">
        <v>2252</v>
      </c>
      <c r="B2253" s="24">
        <v>543578</v>
      </c>
      <c r="C2253" s="24" t="s">
        <v>3299</v>
      </c>
      <c r="D2253" s="24">
        <v>59</v>
      </c>
      <c r="E2253" s="24">
        <v>55</v>
      </c>
    </row>
    <row r="2254" spans="1:5" x14ac:dyDescent="0.25">
      <c r="A2254" s="24">
        <v>2253</v>
      </c>
      <c r="B2254" s="24">
        <v>543586</v>
      </c>
      <c r="C2254" s="24" t="s">
        <v>3300</v>
      </c>
      <c r="D2254" s="24">
        <v>78</v>
      </c>
      <c r="E2254" s="24">
        <v>70</v>
      </c>
    </row>
    <row r="2255" spans="1:5" x14ac:dyDescent="0.25">
      <c r="A2255" s="24">
        <v>2254</v>
      </c>
      <c r="B2255" s="24">
        <v>543594</v>
      </c>
      <c r="C2255" s="24" t="s">
        <v>3301</v>
      </c>
      <c r="D2255" s="24">
        <v>78</v>
      </c>
      <c r="E2255" s="24">
        <v>70</v>
      </c>
    </row>
    <row r="2256" spans="1:5" x14ac:dyDescent="0.25">
      <c r="A2256" s="24">
        <v>2255</v>
      </c>
      <c r="B2256" s="24">
        <v>543608</v>
      </c>
      <c r="C2256" s="24" t="s">
        <v>3302</v>
      </c>
      <c r="D2256" s="24">
        <v>59</v>
      </c>
      <c r="E2256" s="24">
        <v>55</v>
      </c>
    </row>
    <row r="2257" spans="1:5" x14ac:dyDescent="0.25">
      <c r="A2257" s="24">
        <v>2256</v>
      </c>
      <c r="B2257" s="24">
        <v>543616</v>
      </c>
      <c r="C2257" s="24" t="s">
        <v>3303</v>
      </c>
      <c r="D2257" s="24">
        <v>78</v>
      </c>
      <c r="E2257" s="24">
        <v>70</v>
      </c>
    </row>
    <row r="2258" spans="1:5" x14ac:dyDescent="0.25">
      <c r="A2258" s="24">
        <v>2257</v>
      </c>
      <c r="B2258" s="24">
        <v>523879</v>
      </c>
      <c r="C2258" s="24" t="s">
        <v>3304</v>
      </c>
      <c r="D2258" s="24">
        <v>61</v>
      </c>
      <c r="E2258" s="24">
        <v>57</v>
      </c>
    </row>
    <row r="2259" spans="1:5" x14ac:dyDescent="0.25">
      <c r="A2259" s="24">
        <v>2258</v>
      </c>
      <c r="B2259" s="24">
        <v>543624</v>
      </c>
      <c r="C2259" s="24" t="s">
        <v>3305</v>
      </c>
      <c r="D2259" s="24">
        <v>59</v>
      </c>
      <c r="E2259" s="24">
        <v>55</v>
      </c>
    </row>
    <row r="2260" spans="1:5" x14ac:dyDescent="0.25">
      <c r="A2260" s="24">
        <v>2259</v>
      </c>
      <c r="B2260" s="24">
        <v>520829</v>
      </c>
      <c r="C2260" s="24" t="s">
        <v>3308</v>
      </c>
      <c r="D2260" s="24">
        <v>64</v>
      </c>
      <c r="E2260" s="24">
        <v>60</v>
      </c>
    </row>
    <row r="2261" spans="1:5" x14ac:dyDescent="0.25">
      <c r="A2261" s="24">
        <v>2260</v>
      </c>
      <c r="B2261" s="24">
        <v>520811</v>
      </c>
      <c r="C2261" s="24" t="s">
        <v>3307</v>
      </c>
      <c r="D2261" s="24">
        <v>64</v>
      </c>
      <c r="E2261" s="24">
        <v>60</v>
      </c>
    </row>
    <row r="2262" spans="1:5" x14ac:dyDescent="0.25">
      <c r="A2262" s="24">
        <v>2261</v>
      </c>
      <c r="B2262" s="24">
        <v>513849</v>
      </c>
      <c r="C2262" s="24" t="s">
        <v>4001</v>
      </c>
      <c r="D2262" s="24">
        <v>79</v>
      </c>
      <c r="E2262" s="24">
        <v>71</v>
      </c>
    </row>
    <row r="2263" spans="1:5" x14ac:dyDescent="0.25">
      <c r="A2263" s="24">
        <v>2262</v>
      </c>
      <c r="B2263" s="24">
        <v>511030</v>
      </c>
      <c r="C2263" s="24" t="s">
        <v>3309</v>
      </c>
      <c r="D2263" s="24">
        <v>39</v>
      </c>
      <c r="E2263" s="24">
        <v>35</v>
      </c>
    </row>
    <row r="2264" spans="1:5" x14ac:dyDescent="0.25">
      <c r="A2264" s="24">
        <v>2263</v>
      </c>
      <c r="B2264" s="24">
        <v>543781</v>
      </c>
      <c r="C2264" s="24" t="s">
        <v>3310</v>
      </c>
      <c r="D2264" s="24">
        <v>79</v>
      </c>
      <c r="E2264" s="24">
        <v>71</v>
      </c>
    </row>
    <row r="2265" spans="1:5" x14ac:dyDescent="0.25">
      <c r="A2265" s="24">
        <v>2264</v>
      </c>
      <c r="B2265" s="24">
        <v>515540</v>
      </c>
      <c r="C2265" s="24" t="s">
        <v>3311</v>
      </c>
      <c r="D2265" s="24">
        <v>51</v>
      </c>
      <c r="E2265" s="24">
        <v>47</v>
      </c>
    </row>
    <row r="2266" spans="1:5" x14ac:dyDescent="0.25">
      <c r="A2266" s="24">
        <v>2265</v>
      </c>
      <c r="B2266" s="24">
        <v>509477</v>
      </c>
      <c r="C2266" s="24" t="s">
        <v>3312</v>
      </c>
      <c r="D2266" s="24">
        <v>33</v>
      </c>
      <c r="E2266" s="24">
        <v>29</v>
      </c>
    </row>
    <row r="2267" spans="1:5" x14ac:dyDescent="0.25">
      <c r="A2267" s="24">
        <v>2266</v>
      </c>
      <c r="B2267" s="24">
        <v>511846</v>
      </c>
      <c r="C2267" s="24" t="s">
        <v>3313</v>
      </c>
      <c r="D2267" s="24">
        <v>48</v>
      </c>
      <c r="E2267" s="24">
        <v>44</v>
      </c>
    </row>
    <row r="2268" spans="1:5" x14ac:dyDescent="0.25">
      <c r="A2268" s="24">
        <v>2267</v>
      </c>
      <c r="B2268" s="24">
        <v>518816</v>
      </c>
      <c r="C2268" s="24" t="s">
        <v>3314</v>
      </c>
      <c r="D2268" s="24">
        <v>46</v>
      </c>
      <c r="E2268" s="24">
        <v>42</v>
      </c>
    </row>
    <row r="2269" spans="1:5" x14ac:dyDescent="0.25">
      <c r="A2269" s="24">
        <v>2268</v>
      </c>
      <c r="B2269" s="24">
        <v>517267</v>
      </c>
      <c r="C2269" s="24" t="s">
        <v>3315</v>
      </c>
      <c r="D2269" s="24">
        <v>55</v>
      </c>
      <c r="E2269" s="24">
        <v>51</v>
      </c>
    </row>
    <row r="2270" spans="1:5" x14ac:dyDescent="0.25">
      <c r="A2270" s="24">
        <v>2269</v>
      </c>
      <c r="B2270" s="24">
        <v>506516</v>
      </c>
      <c r="C2270" s="24" t="s">
        <v>3316</v>
      </c>
      <c r="D2270" s="24">
        <v>19</v>
      </c>
      <c r="E2270" s="24">
        <v>15</v>
      </c>
    </row>
    <row r="2271" spans="1:5" x14ac:dyDescent="0.25">
      <c r="A2271" s="24">
        <v>2270</v>
      </c>
      <c r="B2271" s="24">
        <v>523887</v>
      </c>
      <c r="C2271" s="24" t="s">
        <v>3317</v>
      </c>
      <c r="D2271" s="24">
        <v>58</v>
      </c>
      <c r="E2271" s="24">
        <v>54</v>
      </c>
    </row>
    <row r="2272" spans="1:5" x14ac:dyDescent="0.25">
      <c r="A2272" s="24">
        <v>2271</v>
      </c>
      <c r="B2272" s="24">
        <v>526665</v>
      </c>
      <c r="C2272" s="24" t="s">
        <v>3318</v>
      </c>
      <c r="D2272" s="24">
        <v>65</v>
      </c>
      <c r="E2272" s="24">
        <v>61</v>
      </c>
    </row>
    <row r="2273" spans="1:5" x14ac:dyDescent="0.25">
      <c r="A2273" s="24">
        <v>2272</v>
      </c>
      <c r="B2273" s="24">
        <v>504866</v>
      </c>
      <c r="C2273" s="24" t="s">
        <v>3319</v>
      </c>
      <c r="D2273" s="24">
        <v>18</v>
      </c>
      <c r="E2273" s="24">
        <v>14</v>
      </c>
    </row>
    <row r="2274" spans="1:5" x14ac:dyDescent="0.25">
      <c r="A2274" s="24">
        <v>2273</v>
      </c>
      <c r="B2274" s="24">
        <v>506524</v>
      </c>
      <c r="C2274" s="24" t="s">
        <v>3320</v>
      </c>
      <c r="D2274" s="24">
        <v>19</v>
      </c>
      <c r="E2274" s="24">
        <v>15</v>
      </c>
    </row>
    <row r="2275" spans="1:5" x14ac:dyDescent="0.25">
      <c r="A2275" s="24">
        <v>2274</v>
      </c>
      <c r="B2275" s="24">
        <v>543632</v>
      </c>
      <c r="C2275" s="24" t="s">
        <v>3321</v>
      </c>
      <c r="D2275" s="24">
        <v>69</v>
      </c>
      <c r="E2275" s="24">
        <v>65</v>
      </c>
    </row>
    <row r="2276" spans="1:5" x14ac:dyDescent="0.25">
      <c r="A2276" s="24">
        <v>2275</v>
      </c>
      <c r="B2276" s="24">
        <v>523097</v>
      </c>
      <c r="C2276" s="24" t="s">
        <v>3322</v>
      </c>
      <c r="D2276" s="24">
        <v>75</v>
      </c>
      <c r="E2276" s="24">
        <v>67</v>
      </c>
    </row>
    <row r="2277" spans="1:5" x14ac:dyDescent="0.25">
      <c r="A2277" s="24">
        <v>2276</v>
      </c>
      <c r="B2277" s="24">
        <v>509019</v>
      </c>
      <c r="C2277" s="24" t="s">
        <v>3323</v>
      </c>
      <c r="D2277" s="24">
        <v>43</v>
      </c>
      <c r="E2277" s="24">
        <v>39</v>
      </c>
    </row>
    <row r="2278" spans="1:5" x14ac:dyDescent="0.25">
      <c r="A2278" s="24">
        <v>2277</v>
      </c>
      <c r="B2278" s="24">
        <v>527009</v>
      </c>
      <c r="C2278" s="24" t="s">
        <v>3326</v>
      </c>
      <c r="D2278" s="24">
        <v>65</v>
      </c>
      <c r="E2278" s="24">
        <v>61</v>
      </c>
    </row>
    <row r="2279" spans="1:5" x14ac:dyDescent="0.25">
      <c r="A2279" s="24">
        <v>2278</v>
      </c>
      <c r="B2279" s="24">
        <v>502758</v>
      </c>
      <c r="C2279" s="24" t="s">
        <v>3328</v>
      </c>
      <c r="D2279" s="24">
        <v>26</v>
      </c>
      <c r="E2279" s="24">
        <v>22</v>
      </c>
    </row>
    <row r="2280" spans="1:5" x14ac:dyDescent="0.25">
      <c r="A2280" s="24">
        <v>2279</v>
      </c>
      <c r="B2280" s="24">
        <v>502766</v>
      </c>
      <c r="C2280" s="24" t="s">
        <v>3330</v>
      </c>
      <c r="D2280" s="24">
        <v>26</v>
      </c>
      <c r="E2280" s="24">
        <v>22</v>
      </c>
    </row>
    <row r="2281" spans="1:5" x14ac:dyDescent="0.25">
      <c r="A2281" s="24">
        <v>2280</v>
      </c>
      <c r="B2281" s="24">
        <v>509485</v>
      </c>
      <c r="C2281" s="24" t="s">
        <v>3331</v>
      </c>
      <c r="D2281" s="24">
        <v>33</v>
      </c>
      <c r="E2281" s="24">
        <v>29</v>
      </c>
    </row>
    <row r="2282" spans="1:5" x14ac:dyDescent="0.25">
      <c r="A2282" s="24">
        <v>2281</v>
      </c>
      <c r="B2282" s="24">
        <v>527823</v>
      </c>
      <c r="C2282" s="24" t="s">
        <v>3332</v>
      </c>
      <c r="D2282" s="24">
        <v>66</v>
      </c>
      <c r="E2282" s="24">
        <v>62</v>
      </c>
    </row>
    <row r="2283" spans="1:5" x14ac:dyDescent="0.25">
      <c r="A2283" s="24">
        <v>2282</v>
      </c>
      <c r="B2283" s="24">
        <v>519804</v>
      </c>
      <c r="C2283" s="24" t="s">
        <v>3333</v>
      </c>
      <c r="D2283" s="24">
        <v>56</v>
      </c>
      <c r="E2283" s="24">
        <v>52</v>
      </c>
    </row>
    <row r="2284" spans="1:5" x14ac:dyDescent="0.25">
      <c r="A2284" s="24">
        <v>2283</v>
      </c>
      <c r="B2284" s="24">
        <v>519812</v>
      </c>
      <c r="C2284" s="24" t="s">
        <v>3334</v>
      </c>
      <c r="D2284" s="24">
        <v>56</v>
      </c>
      <c r="E2284" s="24">
        <v>52</v>
      </c>
    </row>
    <row r="2285" spans="1:5" x14ac:dyDescent="0.25">
      <c r="A2285" s="24">
        <v>2284</v>
      </c>
      <c r="B2285" s="24">
        <v>518824</v>
      </c>
      <c r="C2285" s="24" t="s">
        <v>3335</v>
      </c>
      <c r="D2285" s="24">
        <v>46</v>
      </c>
      <c r="E2285" s="24">
        <v>42</v>
      </c>
    </row>
    <row r="2286" spans="1:5" x14ac:dyDescent="0.25">
      <c r="A2286" s="24">
        <v>2285</v>
      </c>
      <c r="B2286" s="24">
        <v>527017</v>
      </c>
      <c r="C2286" s="24" t="s">
        <v>2446</v>
      </c>
      <c r="D2286" s="24">
        <v>65</v>
      </c>
      <c r="E2286" s="24">
        <v>61</v>
      </c>
    </row>
    <row r="2287" spans="1:5" x14ac:dyDescent="0.25">
      <c r="A2287" s="24">
        <v>2286</v>
      </c>
      <c r="B2287" s="24">
        <v>517950</v>
      </c>
      <c r="C2287" s="24" t="s">
        <v>3336</v>
      </c>
      <c r="D2287" s="24">
        <v>42</v>
      </c>
      <c r="E2287" s="24">
        <v>38</v>
      </c>
    </row>
    <row r="2288" spans="1:5" x14ac:dyDescent="0.25">
      <c r="A2288" s="24">
        <v>2287</v>
      </c>
      <c r="B2288" s="24">
        <v>523909</v>
      </c>
      <c r="C2288" s="24" t="s">
        <v>3337</v>
      </c>
      <c r="D2288" s="24">
        <v>58</v>
      </c>
      <c r="E2288" s="24">
        <v>54</v>
      </c>
    </row>
    <row r="2289" spans="1:5" x14ac:dyDescent="0.25">
      <c r="A2289" s="24">
        <v>2288</v>
      </c>
      <c r="B2289" s="24">
        <v>515566</v>
      </c>
      <c r="C2289" s="24" t="s">
        <v>3338</v>
      </c>
      <c r="D2289" s="24">
        <v>51</v>
      </c>
      <c r="E2289" s="24">
        <v>47</v>
      </c>
    </row>
    <row r="2290" spans="1:5" x14ac:dyDescent="0.25">
      <c r="A2290" s="24">
        <v>2289</v>
      </c>
      <c r="B2290" s="24">
        <v>517968</v>
      </c>
      <c r="C2290" s="24" t="s">
        <v>3339</v>
      </c>
      <c r="D2290" s="24">
        <v>42</v>
      </c>
      <c r="E2290" s="24">
        <v>38</v>
      </c>
    </row>
    <row r="2291" spans="1:5" x14ac:dyDescent="0.25">
      <c r="A2291" s="24">
        <v>2290</v>
      </c>
      <c r="B2291" s="24">
        <v>526291</v>
      </c>
      <c r="C2291" s="24" t="s">
        <v>3340</v>
      </c>
      <c r="D2291" s="24">
        <v>76</v>
      </c>
      <c r="E2291" s="24">
        <v>68</v>
      </c>
    </row>
    <row r="2292" spans="1:5" x14ac:dyDescent="0.25">
      <c r="A2292" s="24">
        <v>2291</v>
      </c>
      <c r="B2292" s="24">
        <v>517976</v>
      </c>
      <c r="C2292" s="24" t="s">
        <v>3341</v>
      </c>
      <c r="D2292" s="24">
        <v>42</v>
      </c>
      <c r="E2292" s="24">
        <v>38</v>
      </c>
    </row>
    <row r="2293" spans="1:5" x14ac:dyDescent="0.25">
      <c r="A2293" s="24">
        <v>2292</v>
      </c>
      <c r="B2293" s="24">
        <v>543799</v>
      </c>
      <c r="C2293" s="24" t="s">
        <v>3343</v>
      </c>
      <c r="D2293" s="24">
        <v>79</v>
      </c>
      <c r="E2293" s="24">
        <v>74</v>
      </c>
    </row>
    <row r="2294" spans="1:5" x14ac:dyDescent="0.25">
      <c r="A2294" s="24">
        <v>2293</v>
      </c>
      <c r="B2294" s="24">
        <v>523101</v>
      </c>
      <c r="C2294" s="24" t="s">
        <v>3345</v>
      </c>
      <c r="D2294" s="24">
        <v>75</v>
      </c>
      <c r="E2294" s="24">
        <v>67</v>
      </c>
    </row>
    <row r="2295" spans="1:5" x14ac:dyDescent="0.25">
      <c r="A2295" s="24">
        <v>2294</v>
      </c>
      <c r="B2295" s="24">
        <v>517984</v>
      </c>
      <c r="C2295" s="24" t="s">
        <v>3346</v>
      </c>
      <c r="D2295" s="24">
        <v>42</v>
      </c>
      <c r="E2295" s="24">
        <v>38</v>
      </c>
    </row>
    <row r="2296" spans="1:5" x14ac:dyDescent="0.25">
      <c r="A2296" s="24">
        <v>2295</v>
      </c>
      <c r="B2296" s="24">
        <v>543802</v>
      </c>
      <c r="C2296" s="24" t="s">
        <v>3348</v>
      </c>
      <c r="D2296" s="24">
        <v>79</v>
      </c>
      <c r="E2296" s="24">
        <v>74</v>
      </c>
    </row>
    <row r="2297" spans="1:5" x14ac:dyDescent="0.25">
      <c r="A2297" s="24">
        <v>2296</v>
      </c>
      <c r="B2297" s="24">
        <v>516406</v>
      </c>
      <c r="C2297" s="24" t="s">
        <v>3349</v>
      </c>
      <c r="D2297" s="24">
        <v>52</v>
      </c>
      <c r="E2297" s="24">
        <v>48</v>
      </c>
    </row>
    <row r="2298" spans="1:5" x14ac:dyDescent="0.25">
      <c r="A2298" s="24">
        <v>2297</v>
      </c>
      <c r="B2298" s="24">
        <v>503550</v>
      </c>
      <c r="C2298" s="24" t="s">
        <v>3350</v>
      </c>
      <c r="D2298" s="24">
        <v>28</v>
      </c>
      <c r="E2298" s="24">
        <v>24</v>
      </c>
    </row>
    <row r="2299" spans="1:5" x14ac:dyDescent="0.25">
      <c r="A2299" s="24">
        <v>2298</v>
      </c>
      <c r="B2299" s="24">
        <v>509027</v>
      </c>
      <c r="C2299" s="24" t="s">
        <v>3352</v>
      </c>
      <c r="D2299" s="24">
        <v>43</v>
      </c>
      <c r="E2299" s="24">
        <v>39</v>
      </c>
    </row>
    <row r="2300" spans="1:5" x14ac:dyDescent="0.25">
      <c r="A2300" s="24">
        <v>2299</v>
      </c>
      <c r="B2300" s="24">
        <v>523119</v>
      </c>
      <c r="C2300" s="24" t="s">
        <v>3353</v>
      </c>
      <c r="D2300" s="24">
        <v>75</v>
      </c>
      <c r="E2300" s="24">
        <v>67</v>
      </c>
    </row>
    <row r="2301" spans="1:5" x14ac:dyDescent="0.25">
      <c r="A2301" s="24">
        <v>2300</v>
      </c>
      <c r="B2301" s="24">
        <v>523127</v>
      </c>
      <c r="C2301" s="24" t="s">
        <v>3354</v>
      </c>
      <c r="D2301" s="24">
        <v>75</v>
      </c>
      <c r="E2301" s="24">
        <v>67</v>
      </c>
    </row>
    <row r="2302" spans="1:5" x14ac:dyDescent="0.25">
      <c r="A2302" s="24">
        <v>2301</v>
      </c>
      <c r="B2302" s="24">
        <v>557471</v>
      </c>
      <c r="C2302" s="24" t="s">
        <v>3355</v>
      </c>
      <c r="D2302" s="24">
        <v>23</v>
      </c>
      <c r="E2302" s="24">
        <v>19</v>
      </c>
    </row>
    <row r="2303" spans="1:5" x14ac:dyDescent="0.25">
      <c r="A2303" s="24">
        <v>2302</v>
      </c>
      <c r="B2303" s="24">
        <v>520845</v>
      </c>
      <c r="C2303" s="24" t="s">
        <v>3356</v>
      </c>
      <c r="D2303" s="24">
        <v>64</v>
      </c>
      <c r="E2303" s="24">
        <v>60</v>
      </c>
    </row>
    <row r="2304" spans="1:5" x14ac:dyDescent="0.25">
      <c r="A2304" s="24">
        <v>2303</v>
      </c>
      <c r="B2304" s="24">
        <v>527831</v>
      </c>
      <c r="C2304" s="24" t="s">
        <v>3357</v>
      </c>
      <c r="D2304" s="24">
        <v>67</v>
      </c>
      <c r="E2304" s="24">
        <v>63</v>
      </c>
    </row>
    <row r="2305" spans="1:5" x14ac:dyDescent="0.25">
      <c r="A2305" s="24">
        <v>2304</v>
      </c>
      <c r="B2305" s="24">
        <v>527840</v>
      </c>
      <c r="C2305" s="24" t="s">
        <v>3358</v>
      </c>
      <c r="D2305" s="24">
        <v>66</v>
      </c>
      <c r="E2305" s="24">
        <v>62</v>
      </c>
    </row>
    <row r="2306" spans="1:5" x14ac:dyDescent="0.25">
      <c r="A2306" s="24">
        <v>2305</v>
      </c>
      <c r="B2306" s="24">
        <v>515582</v>
      </c>
      <c r="C2306" s="24" t="s">
        <v>3360</v>
      </c>
      <c r="D2306" s="24">
        <v>51</v>
      </c>
      <c r="E2306" s="24">
        <v>47</v>
      </c>
    </row>
    <row r="2307" spans="1:5" x14ac:dyDescent="0.25">
      <c r="A2307" s="24">
        <v>2306</v>
      </c>
      <c r="B2307" s="24">
        <v>543641</v>
      </c>
      <c r="C2307" s="24" t="s">
        <v>3361</v>
      </c>
      <c r="D2307" s="24">
        <v>59</v>
      </c>
      <c r="E2307" s="24">
        <v>55</v>
      </c>
    </row>
    <row r="2308" spans="1:5" x14ac:dyDescent="0.25">
      <c r="A2308" s="24">
        <v>2307</v>
      </c>
      <c r="B2308" s="24">
        <v>504874</v>
      </c>
      <c r="C2308" s="24" t="s">
        <v>3362</v>
      </c>
      <c r="D2308" s="24">
        <v>6</v>
      </c>
      <c r="E2308" s="24">
        <v>1</v>
      </c>
    </row>
    <row r="2309" spans="1:5" x14ac:dyDescent="0.25">
      <c r="A2309" s="24">
        <v>2308</v>
      </c>
      <c r="B2309" s="24">
        <v>519821</v>
      </c>
      <c r="C2309" s="24" t="s">
        <v>3363</v>
      </c>
      <c r="D2309" s="24">
        <v>56</v>
      </c>
      <c r="E2309" s="24">
        <v>52</v>
      </c>
    </row>
    <row r="2310" spans="1:5" x14ac:dyDescent="0.25">
      <c r="A2310" s="24">
        <v>2309</v>
      </c>
      <c r="B2310" s="24">
        <v>508233</v>
      </c>
      <c r="C2310" s="24" t="s">
        <v>3365</v>
      </c>
      <c r="D2310" s="24">
        <v>6</v>
      </c>
      <c r="E2310" s="24">
        <v>1</v>
      </c>
    </row>
    <row r="2311" spans="1:5" x14ac:dyDescent="0.25">
      <c r="A2311" s="24">
        <v>2310</v>
      </c>
      <c r="B2311" s="24">
        <v>513687</v>
      </c>
      <c r="C2311" s="24" t="s">
        <v>3368</v>
      </c>
      <c r="D2311" s="24">
        <v>21</v>
      </c>
      <c r="E2311" s="24">
        <v>17</v>
      </c>
    </row>
    <row r="2312" spans="1:5" x14ac:dyDescent="0.25">
      <c r="A2312" s="24">
        <v>2311</v>
      </c>
      <c r="B2312" s="24">
        <v>512648</v>
      </c>
      <c r="C2312" s="24" t="s">
        <v>3369</v>
      </c>
      <c r="D2312" s="24">
        <v>37</v>
      </c>
      <c r="E2312" s="24">
        <v>33</v>
      </c>
    </row>
    <row r="2313" spans="1:5" x14ac:dyDescent="0.25">
      <c r="A2313" s="24">
        <v>2312</v>
      </c>
      <c r="B2313" s="24">
        <v>518832</v>
      </c>
      <c r="C2313" s="24" t="s">
        <v>3370</v>
      </c>
      <c r="D2313" s="24">
        <v>47</v>
      </c>
      <c r="E2313" s="24">
        <v>43</v>
      </c>
    </row>
    <row r="2314" spans="1:5" x14ac:dyDescent="0.25">
      <c r="A2314" s="24">
        <v>2313</v>
      </c>
      <c r="B2314" s="24">
        <v>518841</v>
      </c>
      <c r="C2314" s="24" t="s">
        <v>3371</v>
      </c>
      <c r="D2314" s="24">
        <v>47</v>
      </c>
      <c r="E2314" s="24">
        <v>43</v>
      </c>
    </row>
    <row r="2315" spans="1:5" x14ac:dyDescent="0.25">
      <c r="A2315" s="24">
        <v>2314</v>
      </c>
      <c r="B2315" s="24">
        <v>559989</v>
      </c>
      <c r="C2315" s="24" t="s">
        <v>3169</v>
      </c>
      <c r="D2315" s="24">
        <v>62</v>
      </c>
      <c r="E2315" s="24">
        <v>58</v>
      </c>
    </row>
    <row r="2316" spans="1:5" x14ac:dyDescent="0.25">
      <c r="A2316" s="24">
        <v>2315</v>
      </c>
      <c r="B2316" s="24">
        <v>510076</v>
      </c>
      <c r="C2316" s="24" t="s">
        <v>3372</v>
      </c>
      <c r="D2316" s="24">
        <v>41</v>
      </c>
      <c r="E2316" s="24">
        <v>37</v>
      </c>
    </row>
    <row r="2317" spans="1:5" x14ac:dyDescent="0.25">
      <c r="A2317" s="24">
        <v>2316</v>
      </c>
      <c r="B2317" s="24">
        <v>507571</v>
      </c>
      <c r="C2317" s="24" t="s">
        <v>3373</v>
      </c>
      <c r="D2317" s="24">
        <v>15</v>
      </c>
      <c r="E2317" s="24">
        <v>11</v>
      </c>
    </row>
    <row r="2318" spans="1:5" x14ac:dyDescent="0.25">
      <c r="A2318" s="24">
        <v>2317</v>
      </c>
      <c r="B2318" s="24">
        <v>516414</v>
      </c>
      <c r="C2318" s="24" t="s">
        <v>3374</v>
      </c>
      <c r="D2318" s="24">
        <v>52</v>
      </c>
      <c r="E2318" s="24">
        <v>48</v>
      </c>
    </row>
    <row r="2319" spans="1:5" x14ac:dyDescent="0.25">
      <c r="A2319" s="24">
        <v>2318</v>
      </c>
      <c r="B2319" s="24">
        <v>523135</v>
      </c>
      <c r="C2319" s="24" t="s">
        <v>3375</v>
      </c>
      <c r="D2319" s="24">
        <v>75</v>
      </c>
      <c r="E2319" s="24">
        <v>67</v>
      </c>
    </row>
    <row r="2320" spans="1:5" x14ac:dyDescent="0.25">
      <c r="A2320" s="24">
        <v>2319</v>
      </c>
      <c r="B2320" s="24">
        <v>516422</v>
      </c>
      <c r="C2320" s="24" t="s">
        <v>3376</v>
      </c>
      <c r="D2320" s="24">
        <v>52</v>
      </c>
      <c r="E2320" s="24">
        <v>48</v>
      </c>
    </row>
    <row r="2321" spans="1:5" x14ac:dyDescent="0.25">
      <c r="A2321" s="24">
        <v>2320</v>
      </c>
      <c r="B2321" s="24">
        <v>508241</v>
      </c>
      <c r="C2321" s="24" t="s">
        <v>3377</v>
      </c>
      <c r="D2321" s="24">
        <v>6</v>
      </c>
      <c r="E2321" s="24">
        <v>1</v>
      </c>
    </row>
    <row r="2322" spans="1:5" x14ac:dyDescent="0.25">
      <c r="A2322" s="24">
        <v>2321</v>
      </c>
      <c r="B2322" s="24">
        <v>520853</v>
      </c>
      <c r="C2322" s="24" t="s">
        <v>3378</v>
      </c>
      <c r="D2322" s="24">
        <v>60</v>
      </c>
      <c r="E2322" s="24">
        <v>56</v>
      </c>
    </row>
    <row r="2323" spans="1:5" x14ac:dyDescent="0.25">
      <c r="A2323" s="24">
        <v>2322</v>
      </c>
      <c r="B2323" s="24">
        <v>527025</v>
      </c>
      <c r="C2323" s="24" t="s">
        <v>4259</v>
      </c>
      <c r="D2323" s="24">
        <v>65</v>
      </c>
      <c r="E2323" s="24">
        <v>61</v>
      </c>
    </row>
    <row r="2324" spans="1:5" x14ac:dyDescent="0.25">
      <c r="A2324" s="24">
        <v>2323</v>
      </c>
      <c r="B2324" s="24">
        <v>517992</v>
      </c>
      <c r="C2324" s="24" t="s">
        <v>3381</v>
      </c>
      <c r="D2324" s="24">
        <v>32</v>
      </c>
      <c r="E2324" s="24">
        <v>28</v>
      </c>
    </row>
    <row r="2325" spans="1:5" x14ac:dyDescent="0.25">
      <c r="A2325" s="24">
        <v>2324</v>
      </c>
      <c r="B2325" s="24">
        <v>505510</v>
      </c>
      <c r="C2325" s="24" t="s">
        <v>3382</v>
      </c>
      <c r="D2325" s="24">
        <v>30</v>
      </c>
      <c r="E2325" s="24">
        <v>26</v>
      </c>
    </row>
    <row r="2326" spans="1:5" x14ac:dyDescent="0.25">
      <c r="A2326" s="24">
        <v>2325</v>
      </c>
      <c r="B2326" s="24">
        <v>515591</v>
      </c>
      <c r="C2326" s="24" t="s">
        <v>3383</v>
      </c>
      <c r="D2326" s="24">
        <v>49</v>
      </c>
      <c r="E2326" s="24">
        <v>45</v>
      </c>
    </row>
    <row r="2327" spans="1:5" x14ac:dyDescent="0.25">
      <c r="A2327" s="24">
        <v>2326</v>
      </c>
      <c r="B2327" s="24">
        <v>515604</v>
      </c>
      <c r="C2327" s="24" t="s">
        <v>3384</v>
      </c>
      <c r="D2327" s="24">
        <v>51</v>
      </c>
      <c r="E2327" s="24">
        <v>47</v>
      </c>
    </row>
    <row r="2328" spans="1:5" x14ac:dyDescent="0.25">
      <c r="A2328" s="24">
        <v>2327</v>
      </c>
      <c r="B2328" s="24">
        <v>528153</v>
      </c>
      <c r="C2328" s="24" t="s">
        <v>886</v>
      </c>
      <c r="D2328" s="24">
        <v>79</v>
      </c>
      <c r="E2328" s="24">
        <v>74</v>
      </c>
    </row>
    <row r="2329" spans="1:5" x14ac:dyDescent="0.25">
      <c r="A2329" s="24">
        <v>2328</v>
      </c>
      <c r="B2329" s="24">
        <v>555991</v>
      </c>
      <c r="C2329" s="24" t="s">
        <v>3385</v>
      </c>
      <c r="D2329" s="24">
        <v>27</v>
      </c>
      <c r="E2329" s="24">
        <v>23</v>
      </c>
    </row>
    <row r="2330" spans="1:5" x14ac:dyDescent="0.25">
      <c r="A2330" s="24">
        <v>2329</v>
      </c>
      <c r="B2330" s="24">
        <v>523143</v>
      </c>
      <c r="C2330" s="24" t="s">
        <v>3386</v>
      </c>
      <c r="D2330" s="24">
        <v>77</v>
      </c>
      <c r="E2330" s="24">
        <v>69</v>
      </c>
    </row>
    <row r="2331" spans="1:5" x14ac:dyDescent="0.25">
      <c r="A2331" s="24">
        <v>2330</v>
      </c>
      <c r="B2331" s="24">
        <v>528650</v>
      </c>
      <c r="C2331" s="24" t="s">
        <v>2847</v>
      </c>
      <c r="D2331" s="24">
        <v>79</v>
      </c>
      <c r="E2331" s="24">
        <v>74</v>
      </c>
    </row>
    <row r="2332" spans="1:5" x14ac:dyDescent="0.25">
      <c r="A2332" s="24">
        <v>2331</v>
      </c>
      <c r="B2332" s="24">
        <v>516597</v>
      </c>
      <c r="C2332" s="24" t="s">
        <v>740</v>
      </c>
      <c r="D2332" s="24">
        <v>44</v>
      </c>
      <c r="E2332" s="24">
        <v>40</v>
      </c>
    </row>
    <row r="2333" spans="1:5" x14ac:dyDescent="0.25">
      <c r="A2333" s="24">
        <v>2332</v>
      </c>
      <c r="B2333" s="24">
        <v>507989</v>
      </c>
      <c r="C2333" s="24" t="s">
        <v>1790</v>
      </c>
      <c r="D2333" s="24">
        <v>7</v>
      </c>
      <c r="E2333" s="24">
        <v>2</v>
      </c>
    </row>
    <row r="2334" spans="1:5" x14ac:dyDescent="0.25">
      <c r="A2334" s="24">
        <v>2333</v>
      </c>
      <c r="B2334" s="24">
        <v>511048</v>
      </c>
      <c r="C2334" s="24" t="s">
        <v>3387</v>
      </c>
      <c r="D2334" s="24">
        <v>36</v>
      </c>
      <c r="E2334" s="24">
        <v>32</v>
      </c>
    </row>
    <row r="2335" spans="1:5" x14ac:dyDescent="0.25">
      <c r="A2335" s="24">
        <v>2334</v>
      </c>
      <c r="B2335" s="24">
        <v>501115</v>
      </c>
      <c r="C2335" s="24" t="s">
        <v>1259</v>
      </c>
      <c r="D2335" s="24">
        <v>25</v>
      </c>
      <c r="E2335" s="24">
        <v>21</v>
      </c>
    </row>
    <row r="2336" spans="1:5" x14ac:dyDescent="0.25">
      <c r="A2336" s="24">
        <v>2335</v>
      </c>
      <c r="B2336" s="24">
        <v>518000</v>
      </c>
      <c r="C2336" s="24" t="s">
        <v>3388</v>
      </c>
      <c r="D2336" s="24">
        <v>42</v>
      </c>
      <c r="E2336" s="24">
        <v>38</v>
      </c>
    </row>
    <row r="2337" spans="1:5" x14ac:dyDescent="0.25">
      <c r="A2337" s="24">
        <v>2336</v>
      </c>
      <c r="B2337" s="24">
        <v>518913</v>
      </c>
      <c r="C2337" s="24" t="s">
        <v>3389</v>
      </c>
      <c r="D2337" s="24">
        <v>21</v>
      </c>
      <c r="E2337" s="24">
        <v>17</v>
      </c>
    </row>
    <row r="2338" spans="1:5" x14ac:dyDescent="0.25">
      <c r="A2338" s="24">
        <v>2337</v>
      </c>
      <c r="B2338" s="24">
        <v>519839</v>
      </c>
      <c r="C2338" s="24" t="s">
        <v>3390</v>
      </c>
      <c r="D2338" s="24">
        <v>56</v>
      </c>
      <c r="E2338" s="24">
        <v>52</v>
      </c>
    </row>
    <row r="2339" spans="1:5" x14ac:dyDescent="0.25">
      <c r="A2339" s="24">
        <v>2338</v>
      </c>
      <c r="B2339" s="24">
        <v>520861</v>
      </c>
      <c r="C2339" s="24" t="s">
        <v>3391</v>
      </c>
      <c r="D2339" s="24">
        <v>60</v>
      </c>
      <c r="E2339" s="24">
        <v>56</v>
      </c>
    </row>
    <row r="2340" spans="1:5" x14ac:dyDescent="0.25">
      <c r="A2340" s="24">
        <v>2339</v>
      </c>
      <c r="B2340" s="24">
        <v>527858</v>
      </c>
      <c r="C2340" s="24" t="s">
        <v>3392</v>
      </c>
      <c r="D2340" s="24">
        <v>67</v>
      </c>
      <c r="E2340" s="24">
        <v>63</v>
      </c>
    </row>
    <row r="2341" spans="1:5" x14ac:dyDescent="0.25">
      <c r="A2341" s="24">
        <v>2340</v>
      </c>
      <c r="B2341" s="24">
        <v>527106</v>
      </c>
      <c r="C2341" s="24" t="s">
        <v>3393</v>
      </c>
      <c r="D2341" s="24">
        <v>67</v>
      </c>
      <c r="E2341" s="24">
        <v>63</v>
      </c>
    </row>
    <row r="2342" spans="1:5" x14ac:dyDescent="0.25">
      <c r="A2342" s="24">
        <v>2341</v>
      </c>
      <c r="B2342" s="24">
        <v>525171</v>
      </c>
      <c r="C2342" s="24" t="s">
        <v>3394</v>
      </c>
      <c r="D2342" s="24">
        <v>62</v>
      </c>
      <c r="E2342" s="24">
        <v>58</v>
      </c>
    </row>
    <row r="2343" spans="1:5" x14ac:dyDescent="0.25">
      <c r="A2343" s="24">
        <v>2342</v>
      </c>
      <c r="B2343" s="24">
        <v>522040</v>
      </c>
      <c r="C2343" s="24" t="s">
        <v>3395</v>
      </c>
      <c r="D2343" s="24">
        <v>74</v>
      </c>
      <c r="E2343" s="24">
        <v>66</v>
      </c>
    </row>
    <row r="2344" spans="1:5" x14ac:dyDescent="0.25">
      <c r="A2344" s="24">
        <v>2343</v>
      </c>
      <c r="B2344" s="24">
        <v>543811</v>
      </c>
      <c r="C2344" s="24" t="s">
        <v>3396</v>
      </c>
      <c r="D2344" s="24">
        <v>79</v>
      </c>
      <c r="E2344" s="24">
        <v>74</v>
      </c>
    </row>
    <row r="2345" spans="1:5" x14ac:dyDescent="0.25">
      <c r="A2345" s="24">
        <v>2344</v>
      </c>
      <c r="B2345" s="24">
        <v>506532</v>
      </c>
      <c r="C2345" s="24" t="s">
        <v>3397</v>
      </c>
      <c r="D2345" s="24">
        <v>24</v>
      </c>
      <c r="E2345" s="24">
        <v>20</v>
      </c>
    </row>
    <row r="2346" spans="1:5" x14ac:dyDescent="0.25">
      <c r="A2346" s="24">
        <v>2345</v>
      </c>
      <c r="B2346" s="24">
        <v>523925</v>
      </c>
      <c r="C2346" s="24" t="s">
        <v>3398</v>
      </c>
      <c r="D2346" s="24">
        <v>61</v>
      </c>
      <c r="E2346" s="24">
        <v>57</v>
      </c>
    </row>
    <row r="2347" spans="1:5" x14ac:dyDescent="0.25">
      <c r="A2347" s="24">
        <v>2346</v>
      </c>
      <c r="B2347" s="24">
        <v>503568</v>
      </c>
      <c r="C2347" s="24" t="s">
        <v>4260</v>
      </c>
      <c r="D2347" s="24">
        <v>28</v>
      </c>
      <c r="E2347" s="24">
        <v>24</v>
      </c>
    </row>
    <row r="2348" spans="1:5" x14ac:dyDescent="0.25">
      <c r="A2348" s="24">
        <v>2347</v>
      </c>
      <c r="B2348" s="24">
        <v>556238</v>
      </c>
      <c r="C2348" s="24" t="s">
        <v>3401</v>
      </c>
      <c r="D2348" s="24">
        <v>30</v>
      </c>
      <c r="E2348" s="24">
        <v>26</v>
      </c>
    </row>
    <row r="2349" spans="1:5" x14ac:dyDescent="0.25">
      <c r="A2349" s="24">
        <v>2348</v>
      </c>
      <c r="B2349" s="24">
        <v>509493</v>
      </c>
      <c r="C2349" s="24" t="s">
        <v>3402</v>
      </c>
      <c r="D2349" s="24">
        <v>33</v>
      </c>
      <c r="E2349" s="24">
        <v>29</v>
      </c>
    </row>
    <row r="2350" spans="1:5" x14ac:dyDescent="0.25">
      <c r="A2350" s="24">
        <v>2349</v>
      </c>
      <c r="B2350" s="24">
        <v>502782</v>
      </c>
      <c r="C2350" s="24" t="s">
        <v>3405</v>
      </c>
      <c r="D2350" s="24">
        <v>26</v>
      </c>
      <c r="E2350" s="24">
        <v>22</v>
      </c>
    </row>
    <row r="2351" spans="1:5" x14ac:dyDescent="0.25">
      <c r="A2351" s="24">
        <v>2350</v>
      </c>
      <c r="B2351" s="24">
        <v>504882</v>
      </c>
      <c r="C2351" s="24" t="s">
        <v>3406</v>
      </c>
      <c r="D2351" s="24">
        <v>13</v>
      </c>
      <c r="E2351" s="24">
        <v>9</v>
      </c>
    </row>
    <row r="2352" spans="1:5" x14ac:dyDescent="0.25">
      <c r="A2352" s="24">
        <v>2351</v>
      </c>
      <c r="B2352" s="24">
        <v>504025</v>
      </c>
      <c r="C2352" s="24" t="s">
        <v>3407</v>
      </c>
      <c r="D2352" s="24">
        <v>29</v>
      </c>
      <c r="E2352" s="24">
        <v>25</v>
      </c>
    </row>
    <row r="2353" spans="1:5" x14ac:dyDescent="0.25">
      <c r="A2353" s="24">
        <v>2352</v>
      </c>
      <c r="B2353" s="24">
        <v>504033</v>
      </c>
      <c r="C2353" s="24" t="s">
        <v>3408</v>
      </c>
      <c r="D2353" s="24">
        <v>10</v>
      </c>
      <c r="E2353" s="24">
        <v>6</v>
      </c>
    </row>
    <row r="2354" spans="1:5" x14ac:dyDescent="0.25">
      <c r="A2354" s="24">
        <v>2353</v>
      </c>
      <c r="B2354" s="24">
        <v>505536</v>
      </c>
      <c r="C2354" s="24" t="s">
        <v>3409</v>
      </c>
      <c r="D2354" s="24">
        <v>30</v>
      </c>
      <c r="E2354" s="24">
        <v>26</v>
      </c>
    </row>
    <row r="2355" spans="1:5" x14ac:dyDescent="0.25">
      <c r="A2355" s="24">
        <v>2354</v>
      </c>
      <c r="B2355" s="24">
        <v>502791</v>
      </c>
      <c r="C2355" s="24" t="s">
        <v>3411</v>
      </c>
      <c r="D2355" s="24">
        <v>26</v>
      </c>
      <c r="E2355" s="24">
        <v>22</v>
      </c>
    </row>
    <row r="2356" spans="1:5" x14ac:dyDescent="0.25">
      <c r="A2356" s="24">
        <v>2355</v>
      </c>
      <c r="B2356" s="24">
        <v>527033</v>
      </c>
      <c r="C2356" s="24" t="s">
        <v>3412</v>
      </c>
      <c r="D2356" s="24">
        <v>65</v>
      </c>
      <c r="E2356" s="24">
        <v>61</v>
      </c>
    </row>
    <row r="2357" spans="1:5" x14ac:dyDescent="0.25">
      <c r="A2357" s="24">
        <v>2356</v>
      </c>
      <c r="B2357" s="24">
        <v>501905</v>
      </c>
      <c r="C2357" s="24" t="s">
        <v>3414</v>
      </c>
      <c r="D2357" s="24">
        <v>9</v>
      </c>
      <c r="E2357" s="24">
        <v>5</v>
      </c>
    </row>
    <row r="2358" spans="1:5" x14ac:dyDescent="0.25">
      <c r="A2358" s="24">
        <v>2357</v>
      </c>
      <c r="B2358" s="24">
        <v>523151</v>
      </c>
      <c r="C2358" s="24" t="s">
        <v>3415</v>
      </c>
      <c r="D2358" s="24">
        <v>75</v>
      </c>
      <c r="E2358" s="24">
        <v>67</v>
      </c>
    </row>
    <row r="2359" spans="1:5" x14ac:dyDescent="0.25">
      <c r="A2359" s="24">
        <v>2358</v>
      </c>
      <c r="B2359" s="24">
        <v>527866</v>
      </c>
      <c r="C2359" s="24" t="s">
        <v>3416</v>
      </c>
      <c r="D2359" s="24">
        <v>66</v>
      </c>
      <c r="E2359" s="24">
        <v>62</v>
      </c>
    </row>
    <row r="2360" spans="1:5" x14ac:dyDescent="0.25">
      <c r="A2360" s="24">
        <v>2359</v>
      </c>
      <c r="B2360" s="24">
        <v>527874</v>
      </c>
      <c r="C2360" s="24" t="s">
        <v>3417</v>
      </c>
      <c r="D2360" s="24">
        <v>67</v>
      </c>
      <c r="E2360" s="24">
        <v>63</v>
      </c>
    </row>
    <row r="2361" spans="1:5" x14ac:dyDescent="0.25">
      <c r="A2361" s="24">
        <v>2360</v>
      </c>
      <c r="B2361" s="24">
        <v>525189</v>
      </c>
      <c r="C2361" s="24" t="s">
        <v>3419</v>
      </c>
      <c r="D2361" s="24">
        <v>62</v>
      </c>
      <c r="E2361" s="24">
        <v>58</v>
      </c>
    </row>
    <row r="2362" spans="1:5" x14ac:dyDescent="0.25">
      <c r="A2362" s="24">
        <v>2361</v>
      </c>
      <c r="B2362" s="24">
        <v>525197</v>
      </c>
      <c r="C2362" s="24" t="s">
        <v>3420</v>
      </c>
      <c r="D2362" s="24">
        <v>62</v>
      </c>
      <c r="E2362" s="24">
        <v>58</v>
      </c>
    </row>
    <row r="2363" spans="1:5" x14ac:dyDescent="0.25">
      <c r="A2363" s="24">
        <v>2362</v>
      </c>
      <c r="B2363" s="24">
        <v>525201</v>
      </c>
      <c r="C2363" s="24" t="s">
        <v>3421</v>
      </c>
      <c r="D2363" s="24">
        <v>62</v>
      </c>
      <c r="E2363" s="24">
        <v>58</v>
      </c>
    </row>
    <row r="2364" spans="1:5" x14ac:dyDescent="0.25">
      <c r="A2364" s="24">
        <v>2363</v>
      </c>
      <c r="B2364" s="24">
        <v>519847</v>
      </c>
      <c r="C2364" s="24" t="s">
        <v>3422</v>
      </c>
      <c r="D2364" s="24">
        <v>56</v>
      </c>
      <c r="E2364" s="24">
        <v>52</v>
      </c>
    </row>
    <row r="2365" spans="1:5" x14ac:dyDescent="0.25">
      <c r="A2365" s="24">
        <v>2364</v>
      </c>
      <c r="B2365" s="24">
        <v>525219</v>
      </c>
      <c r="C2365" s="24" t="s">
        <v>3423</v>
      </c>
      <c r="D2365" s="24">
        <v>63</v>
      </c>
      <c r="E2365" s="24">
        <v>59</v>
      </c>
    </row>
    <row r="2366" spans="1:5" x14ac:dyDescent="0.25">
      <c r="A2366" s="24">
        <v>2365</v>
      </c>
      <c r="B2366" s="24">
        <v>527041</v>
      </c>
      <c r="C2366" s="24" t="s">
        <v>3424</v>
      </c>
      <c r="D2366" s="24">
        <v>65</v>
      </c>
      <c r="E2366" s="24">
        <v>61</v>
      </c>
    </row>
    <row r="2367" spans="1:5" x14ac:dyDescent="0.25">
      <c r="A2367" s="24">
        <v>2366</v>
      </c>
      <c r="B2367" s="24">
        <v>525235</v>
      </c>
      <c r="C2367" s="24" t="s">
        <v>3426</v>
      </c>
      <c r="D2367" s="24">
        <v>63</v>
      </c>
      <c r="E2367" s="24">
        <v>59</v>
      </c>
    </row>
    <row r="2368" spans="1:5" x14ac:dyDescent="0.25">
      <c r="A2368" s="24">
        <v>2367</v>
      </c>
      <c r="B2368" s="24">
        <v>525243</v>
      </c>
      <c r="C2368" s="24" t="s">
        <v>3427</v>
      </c>
      <c r="D2368" s="24">
        <v>63</v>
      </c>
      <c r="E2368" s="24">
        <v>59</v>
      </c>
    </row>
    <row r="2369" spans="1:5" x14ac:dyDescent="0.25">
      <c r="A2369" s="24">
        <v>2368</v>
      </c>
      <c r="B2369" s="24">
        <v>527882</v>
      </c>
      <c r="C2369" s="24" t="s">
        <v>3428</v>
      </c>
      <c r="D2369" s="24">
        <v>67</v>
      </c>
      <c r="E2369" s="24">
        <v>63</v>
      </c>
    </row>
    <row r="2370" spans="1:5" x14ac:dyDescent="0.25">
      <c r="A2370" s="24">
        <v>2369</v>
      </c>
      <c r="B2370" s="24">
        <v>503576</v>
      </c>
      <c r="C2370" s="24" t="s">
        <v>3429</v>
      </c>
      <c r="D2370" s="24">
        <v>28</v>
      </c>
      <c r="E2370" s="24">
        <v>24</v>
      </c>
    </row>
    <row r="2371" spans="1:5" x14ac:dyDescent="0.25">
      <c r="A2371" s="24">
        <v>2370</v>
      </c>
      <c r="B2371" s="24">
        <v>502804</v>
      </c>
      <c r="C2371" s="24" t="s">
        <v>4261</v>
      </c>
      <c r="D2371" s="24">
        <v>26</v>
      </c>
      <c r="E2371" s="24">
        <v>22</v>
      </c>
    </row>
    <row r="2372" spans="1:5" x14ac:dyDescent="0.25">
      <c r="A2372" s="24">
        <v>2371</v>
      </c>
      <c r="B2372" s="24">
        <v>519855</v>
      </c>
      <c r="C2372" s="24" t="s">
        <v>3433</v>
      </c>
      <c r="D2372" s="24">
        <v>56</v>
      </c>
      <c r="E2372" s="24">
        <v>52</v>
      </c>
    </row>
    <row r="2373" spans="1:5" x14ac:dyDescent="0.25">
      <c r="A2373" s="24">
        <v>2372</v>
      </c>
      <c r="B2373" s="24">
        <v>504891</v>
      </c>
      <c r="C2373" s="24" t="s">
        <v>4262</v>
      </c>
      <c r="D2373" s="24">
        <v>13</v>
      </c>
      <c r="E2373" s="24">
        <v>9</v>
      </c>
    </row>
    <row r="2374" spans="1:5" x14ac:dyDescent="0.25">
      <c r="A2374" s="24">
        <v>2373</v>
      </c>
      <c r="B2374" s="24">
        <v>511854</v>
      </c>
      <c r="C2374" s="24" t="s">
        <v>3437</v>
      </c>
      <c r="D2374" s="24">
        <v>48</v>
      </c>
      <c r="E2374" s="24">
        <v>44</v>
      </c>
    </row>
    <row r="2375" spans="1:5" x14ac:dyDescent="0.25">
      <c r="A2375" s="24">
        <v>2374</v>
      </c>
      <c r="B2375" s="24">
        <v>556670</v>
      </c>
      <c r="C2375" s="24" t="s">
        <v>3440</v>
      </c>
      <c r="D2375" s="24">
        <v>15</v>
      </c>
      <c r="E2375" s="24">
        <v>11</v>
      </c>
    </row>
    <row r="2376" spans="1:5" x14ac:dyDescent="0.25">
      <c r="A2376" s="24">
        <v>2375</v>
      </c>
      <c r="B2376" s="24">
        <v>527891</v>
      </c>
      <c r="C2376" s="24" t="s">
        <v>3441</v>
      </c>
      <c r="D2376" s="24">
        <v>67</v>
      </c>
      <c r="E2376" s="24">
        <v>63</v>
      </c>
    </row>
    <row r="2377" spans="1:5" x14ac:dyDescent="0.25">
      <c r="A2377" s="24">
        <v>2376</v>
      </c>
      <c r="B2377" s="24">
        <v>522066</v>
      </c>
      <c r="C2377" s="24" t="s">
        <v>3442</v>
      </c>
      <c r="D2377" s="24">
        <v>74</v>
      </c>
      <c r="E2377" s="24">
        <v>66</v>
      </c>
    </row>
    <row r="2378" spans="1:5" x14ac:dyDescent="0.25">
      <c r="A2378" s="24">
        <v>2377</v>
      </c>
      <c r="B2378" s="24">
        <v>508250</v>
      </c>
      <c r="C2378" s="24" t="s">
        <v>4263</v>
      </c>
      <c r="D2378" s="24">
        <v>7</v>
      </c>
      <c r="E2378" s="24">
        <v>2</v>
      </c>
    </row>
    <row r="2379" spans="1:5" x14ac:dyDescent="0.25">
      <c r="A2379" s="24">
        <v>2378</v>
      </c>
      <c r="B2379" s="24">
        <v>511862</v>
      </c>
      <c r="C2379" s="24" t="s">
        <v>3445</v>
      </c>
      <c r="D2379" s="24">
        <v>48</v>
      </c>
      <c r="E2379" s="24">
        <v>44</v>
      </c>
    </row>
    <row r="2380" spans="1:5" x14ac:dyDescent="0.25">
      <c r="A2380" s="24">
        <v>2379</v>
      </c>
      <c r="B2380" s="24">
        <v>519863</v>
      </c>
      <c r="C2380" s="24" t="s">
        <v>3446</v>
      </c>
      <c r="D2380" s="24">
        <v>56</v>
      </c>
      <c r="E2380" s="24">
        <v>52</v>
      </c>
    </row>
    <row r="2381" spans="1:5" x14ac:dyDescent="0.25">
      <c r="A2381" s="24">
        <v>2380</v>
      </c>
      <c r="B2381" s="24">
        <v>511871</v>
      </c>
      <c r="C2381" s="24" t="s">
        <v>3447</v>
      </c>
      <c r="D2381" s="24">
        <v>48</v>
      </c>
      <c r="E2381" s="24">
        <v>44</v>
      </c>
    </row>
    <row r="2382" spans="1:5" x14ac:dyDescent="0.25">
      <c r="A2382" s="24">
        <v>2381</v>
      </c>
      <c r="B2382" s="24">
        <v>515621</v>
      </c>
      <c r="C2382" s="24" t="s">
        <v>3448</v>
      </c>
      <c r="D2382" s="24">
        <v>51</v>
      </c>
      <c r="E2382" s="24">
        <v>47</v>
      </c>
    </row>
    <row r="2383" spans="1:5" x14ac:dyDescent="0.25">
      <c r="A2383" s="24">
        <v>2382</v>
      </c>
      <c r="B2383" s="24">
        <v>525251</v>
      </c>
      <c r="C2383" s="24" t="s">
        <v>3449</v>
      </c>
      <c r="D2383" s="24">
        <v>62</v>
      </c>
      <c r="E2383" s="24">
        <v>58</v>
      </c>
    </row>
    <row r="2384" spans="1:5" x14ac:dyDescent="0.25">
      <c r="A2384" s="24">
        <v>2383</v>
      </c>
      <c r="B2384" s="24">
        <v>504041</v>
      </c>
      <c r="C2384" s="24" t="s">
        <v>3450</v>
      </c>
      <c r="D2384" s="24">
        <v>10</v>
      </c>
      <c r="E2384" s="24">
        <v>6</v>
      </c>
    </row>
    <row r="2385" spans="1:5" x14ac:dyDescent="0.25">
      <c r="A2385" s="24">
        <v>2384</v>
      </c>
      <c r="B2385" s="24">
        <v>505544</v>
      </c>
      <c r="C2385" s="24" t="s">
        <v>3453</v>
      </c>
      <c r="D2385" s="24">
        <v>16</v>
      </c>
      <c r="E2385" s="24">
        <v>12</v>
      </c>
    </row>
    <row r="2386" spans="1:5" x14ac:dyDescent="0.25">
      <c r="A2386" s="24">
        <v>2385</v>
      </c>
      <c r="B2386" s="24">
        <v>558397</v>
      </c>
      <c r="C2386" s="24" t="s">
        <v>3454</v>
      </c>
      <c r="D2386" s="24">
        <v>12</v>
      </c>
      <c r="E2386" s="24">
        <v>8</v>
      </c>
    </row>
    <row r="2387" spans="1:5" x14ac:dyDescent="0.25">
      <c r="A2387" s="24">
        <v>2386</v>
      </c>
      <c r="B2387" s="24">
        <v>516431</v>
      </c>
      <c r="C2387" s="24" t="s">
        <v>3455</v>
      </c>
      <c r="D2387" s="24">
        <v>52</v>
      </c>
      <c r="E2387" s="24">
        <v>48</v>
      </c>
    </row>
    <row r="2388" spans="1:5" x14ac:dyDescent="0.25">
      <c r="A2388" s="24">
        <v>2387</v>
      </c>
      <c r="B2388" s="24">
        <v>515639</v>
      </c>
      <c r="C2388" s="24" t="s">
        <v>3456</v>
      </c>
      <c r="D2388" s="24">
        <v>51</v>
      </c>
      <c r="E2388" s="24">
        <v>47</v>
      </c>
    </row>
    <row r="2389" spans="1:5" x14ac:dyDescent="0.25">
      <c r="A2389" s="24">
        <v>2388</v>
      </c>
      <c r="B2389" s="24">
        <v>525260</v>
      </c>
      <c r="C2389" s="24" t="s">
        <v>3457</v>
      </c>
      <c r="D2389" s="24">
        <v>62</v>
      </c>
      <c r="E2389" s="24">
        <v>58</v>
      </c>
    </row>
    <row r="2390" spans="1:5" x14ac:dyDescent="0.25">
      <c r="A2390" s="24">
        <v>2389</v>
      </c>
      <c r="B2390" s="24">
        <v>505552</v>
      </c>
      <c r="C2390" s="24" t="s">
        <v>3458</v>
      </c>
      <c r="D2390" s="24">
        <v>16</v>
      </c>
      <c r="E2390" s="24">
        <v>12</v>
      </c>
    </row>
    <row r="2391" spans="1:5" x14ac:dyDescent="0.25">
      <c r="A2391" s="24">
        <v>2390</v>
      </c>
      <c r="B2391" s="24">
        <v>526304</v>
      </c>
      <c r="C2391" s="24" t="s">
        <v>3459</v>
      </c>
      <c r="D2391" s="24">
        <v>50</v>
      </c>
      <c r="E2391" s="24">
        <v>46</v>
      </c>
    </row>
    <row r="2392" spans="1:5" x14ac:dyDescent="0.25">
      <c r="A2392" s="24">
        <v>2391</v>
      </c>
      <c r="B2392" s="24">
        <v>520870</v>
      </c>
      <c r="C2392" s="24" t="s">
        <v>3460</v>
      </c>
      <c r="D2392" s="24">
        <v>64</v>
      </c>
      <c r="E2392" s="24">
        <v>60</v>
      </c>
    </row>
    <row r="2393" spans="1:5" x14ac:dyDescent="0.25">
      <c r="A2393" s="24">
        <v>2392</v>
      </c>
      <c r="B2393" s="24">
        <v>511889</v>
      </c>
      <c r="C2393" s="24" t="s">
        <v>3461</v>
      </c>
      <c r="D2393" s="24">
        <v>49</v>
      </c>
      <c r="E2393" s="24">
        <v>45</v>
      </c>
    </row>
    <row r="2394" spans="1:5" x14ac:dyDescent="0.25">
      <c r="A2394" s="24">
        <v>2393</v>
      </c>
      <c r="B2394" s="24">
        <v>504050</v>
      </c>
      <c r="C2394" s="24" t="s">
        <v>3462</v>
      </c>
      <c r="D2394" s="24">
        <v>10</v>
      </c>
      <c r="E2394" s="24">
        <v>6</v>
      </c>
    </row>
    <row r="2395" spans="1:5" x14ac:dyDescent="0.25">
      <c r="A2395" s="24">
        <v>2394</v>
      </c>
      <c r="B2395" s="24">
        <v>507601</v>
      </c>
      <c r="C2395" s="24" t="s">
        <v>3463</v>
      </c>
      <c r="D2395" s="24">
        <v>15</v>
      </c>
      <c r="E2395" s="24">
        <v>11</v>
      </c>
    </row>
    <row r="2396" spans="1:5" x14ac:dyDescent="0.25">
      <c r="A2396" s="24">
        <v>2395</v>
      </c>
      <c r="B2396" s="24">
        <v>509035</v>
      </c>
      <c r="C2396" s="24" t="s">
        <v>3464</v>
      </c>
      <c r="D2396" s="24">
        <v>43</v>
      </c>
      <c r="E2396" s="24">
        <v>39</v>
      </c>
    </row>
    <row r="2397" spans="1:5" x14ac:dyDescent="0.25">
      <c r="A2397" s="24">
        <v>2396</v>
      </c>
      <c r="B2397" s="24">
        <v>515647</v>
      </c>
      <c r="C2397" s="24" t="s">
        <v>3465</v>
      </c>
      <c r="D2397" s="24">
        <v>51</v>
      </c>
      <c r="E2397" s="24">
        <v>47</v>
      </c>
    </row>
    <row r="2398" spans="1:5" x14ac:dyDescent="0.25">
      <c r="A2398" s="24">
        <v>2397</v>
      </c>
      <c r="B2398" s="24">
        <v>501352</v>
      </c>
      <c r="C2398" s="24" t="s">
        <v>3466</v>
      </c>
      <c r="D2398" s="24">
        <v>25</v>
      </c>
      <c r="E2398" s="24">
        <v>21</v>
      </c>
    </row>
    <row r="2399" spans="1:5" x14ac:dyDescent="0.25">
      <c r="A2399" s="24">
        <v>2398</v>
      </c>
      <c r="B2399" s="24">
        <v>504904</v>
      </c>
      <c r="C2399" s="24" t="s">
        <v>3467</v>
      </c>
      <c r="D2399" s="24">
        <v>13</v>
      </c>
      <c r="E2399" s="24">
        <v>9</v>
      </c>
    </row>
    <row r="2400" spans="1:5" x14ac:dyDescent="0.25">
      <c r="A2400" s="24">
        <v>2399</v>
      </c>
      <c r="B2400" s="24">
        <v>510084</v>
      </c>
      <c r="C2400" s="24" t="s">
        <v>4264</v>
      </c>
      <c r="D2400" s="24">
        <v>41</v>
      </c>
      <c r="E2400" s="24">
        <v>37</v>
      </c>
    </row>
    <row r="2401" spans="1:5" x14ac:dyDescent="0.25">
      <c r="A2401" s="24">
        <v>2400</v>
      </c>
      <c r="B2401" s="24">
        <v>508268</v>
      </c>
      <c r="C2401" s="24" t="s">
        <v>3470</v>
      </c>
      <c r="D2401" s="24">
        <v>7</v>
      </c>
      <c r="E2401" s="24">
        <v>2</v>
      </c>
    </row>
    <row r="2402" spans="1:5" x14ac:dyDescent="0.25">
      <c r="A2402" s="24">
        <v>2401</v>
      </c>
      <c r="B2402" s="24">
        <v>525278</v>
      </c>
      <c r="C2402" s="24" t="s">
        <v>3471</v>
      </c>
      <c r="D2402" s="24">
        <v>62</v>
      </c>
      <c r="E2402" s="24">
        <v>58</v>
      </c>
    </row>
    <row r="2403" spans="1:5" x14ac:dyDescent="0.25">
      <c r="A2403" s="24">
        <v>2402</v>
      </c>
      <c r="B2403" s="24">
        <v>529184</v>
      </c>
      <c r="C2403" s="24" t="s">
        <v>3471</v>
      </c>
      <c r="D2403" s="24">
        <v>68</v>
      </c>
      <c r="E2403" s="24">
        <v>64</v>
      </c>
    </row>
    <row r="2404" spans="1:5" x14ac:dyDescent="0.25">
      <c r="A2404" s="24">
        <v>2403</v>
      </c>
      <c r="B2404" s="24">
        <v>581691</v>
      </c>
      <c r="C2404" s="24" t="s">
        <v>3472</v>
      </c>
      <c r="D2404" s="24">
        <v>27</v>
      </c>
      <c r="E2404" s="24">
        <v>23</v>
      </c>
    </row>
    <row r="2405" spans="1:5" x14ac:dyDescent="0.25">
      <c r="A2405" s="24">
        <v>2404</v>
      </c>
      <c r="B2405" s="24">
        <v>527904</v>
      </c>
      <c r="C2405" s="24" t="s">
        <v>3473</v>
      </c>
      <c r="D2405" s="24">
        <v>67</v>
      </c>
      <c r="E2405" s="24">
        <v>63</v>
      </c>
    </row>
    <row r="2406" spans="1:5" x14ac:dyDescent="0.25">
      <c r="A2406" s="24">
        <v>2405</v>
      </c>
      <c r="B2406" s="24">
        <v>556548</v>
      </c>
      <c r="C2406" s="24" t="s">
        <v>3474</v>
      </c>
      <c r="D2406" s="24">
        <v>12</v>
      </c>
      <c r="E2406" s="24">
        <v>8</v>
      </c>
    </row>
    <row r="2407" spans="1:5" x14ac:dyDescent="0.25">
      <c r="A2407" s="24">
        <v>2406</v>
      </c>
      <c r="B2407" s="24">
        <v>517283</v>
      </c>
      <c r="C2407" s="24" t="s">
        <v>3475</v>
      </c>
      <c r="D2407" s="24">
        <v>44</v>
      </c>
      <c r="E2407" s="24">
        <v>40</v>
      </c>
    </row>
    <row r="2408" spans="1:5" x14ac:dyDescent="0.25">
      <c r="A2408" s="24">
        <v>2407</v>
      </c>
      <c r="B2408" s="24">
        <v>511056</v>
      </c>
      <c r="C2408" s="24" t="s">
        <v>3476</v>
      </c>
      <c r="D2408" s="24">
        <v>39</v>
      </c>
      <c r="E2408" s="24">
        <v>35</v>
      </c>
    </row>
    <row r="2409" spans="1:5" x14ac:dyDescent="0.25">
      <c r="A2409" s="24">
        <v>2408</v>
      </c>
      <c r="B2409" s="24">
        <v>518018</v>
      </c>
      <c r="C2409" s="24" t="s">
        <v>3477</v>
      </c>
      <c r="D2409" s="24">
        <v>32</v>
      </c>
      <c r="E2409" s="24">
        <v>28</v>
      </c>
    </row>
    <row r="2410" spans="1:5" x14ac:dyDescent="0.25">
      <c r="A2410" s="24">
        <v>2409</v>
      </c>
      <c r="B2410" s="24">
        <v>582719</v>
      </c>
      <c r="C2410" s="24" t="s">
        <v>4265</v>
      </c>
      <c r="D2410" s="24">
        <v>27</v>
      </c>
      <c r="E2410" s="24">
        <v>23</v>
      </c>
    </row>
    <row r="2411" spans="1:5" x14ac:dyDescent="0.25">
      <c r="A2411" s="24">
        <v>2410</v>
      </c>
      <c r="B2411" s="24">
        <v>526312</v>
      </c>
      <c r="C2411" s="24" t="s">
        <v>3478</v>
      </c>
      <c r="D2411" s="24">
        <v>76</v>
      </c>
      <c r="E2411" s="24">
        <v>68</v>
      </c>
    </row>
    <row r="2412" spans="1:5" x14ac:dyDescent="0.25">
      <c r="A2412" s="24">
        <v>2411</v>
      </c>
      <c r="B2412" s="24">
        <v>522074</v>
      </c>
      <c r="C2412" s="24" t="s">
        <v>3479</v>
      </c>
      <c r="D2412" s="24">
        <v>74</v>
      </c>
      <c r="E2412" s="24">
        <v>72</v>
      </c>
    </row>
    <row r="2413" spans="1:5" x14ac:dyDescent="0.25">
      <c r="A2413" s="24">
        <v>2412</v>
      </c>
      <c r="B2413" s="24">
        <v>559890</v>
      </c>
      <c r="C2413" s="24" t="s">
        <v>2430</v>
      </c>
      <c r="D2413" s="24">
        <v>61</v>
      </c>
      <c r="E2413" s="24">
        <v>57</v>
      </c>
    </row>
    <row r="2414" spans="1:5" x14ac:dyDescent="0.25">
      <c r="A2414" s="24">
        <v>2413</v>
      </c>
      <c r="B2414" s="24">
        <v>523933</v>
      </c>
      <c r="C2414" s="24" t="s">
        <v>3480</v>
      </c>
      <c r="D2414" s="24">
        <v>61</v>
      </c>
      <c r="E2414" s="24">
        <v>57</v>
      </c>
    </row>
    <row r="2415" spans="1:5" x14ac:dyDescent="0.25">
      <c r="A2415" s="24">
        <v>2414</v>
      </c>
      <c r="B2415" s="24">
        <v>515655</v>
      </c>
      <c r="C2415" s="24" t="s">
        <v>3482</v>
      </c>
      <c r="D2415" s="24">
        <v>51</v>
      </c>
      <c r="E2415" s="24">
        <v>47</v>
      </c>
    </row>
    <row r="2416" spans="1:5" x14ac:dyDescent="0.25">
      <c r="A2416" s="24">
        <v>2415</v>
      </c>
      <c r="B2416" s="24">
        <v>503584</v>
      </c>
      <c r="C2416" s="24" t="s">
        <v>3484</v>
      </c>
      <c r="D2416" s="24">
        <v>28</v>
      </c>
      <c r="E2416" s="24">
        <v>24</v>
      </c>
    </row>
    <row r="2417" spans="1:5" x14ac:dyDescent="0.25">
      <c r="A2417" s="24">
        <v>2416</v>
      </c>
      <c r="B2417" s="24">
        <v>506541</v>
      </c>
      <c r="C2417" s="24" t="s">
        <v>3485</v>
      </c>
      <c r="D2417" s="24">
        <v>24</v>
      </c>
      <c r="E2417" s="24">
        <v>20</v>
      </c>
    </row>
    <row r="2418" spans="1:5" x14ac:dyDescent="0.25">
      <c r="A2418" s="24">
        <v>2417</v>
      </c>
      <c r="B2418" s="24">
        <v>501913</v>
      </c>
      <c r="C2418" s="24" t="s">
        <v>3486</v>
      </c>
      <c r="D2418" s="24">
        <v>9</v>
      </c>
      <c r="E2418" s="24">
        <v>5</v>
      </c>
    </row>
    <row r="2419" spans="1:5" x14ac:dyDescent="0.25">
      <c r="A2419" s="24">
        <v>2418</v>
      </c>
      <c r="B2419" s="24">
        <v>581712</v>
      </c>
      <c r="C2419" s="24" t="s">
        <v>3487</v>
      </c>
      <c r="D2419" s="24">
        <v>42</v>
      </c>
      <c r="E2419" s="24">
        <v>38</v>
      </c>
    </row>
    <row r="2420" spans="1:5" x14ac:dyDescent="0.25">
      <c r="A2420" s="24">
        <v>2419</v>
      </c>
      <c r="B2420" s="24">
        <v>516449</v>
      </c>
      <c r="C2420" s="24" t="s">
        <v>3488</v>
      </c>
      <c r="D2420" s="24">
        <v>52</v>
      </c>
      <c r="E2420" s="24">
        <v>48</v>
      </c>
    </row>
    <row r="2421" spans="1:5" x14ac:dyDescent="0.25">
      <c r="A2421" s="24">
        <v>2420</v>
      </c>
      <c r="B2421" s="24">
        <v>509043</v>
      </c>
      <c r="C2421" s="24" t="s">
        <v>3490</v>
      </c>
      <c r="D2421" s="24">
        <v>45</v>
      </c>
      <c r="E2421" s="24">
        <v>41</v>
      </c>
    </row>
    <row r="2422" spans="1:5" x14ac:dyDescent="0.25">
      <c r="A2422" s="24">
        <v>2421</v>
      </c>
      <c r="B2422" s="24">
        <v>524107</v>
      </c>
      <c r="C2422" s="24" t="s">
        <v>4266</v>
      </c>
      <c r="D2422" s="24">
        <v>61</v>
      </c>
      <c r="E2422" s="24">
        <v>57</v>
      </c>
    </row>
    <row r="2423" spans="1:5" x14ac:dyDescent="0.25">
      <c r="A2423" s="24">
        <v>2422</v>
      </c>
      <c r="B2423" s="24">
        <v>503592</v>
      </c>
      <c r="C2423" s="24" t="s">
        <v>3491</v>
      </c>
      <c r="D2423" s="24">
        <v>28</v>
      </c>
      <c r="E2423" s="24">
        <v>24</v>
      </c>
    </row>
    <row r="2424" spans="1:5" x14ac:dyDescent="0.25">
      <c r="A2424" s="24">
        <v>2423</v>
      </c>
      <c r="B2424" s="24">
        <v>500780</v>
      </c>
      <c r="C2424" s="24" t="s">
        <v>3492</v>
      </c>
      <c r="D2424" s="24">
        <v>27</v>
      </c>
      <c r="E2424" s="24">
        <v>23</v>
      </c>
    </row>
    <row r="2425" spans="1:5" x14ac:dyDescent="0.25">
      <c r="A2425" s="24">
        <v>2424</v>
      </c>
      <c r="B2425" s="24">
        <v>511897</v>
      </c>
      <c r="C2425" s="24" t="s">
        <v>3493</v>
      </c>
      <c r="D2425" s="24">
        <v>48</v>
      </c>
      <c r="E2425" s="24">
        <v>44</v>
      </c>
    </row>
    <row r="2426" spans="1:5" x14ac:dyDescent="0.25">
      <c r="A2426" s="24">
        <v>2425</v>
      </c>
      <c r="B2426" s="24">
        <v>507636</v>
      </c>
      <c r="C2426" s="24" t="s">
        <v>4267</v>
      </c>
      <c r="D2426" s="24">
        <v>15</v>
      </c>
      <c r="E2426" s="24">
        <v>11</v>
      </c>
    </row>
    <row r="2427" spans="1:5" x14ac:dyDescent="0.25">
      <c r="A2427" s="24">
        <v>2426</v>
      </c>
      <c r="B2427" s="24">
        <v>514390</v>
      </c>
      <c r="C2427" s="24" t="s">
        <v>4268</v>
      </c>
      <c r="D2427" s="24">
        <v>22</v>
      </c>
      <c r="E2427" s="24">
        <v>18</v>
      </c>
    </row>
    <row r="2428" spans="1:5" x14ac:dyDescent="0.25">
      <c r="A2428" s="24">
        <v>2427</v>
      </c>
      <c r="B2428" s="24">
        <v>512656</v>
      </c>
      <c r="C2428" s="24" t="s">
        <v>3500</v>
      </c>
      <c r="D2428" s="24">
        <v>37</v>
      </c>
      <c r="E2428" s="24">
        <v>33</v>
      </c>
    </row>
    <row r="2429" spans="1:5" x14ac:dyDescent="0.25">
      <c r="A2429" s="24">
        <v>2428</v>
      </c>
      <c r="B2429" s="24">
        <v>523950</v>
      </c>
      <c r="C2429" s="24" t="s">
        <v>3501</v>
      </c>
      <c r="D2429" s="24">
        <v>61</v>
      </c>
      <c r="E2429" s="24">
        <v>57</v>
      </c>
    </row>
    <row r="2430" spans="1:5" x14ac:dyDescent="0.25">
      <c r="A2430" s="24">
        <v>2429</v>
      </c>
      <c r="B2430" s="24">
        <v>543659</v>
      </c>
      <c r="C2430" s="24" t="s">
        <v>3502</v>
      </c>
      <c r="D2430" s="24">
        <v>69</v>
      </c>
      <c r="E2430" s="24">
        <v>65</v>
      </c>
    </row>
    <row r="2431" spans="1:5" x14ac:dyDescent="0.25">
      <c r="A2431" s="24">
        <v>2430</v>
      </c>
      <c r="B2431" s="24">
        <v>511064</v>
      </c>
      <c r="C2431" s="24" t="s">
        <v>3504</v>
      </c>
      <c r="D2431" s="24">
        <v>39</v>
      </c>
      <c r="E2431" s="24">
        <v>35</v>
      </c>
    </row>
    <row r="2432" spans="1:5" x14ac:dyDescent="0.25">
      <c r="A2432" s="24">
        <v>2431</v>
      </c>
      <c r="B2432" s="24">
        <v>515663</v>
      </c>
      <c r="C2432" s="24" t="s">
        <v>3505</v>
      </c>
      <c r="D2432" s="24">
        <v>51</v>
      </c>
      <c r="E2432" s="24">
        <v>47</v>
      </c>
    </row>
    <row r="2433" spans="1:5" x14ac:dyDescent="0.25">
      <c r="A2433" s="24">
        <v>2432</v>
      </c>
      <c r="B2433" s="24">
        <v>500798</v>
      </c>
      <c r="C2433" s="24" t="s">
        <v>3506</v>
      </c>
      <c r="D2433" s="24">
        <v>27</v>
      </c>
      <c r="E2433" s="24">
        <v>23</v>
      </c>
    </row>
    <row r="2434" spans="1:5" x14ac:dyDescent="0.25">
      <c r="A2434" s="24">
        <v>2433</v>
      </c>
      <c r="B2434" s="24">
        <v>509060</v>
      </c>
      <c r="C2434" s="24" t="s">
        <v>3507</v>
      </c>
      <c r="D2434" s="24">
        <v>43</v>
      </c>
      <c r="E2434" s="24">
        <v>39</v>
      </c>
    </row>
    <row r="2435" spans="1:5" x14ac:dyDescent="0.25">
      <c r="A2435" s="24">
        <v>2434</v>
      </c>
      <c r="B2435" s="24">
        <v>510092</v>
      </c>
      <c r="C2435" s="24" t="s">
        <v>3508</v>
      </c>
      <c r="D2435" s="24">
        <v>38</v>
      </c>
      <c r="E2435" s="24">
        <v>34</v>
      </c>
    </row>
    <row r="2436" spans="1:5" x14ac:dyDescent="0.25">
      <c r="A2436" s="24">
        <v>2435</v>
      </c>
      <c r="B2436" s="24">
        <v>519871</v>
      </c>
      <c r="C2436" s="24" t="s">
        <v>3509</v>
      </c>
      <c r="D2436" s="24">
        <v>56</v>
      </c>
      <c r="E2436" s="24">
        <v>52</v>
      </c>
    </row>
    <row r="2437" spans="1:5" x14ac:dyDescent="0.25">
      <c r="A2437" s="24">
        <v>2436</v>
      </c>
      <c r="B2437" s="24">
        <v>523160</v>
      </c>
      <c r="C2437" s="24" t="s">
        <v>3510</v>
      </c>
      <c r="D2437" s="24">
        <v>77</v>
      </c>
      <c r="E2437" s="24">
        <v>69</v>
      </c>
    </row>
    <row r="2438" spans="1:5" x14ac:dyDescent="0.25">
      <c r="A2438" s="24">
        <v>2437</v>
      </c>
      <c r="B2438" s="24">
        <v>580368</v>
      </c>
      <c r="C2438" s="24" t="s">
        <v>4048</v>
      </c>
      <c r="D2438" s="24">
        <v>61</v>
      </c>
      <c r="E2438" s="24">
        <v>57</v>
      </c>
    </row>
    <row r="2439" spans="1:5" x14ac:dyDescent="0.25">
      <c r="A2439" s="24">
        <v>2438</v>
      </c>
      <c r="B2439" s="24">
        <v>502812</v>
      </c>
      <c r="C2439" s="24" t="s">
        <v>3512</v>
      </c>
      <c r="D2439" s="24">
        <v>26</v>
      </c>
      <c r="E2439" s="24">
        <v>22</v>
      </c>
    </row>
    <row r="2440" spans="1:5" x14ac:dyDescent="0.25">
      <c r="A2440" s="24">
        <v>2439</v>
      </c>
      <c r="B2440" s="24">
        <v>556611</v>
      </c>
      <c r="C2440" s="24" t="s">
        <v>3513</v>
      </c>
      <c r="D2440" s="24">
        <v>11</v>
      </c>
      <c r="E2440" s="24">
        <v>7</v>
      </c>
    </row>
    <row r="2441" spans="1:5" x14ac:dyDescent="0.25">
      <c r="A2441" s="24">
        <v>2440</v>
      </c>
      <c r="B2441" s="24">
        <v>517291</v>
      </c>
      <c r="C2441" s="24" t="s">
        <v>3514</v>
      </c>
      <c r="D2441" s="24">
        <v>54</v>
      </c>
      <c r="E2441" s="24">
        <v>50</v>
      </c>
    </row>
    <row r="2442" spans="1:5" x14ac:dyDescent="0.25">
      <c r="A2442" s="24">
        <v>2441</v>
      </c>
      <c r="B2442" s="24">
        <v>502821</v>
      </c>
      <c r="C2442" s="24" t="s">
        <v>3516</v>
      </c>
      <c r="D2442" s="24">
        <v>26</v>
      </c>
      <c r="E2442" s="24">
        <v>22</v>
      </c>
    </row>
    <row r="2443" spans="1:5" x14ac:dyDescent="0.25">
      <c r="A2443" s="24">
        <v>2442</v>
      </c>
      <c r="B2443" s="24">
        <v>517305</v>
      </c>
      <c r="C2443" s="24" t="s">
        <v>3518</v>
      </c>
      <c r="D2443" s="24">
        <v>31</v>
      </c>
      <c r="E2443" s="24">
        <v>27</v>
      </c>
    </row>
    <row r="2444" spans="1:5" x14ac:dyDescent="0.25">
      <c r="A2444" s="24">
        <v>2443</v>
      </c>
      <c r="B2444" s="24">
        <v>502847</v>
      </c>
      <c r="C2444" s="24" t="s">
        <v>4269</v>
      </c>
      <c r="D2444" s="24">
        <v>26</v>
      </c>
      <c r="E2444" s="24">
        <v>22</v>
      </c>
    </row>
    <row r="2445" spans="1:5" x14ac:dyDescent="0.25">
      <c r="A2445" s="24">
        <v>2444</v>
      </c>
      <c r="B2445" s="24">
        <v>509051</v>
      </c>
      <c r="C2445" s="24" t="s">
        <v>3503</v>
      </c>
      <c r="D2445" s="24">
        <v>45</v>
      </c>
      <c r="E2445" s="24">
        <v>41</v>
      </c>
    </row>
    <row r="2446" spans="1:5" x14ac:dyDescent="0.25">
      <c r="A2446" s="24">
        <v>2445</v>
      </c>
      <c r="B2446" s="24">
        <v>555967</v>
      </c>
      <c r="C2446" s="24" t="s">
        <v>3522</v>
      </c>
      <c r="D2446" s="24">
        <v>27</v>
      </c>
      <c r="E2446" s="24">
        <v>23</v>
      </c>
    </row>
    <row r="2447" spans="1:5" x14ac:dyDescent="0.25">
      <c r="A2447" s="24">
        <v>2446</v>
      </c>
      <c r="B2447" s="24">
        <v>514403</v>
      </c>
      <c r="C2447" s="24" t="s">
        <v>3523</v>
      </c>
      <c r="D2447" s="24">
        <v>22</v>
      </c>
      <c r="E2447" s="24">
        <v>18</v>
      </c>
    </row>
    <row r="2448" spans="1:5" x14ac:dyDescent="0.25">
      <c r="A2448" s="24">
        <v>2447</v>
      </c>
      <c r="B2448" s="24">
        <v>543667</v>
      </c>
      <c r="C2448" s="24" t="s">
        <v>3524</v>
      </c>
      <c r="D2448" s="24">
        <v>78</v>
      </c>
      <c r="E2448" s="24">
        <v>70</v>
      </c>
    </row>
    <row r="2449" spans="1:5" x14ac:dyDescent="0.25">
      <c r="A2449" s="24">
        <v>2448</v>
      </c>
      <c r="B2449" s="24">
        <v>518034</v>
      </c>
      <c r="C2449" s="24" t="s">
        <v>3526</v>
      </c>
      <c r="D2449" s="24">
        <v>42</v>
      </c>
      <c r="E2449" s="24">
        <v>38</v>
      </c>
    </row>
    <row r="2450" spans="1:5" x14ac:dyDescent="0.25">
      <c r="A2450" s="24">
        <v>2449</v>
      </c>
      <c r="B2450" s="24">
        <v>556645</v>
      </c>
      <c r="C2450" s="24" t="s">
        <v>3527</v>
      </c>
      <c r="D2450" s="24">
        <v>11</v>
      </c>
      <c r="E2450" s="24">
        <v>7</v>
      </c>
    </row>
    <row r="2451" spans="1:5" x14ac:dyDescent="0.25">
      <c r="A2451" s="24">
        <v>2450</v>
      </c>
      <c r="B2451" s="24">
        <v>515671</v>
      </c>
      <c r="C2451" s="24" t="s">
        <v>3528</v>
      </c>
      <c r="D2451" s="24">
        <v>51</v>
      </c>
      <c r="E2451" s="24">
        <v>47</v>
      </c>
    </row>
    <row r="2452" spans="1:5" x14ac:dyDescent="0.25">
      <c r="A2452" s="24">
        <v>2451</v>
      </c>
      <c r="B2452" s="24">
        <v>518867</v>
      </c>
      <c r="C2452" s="24" t="s">
        <v>4270</v>
      </c>
      <c r="D2452" s="24">
        <v>47</v>
      </c>
      <c r="E2452" s="24">
        <v>43</v>
      </c>
    </row>
    <row r="2453" spans="1:5" x14ac:dyDescent="0.25">
      <c r="A2453" s="24">
        <v>2452</v>
      </c>
      <c r="B2453" s="24">
        <v>518042</v>
      </c>
      <c r="C2453" s="24" t="s">
        <v>3531</v>
      </c>
      <c r="D2453" s="24">
        <v>42</v>
      </c>
      <c r="E2453" s="24">
        <v>38</v>
      </c>
    </row>
    <row r="2454" spans="1:5" x14ac:dyDescent="0.25">
      <c r="A2454" s="24">
        <v>2453</v>
      </c>
      <c r="B2454" s="24">
        <v>525286</v>
      </c>
      <c r="C2454" s="24" t="s">
        <v>3532</v>
      </c>
      <c r="D2454" s="24">
        <v>62</v>
      </c>
      <c r="E2454" s="24">
        <v>58</v>
      </c>
    </row>
    <row r="2455" spans="1:5" x14ac:dyDescent="0.25">
      <c r="A2455" s="24">
        <v>2454</v>
      </c>
      <c r="B2455" s="24">
        <v>525294</v>
      </c>
      <c r="C2455" s="24" t="s">
        <v>3533</v>
      </c>
      <c r="D2455" s="24">
        <v>62</v>
      </c>
      <c r="E2455" s="24">
        <v>58</v>
      </c>
    </row>
    <row r="2456" spans="1:5" x14ac:dyDescent="0.25">
      <c r="A2456" s="24">
        <v>2455</v>
      </c>
      <c r="B2456" s="24">
        <v>505561</v>
      </c>
      <c r="C2456" s="24" t="s">
        <v>3534</v>
      </c>
      <c r="D2456" s="24">
        <v>30</v>
      </c>
      <c r="E2456" s="24">
        <v>26</v>
      </c>
    </row>
    <row r="2457" spans="1:5" x14ac:dyDescent="0.25">
      <c r="A2457" s="24">
        <v>2456</v>
      </c>
      <c r="B2457" s="24">
        <v>500810</v>
      </c>
      <c r="C2457" s="24" t="s">
        <v>4271</v>
      </c>
      <c r="D2457" s="24">
        <v>31</v>
      </c>
      <c r="E2457" s="24">
        <v>27</v>
      </c>
    </row>
    <row r="2458" spans="1:5" x14ac:dyDescent="0.25">
      <c r="A2458" s="24">
        <v>2457</v>
      </c>
      <c r="B2458" s="24">
        <v>504068</v>
      </c>
      <c r="C2458" s="24" t="s">
        <v>3537</v>
      </c>
      <c r="D2458" s="24">
        <v>29</v>
      </c>
      <c r="E2458" s="24">
        <v>25</v>
      </c>
    </row>
    <row r="2459" spans="1:5" x14ac:dyDescent="0.25">
      <c r="A2459" s="24">
        <v>2458</v>
      </c>
      <c r="B2459" s="24">
        <v>523178</v>
      </c>
      <c r="C2459" s="24" t="s">
        <v>3539</v>
      </c>
      <c r="D2459" s="24">
        <v>77</v>
      </c>
      <c r="E2459" s="24">
        <v>69</v>
      </c>
    </row>
    <row r="2460" spans="1:5" x14ac:dyDescent="0.25">
      <c r="A2460" s="24">
        <v>2459</v>
      </c>
      <c r="B2460" s="24">
        <v>525308</v>
      </c>
      <c r="C2460" s="24" t="s">
        <v>3540</v>
      </c>
      <c r="D2460" s="24">
        <v>63</v>
      </c>
      <c r="E2460" s="24">
        <v>59</v>
      </c>
    </row>
    <row r="2461" spans="1:5" x14ac:dyDescent="0.25">
      <c r="A2461" s="24">
        <v>2460</v>
      </c>
      <c r="B2461" s="24">
        <v>505579</v>
      </c>
      <c r="C2461" s="24" t="s">
        <v>3541</v>
      </c>
      <c r="D2461" s="24">
        <v>16</v>
      </c>
      <c r="E2461" s="24">
        <v>12</v>
      </c>
    </row>
    <row r="2462" spans="1:5" x14ac:dyDescent="0.25">
      <c r="A2462" s="24">
        <v>2461</v>
      </c>
      <c r="B2462" s="24">
        <v>527912</v>
      </c>
      <c r="C2462" s="24" t="s">
        <v>3542</v>
      </c>
      <c r="D2462" s="24">
        <v>66</v>
      </c>
      <c r="E2462" s="24">
        <v>62</v>
      </c>
    </row>
    <row r="2463" spans="1:5" x14ac:dyDescent="0.25">
      <c r="A2463" s="24">
        <v>2462</v>
      </c>
      <c r="B2463" s="24">
        <v>515680</v>
      </c>
      <c r="C2463" s="24" t="s">
        <v>3543</v>
      </c>
      <c r="D2463" s="24">
        <v>51</v>
      </c>
      <c r="E2463" s="24">
        <v>47</v>
      </c>
    </row>
    <row r="2464" spans="1:5" x14ac:dyDescent="0.25">
      <c r="A2464" s="24">
        <v>2463</v>
      </c>
      <c r="B2464" s="24">
        <v>502863</v>
      </c>
      <c r="C2464" s="24" t="s">
        <v>3544</v>
      </c>
      <c r="D2464" s="24">
        <v>26</v>
      </c>
      <c r="E2464" s="24">
        <v>22</v>
      </c>
    </row>
    <row r="2465" spans="1:5" x14ac:dyDescent="0.25">
      <c r="A2465" s="24">
        <v>2464</v>
      </c>
      <c r="B2465" s="24">
        <v>511901</v>
      </c>
      <c r="C2465" s="24" t="s">
        <v>3545</v>
      </c>
      <c r="D2465" s="24">
        <v>48</v>
      </c>
      <c r="E2465" s="24">
        <v>44</v>
      </c>
    </row>
    <row r="2466" spans="1:5" x14ac:dyDescent="0.25">
      <c r="A2466" s="24">
        <v>2465</v>
      </c>
      <c r="B2466" s="24">
        <v>527921</v>
      </c>
      <c r="C2466" s="24" t="s">
        <v>3546</v>
      </c>
      <c r="D2466" s="24">
        <v>66</v>
      </c>
      <c r="E2466" s="24">
        <v>62</v>
      </c>
    </row>
    <row r="2467" spans="1:5" x14ac:dyDescent="0.25">
      <c r="A2467" s="24">
        <v>2466</v>
      </c>
      <c r="B2467" s="24">
        <v>504076</v>
      </c>
      <c r="C2467" s="24" t="s">
        <v>3547</v>
      </c>
      <c r="D2467" s="24">
        <v>10</v>
      </c>
      <c r="E2467" s="24">
        <v>6</v>
      </c>
    </row>
    <row r="2468" spans="1:5" x14ac:dyDescent="0.25">
      <c r="A2468" s="24">
        <v>2467</v>
      </c>
      <c r="B2468" s="24">
        <v>508276</v>
      </c>
      <c r="C2468" s="24" t="s">
        <v>3549</v>
      </c>
      <c r="D2468" s="24">
        <v>8</v>
      </c>
      <c r="E2468" s="24">
        <v>3</v>
      </c>
    </row>
    <row r="2469" spans="1:5" x14ac:dyDescent="0.25">
      <c r="A2469" s="24">
        <v>2468</v>
      </c>
      <c r="B2469" s="24">
        <v>511919</v>
      </c>
      <c r="C2469" s="24" t="s">
        <v>3550</v>
      </c>
      <c r="D2469" s="24">
        <v>48</v>
      </c>
      <c r="E2469" s="24">
        <v>44</v>
      </c>
    </row>
    <row r="2470" spans="1:5" x14ac:dyDescent="0.25">
      <c r="A2470" s="24">
        <v>2469</v>
      </c>
      <c r="B2470" s="24">
        <v>515698</v>
      </c>
      <c r="C2470" s="24" t="s">
        <v>3550</v>
      </c>
      <c r="D2470" s="24">
        <v>51</v>
      </c>
      <c r="E2470" s="24">
        <v>47</v>
      </c>
    </row>
    <row r="2471" spans="1:5" x14ac:dyDescent="0.25">
      <c r="A2471" s="24">
        <v>2470</v>
      </c>
      <c r="B2471" s="24">
        <v>520888</v>
      </c>
      <c r="C2471" s="24" t="s">
        <v>3552</v>
      </c>
      <c r="D2471" s="24">
        <v>64</v>
      </c>
      <c r="E2471" s="24">
        <v>60</v>
      </c>
    </row>
    <row r="2472" spans="1:5" x14ac:dyDescent="0.25">
      <c r="A2472" s="24">
        <v>2471</v>
      </c>
      <c r="B2472" s="24">
        <v>504998</v>
      </c>
      <c r="C2472" s="24" t="s">
        <v>3553</v>
      </c>
      <c r="D2472" s="24">
        <v>30</v>
      </c>
      <c r="E2472" s="24">
        <v>26</v>
      </c>
    </row>
    <row r="2473" spans="1:5" x14ac:dyDescent="0.25">
      <c r="A2473" s="24">
        <v>2472</v>
      </c>
      <c r="B2473" s="24">
        <v>500828</v>
      </c>
      <c r="C2473" s="24" t="s">
        <v>3554</v>
      </c>
      <c r="D2473" s="24">
        <v>31</v>
      </c>
      <c r="E2473" s="24">
        <v>27</v>
      </c>
    </row>
    <row r="2474" spans="1:5" x14ac:dyDescent="0.25">
      <c r="A2474" s="24">
        <v>2473</v>
      </c>
      <c r="B2474" s="24">
        <v>504084</v>
      </c>
      <c r="C2474" s="24" t="s">
        <v>3555</v>
      </c>
      <c r="D2474" s="24">
        <v>10</v>
      </c>
      <c r="E2474" s="24">
        <v>6</v>
      </c>
    </row>
    <row r="2475" spans="1:5" x14ac:dyDescent="0.25">
      <c r="A2475" s="24">
        <v>2474</v>
      </c>
      <c r="B2475" s="24">
        <v>501921</v>
      </c>
      <c r="C2475" s="24" t="s">
        <v>4272</v>
      </c>
      <c r="D2475" s="24">
        <v>9</v>
      </c>
      <c r="E2475" s="24">
        <v>5</v>
      </c>
    </row>
    <row r="2476" spans="1:5" x14ac:dyDescent="0.25">
      <c r="A2476" s="24">
        <v>2475</v>
      </c>
      <c r="B2476" s="24">
        <v>520896</v>
      </c>
      <c r="C2476" s="24" t="s">
        <v>3559</v>
      </c>
      <c r="D2476" s="24">
        <v>57</v>
      </c>
      <c r="E2476" s="24">
        <v>53</v>
      </c>
    </row>
    <row r="2477" spans="1:5" x14ac:dyDescent="0.25">
      <c r="A2477" s="24">
        <v>2476</v>
      </c>
      <c r="B2477" s="24">
        <v>523976</v>
      </c>
      <c r="C2477" s="24" t="s">
        <v>3560</v>
      </c>
      <c r="D2477" s="24">
        <v>58</v>
      </c>
      <c r="E2477" s="24">
        <v>54</v>
      </c>
    </row>
    <row r="2478" spans="1:5" x14ac:dyDescent="0.25">
      <c r="A2478" s="24">
        <v>2477</v>
      </c>
      <c r="B2478" s="24">
        <v>515612</v>
      </c>
      <c r="C2478" s="24" t="s">
        <v>3403</v>
      </c>
      <c r="D2478" s="24">
        <v>50</v>
      </c>
      <c r="E2478" s="24">
        <v>46</v>
      </c>
    </row>
    <row r="2479" spans="1:5" x14ac:dyDescent="0.25">
      <c r="A2479" s="24">
        <v>2478</v>
      </c>
      <c r="B2479" s="24">
        <v>525316</v>
      </c>
      <c r="C2479" s="24" t="s">
        <v>3561</v>
      </c>
      <c r="D2479" s="24">
        <v>63</v>
      </c>
      <c r="E2479" s="24">
        <v>59</v>
      </c>
    </row>
    <row r="2480" spans="1:5" x14ac:dyDescent="0.25">
      <c r="A2480" s="24">
        <v>2479</v>
      </c>
      <c r="B2480" s="24">
        <v>543675</v>
      </c>
      <c r="C2480" s="24" t="s">
        <v>3562</v>
      </c>
      <c r="D2480" s="24">
        <v>59</v>
      </c>
      <c r="E2480" s="24">
        <v>55</v>
      </c>
    </row>
    <row r="2481" spans="1:5" x14ac:dyDescent="0.25">
      <c r="A2481" s="24">
        <v>2480</v>
      </c>
      <c r="B2481" s="24">
        <v>529192</v>
      </c>
      <c r="C2481" s="24" t="s">
        <v>3563</v>
      </c>
      <c r="D2481" s="24">
        <v>68</v>
      </c>
      <c r="E2481" s="24">
        <v>64</v>
      </c>
    </row>
    <row r="2482" spans="1:5" x14ac:dyDescent="0.25">
      <c r="A2482" s="24">
        <v>2481</v>
      </c>
      <c r="B2482" s="24">
        <v>529206</v>
      </c>
      <c r="C2482" s="24" t="s">
        <v>3564</v>
      </c>
      <c r="D2482" s="24">
        <v>68</v>
      </c>
      <c r="E2482" s="24">
        <v>64</v>
      </c>
    </row>
    <row r="2483" spans="1:5" x14ac:dyDescent="0.25">
      <c r="A2483" s="24">
        <v>2482</v>
      </c>
      <c r="B2483" s="24">
        <v>580457</v>
      </c>
      <c r="C2483" s="24" t="s">
        <v>3565</v>
      </c>
      <c r="D2483" s="24">
        <v>30</v>
      </c>
      <c r="E2483" s="24">
        <v>26</v>
      </c>
    </row>
    <row r="2484" spans="1:5" x14ac:dyDescent="0.25">
      <c r="A2484" s="24">
        <v>2483</v>
      </c>
      <c r="B2484" s="24">
        <v>501361</v>
      </c>
      <c r="C2484" s="24" t="s">
        <v>3551</v>
      </c>
      <c r="D2484" s="24">
        <v>25</v>
      </c>
      <c r="E2484" s="24">
        <v>21</v>
      </c>
    </row>
    <row r="2485" spans="1:5" x14ac:dyDescent="0.25">
      <c r="A2485" s="24">
        <v>2484</v>
      </c>
      <c r="B2485" s="24">
        <v>507661</v>
      </c>
      <c r="C2485" s="24" t="s">
        <v>3566</v>
      </c>
      <c r="D2485" s="24">
        <v>11</v>
      </c>
      <c r="E2485" s="24">
        <v>7</v>
      </c>
    </row>
    <row r="2486" spans="1:5" x14ac:dyDescent="0.25">
      <c r="A2486" s="24">
        <v>2485</v>
      </c>
      <c r="B2486" s="24">
        <v>503606</v>
      </c>
      <c r="C2486" s="24" t="s">
        <v>3567</v>
      </c>
      <c r="D2486" s="24">
        <v>28</v>
      </c>
      <c r="E2486" s="24">
        <v>24</v>
      </c>
    </row>
    <row r="2487" spans="1:5" x14ac:dyDescent="0.25">
      <c r="A2487" s="24">
        <v>2486</v>
      </c>
      <c r="B2487" s="24">
        <v>501379</v>
      </c>
      <c r="C2487" s="24" t="s">
        <v>3568</v>
      </c>
      <c r="D2487" s="24">
        <v>25</v>
      </c>
      <c r="E2487" s="24">
        <v>21</v>
      </c>
    </row>
    <row r="2488" spans="1:5" x14ac:dyDescent="0.25">
      <c r="A2488" s="24">
        <v>2487</v>
      </c>
      <c r="B2488" s="24">
        <v>507679</v>
      </c>
      <c r="C2488" s="24" t="s">
        <v>3569</v>
      </c>
      <c r="D2488" s="24">
        <v>12</v>
      </c>
      <c r="E2488" s="24">
        <v>8</v>
      </c>
    </row>
    <row r="2489" spans="1:5" x14ac:dyDescent="0.25">
      <c r="A2489" s="24">
        <v>2488</v>
      </c>
      <c r="B2489" s="24">
        <v>522082</v>
      </c>
      <c r="C2489" s="24" t="s">
        <v>3570</v>
      </c>
      <c r="D2489" s="24">
        <v>74</v>
      </c>
      <c r="E2489" s="24">
        <v>66</v>
      </c>
    </row>
    <row r="2490" spans="1:5" x14ac:dyDescent="0.25">
      <c r="A2490" s="24">
        <v>2489</v>
      </c>
      <c r="B2490" s="24">
        <v>511927</v>
      </c>
      <c r="C2490" s="24" t="s">
        <v>3571</v>
      </c>
      <c r="D2490" s="24">
        <v>48</v>
      </c>
      <c r="E2490" s="24">
        <v>44</v>
      </c>
    </row>
    <row r="2491" spans="1:5" x14ac:dyDescent="0.25">
      <c r="A2491" s="24">
        <v>2490</v>
      </c>
      <c r="B2491" s="24">
        <v>505595</v>
      </c>
      <c r="C2491" s="24" t="s">
        <v>3572</v>
      </c>
      <c r="D2491" s="24">
        <v>16</v>
      </c>
      <c r="E2491" s="24">
        <v>12</v>
      </c>
    </row>
    <row r="2492" spans="1:5" x14ac:dyDescent="0.25">
      <c r="A2492" s="24">
        <v>2491</v>
      </c>
      <c r="B2492" s="24">
        <v>528099</v>
      </c>
      <c r="C2492" s="24" t="s">
        <v>3573</v>
      </c>
      <c r="D2492" s="24">
        <v>79</v>
      </c>
      <c r="E2492" s="24">
        <v>71</v>
      </c>
    </row>
    <row r="2493" spans="1:5" x14ac:dyDescent="0.25">
      <c r="A2493" s="24">
        <v>2492</v>
      </c>
      <c r="B2493" s="24">
        <v>512664</v>
      </c>
      <c r="C2493" s="24" t="s">
        <v>3574</v>
      </c>
      <c r="D2493" s="24">
        <v>37</v>
      </c>
      <c r="E2493" s="24">
        <v>33</v>
      </c>
    </row>
    <row r="2494" spans="1:5" x14ac:dyDescent="0.25">
      <c r="A2494" s="24">
        <v>2493</v>
      </c>
      <c r="B2494" s="24">
        <v>516457</v>
      </c>
      <c r="C2494" s="24" t="s">
        <v>3575</v>
      </c>
      <c r="D2494" s="24">
        <v>52</v>
      </c>
      <c r="E2494" s="24">
        <v>48</v>
      </c>
    </row>
    <row r="2495" spans="1:5" x14ac:dyDescent="0.25">
      <c r="A2495" s="24">
        <v>2494</v>
      </c>
      <c r="B2495" s="24">
        <v>557340</v>
      </c>
      <c r="C2495" s="24" t="s">
        <v>3576</v>
      </c>
      <c r="D2495" s="24">
        <v>48</v>
      </c>
      <c r="E2495" s="24">
        <v>44</v>
      </c>
    </row>
    <row r="2496" spans="1:5" x14ac:dyDescent="0.25">
      <c r="A2496" s="24">
        <v>2495</v>
      </c>
      <c r="B2496" s="24">
        <v>506559</v>
      </c>
      <c r="C2496" s="24" t="s">
        <v>3577</v>
      </c>
      <c r="D2496" s="24">
        <v>24</v>
      </c>
      <c r="E2496" s="24">
        <v>20</v>
      </c>
    </row>
    <row r="2497" spans="1:5" x14ac:dyDescent="0.25">
      <c r="A2497" s="24">
        <v>2496</v>
      </c>
      <c r="B2497" s="24">
        <v>506567</v>
      </c>
      <c r="C2497" s="24" t="s">
        <v>3578</v>
      </c>
      <c r="D2497" s="24">
        <v>24</v>
      </c>
      <c r="E2497" s="24">
        <v>20</v>
      </c>
    </row>
    <row r="2498" spans="1:5" x14ac:dyDescent="0.25">
      <c r="A2498" s="24">
        <v>2497</v>
      </c>
      <c r="B2498" s="24">
        <v>506583</v>
      </c>
      <c r="C2498" s="24" t="s">
        <v>3579</v>
      </c>
      <c r="D2498" s="24">
        <v>19</v>
      </c>
      <c r="E2498" s="24">
        <v>15</v>
      </c>
    </row>
    <row r="2499" spans="1:5" x14ac:dyDescent="0.25">
      <c r="A2499" s="24">
        <v>2498</v>
      </c>
      <c r="B2499" s="24">
        <v>506591</v>
      </c>
      <c r="C2499" s="24" t="s">
        <v>3580</v>
      </c>
      <c r="D2499" s="24">
        <v>24</v>
      </c>
      <c r="E2499" s="24">
        <v>20</v>
      </c>
    </row>
    <row r="2500" spans="1:5" x14ac:dyDescent="0.25">
      <c r="A2500" s="24">
        <v>2499</v>
      </c>
      <c r="B2500" s="24">
        <v>506605</v>
      </c>
      <c r="C2500" s="24" t="s">
        <v>3581</v>
      </c>
      <c r="D2500" s="24">
        <v>24</v>
      </c>
      <c r="E2500" s="24">
        <v>20</v>
      </c>
    </row>
    <row r="2501" spans="1:5" x14ac:dyDescent="0.25">
      <c r="A2501" s="24">
        <v>2500</v>
      </c>
      <c r="B2501" s="24">
        <v>545741</v>
      </c>
      <c r="C2501" s="24" t="s">
        <v>4273</v>
      </c>
      <c r="D2501" s="24">
        <v>24</v>
      </c>
      <c r="E2501" s="24">
        <v>20</v>
      </c>
    </row>
    <row r="2502" spans="1:5" x14ac:dyDescent="0.25">
      <c r="A2502" s="24">
        <v>2501</v>
      </c>
      <c r="B2502" s="24">
        <v>506613</v>
      </c>
      <c r="C2502" s="24" t="s">
        <v>3582</v>
      </c>
      <c r="D2502" s="24">
        <v>24</v>
      </c>
      <c r="E2502" s="24">
        <v>20</v>
      </c>
    </row>
    <row r="2503" spans="1:5" x14ac:dyDescent="0.25">
      <c r="A2503" s="24">
        <v>2502</v>
      </c>
      <c r="B2503" s="24">
        <v>505820</v>
      </c>
      <c r="C2503" s="24" t="s">
        <v>3583</v>
      </c>
      <c r="D2503" s="24">
        <v>24</v>
      </c>
      <c r="E2503" s="24">
        <v>20</v>
      </c>
    </row>
    <row r="2504" spans="1:5" x14ac:dyDescent="0.25">
      <c r="A2504" s="24">
        <v>2503</v>
      </c>
      <c r="B2504" s="24">
        <v>555576</v>
      </c>
      <c r="C2504" s="24" t="s">
        <v>3586</v>
      </c>
      <c r="D2504" s="24">
        <v>9</v>
      </c>
      <c r="E2504" s="24">
        <v>5</v>
      </c>
    </row>
    <row r="2505" spans="1:5" x14ac:dyDescent="0.25">
      <c r="A2505" s="24">
        <v>2504</v>
      </c>
      <c r="B2505" s="24">
        <v>523186</v>
      </c>
      <c r="C2505" s="24" t="s">
        <v>3587</v>
      </c>
      <c r="D2505" s="24">
        <v>75</v>
      </c>
      <c r="E2505" s="24">
        <v>67</v>
      </c>
    </row>
    <row r="2506" spans="1:5" x14ac:dyDescent="0.25">
      <c r="A2506" s="24">
        <v>2505</v>
      </c>
      <c r="B2506" s="24">
        <v>506745</v>
      </c>
      <c r="C2506" s="24" t="s">
        <v>3590</v>
      </c>
      <c r="D2506" s="24">
        <v>15</v>
      </c>
      <c r="E2506" s="24">
        <v>11</v>
      </c>
    </row>
    <row r="2507" spans="1:5" x14ac:dyDescent="0.25">
      <c r="A2507" s="24">
        <v>2506</v>
      </c>
      <c r="B2507" s="24">
        <v>517313</v>
      </c>
      <c r="C2507" s="24" t="s">
        <v>3591</v>
      </c>
      <c r="D2507" s="24">
        <v>55</v>
      </c>
      <c r="E2507" s="24">
        <v>51</v>
      </c>
    </row>
    <row r="2508" spans="1:5" x14ac:dyDescent="0.25">
      <c r="A2508" s="24">
        <v>2507</v>
      </c>
      <c r="B2508" s="24">
        <v>523194</v>
      </c>
      <c r="C2508" s="24" t="s">
        <v>3592</v>
      </c>
      <c r="D2508" s="24">
        <v>75</v>
      </c>
      <c r="E2508" s="24">
        <v>67</v>
      </c>
    </row>
    <row r="2509" spans="1:5" x14ac:dyDescent="0.25">
      <c r="A2509" s="24">
        <v>2508</v>
      </c>
      <c r="B2509" s="24">
        <v>501956</v>
      </c>
      <c r="C2509" s="24" t="s">
        <v>944</v>
      </c>
      <c r="D2509" s="24">
        <v>9</v>
      </c>
      <c r="E2509" s="24">
        <v>5</v>
      </c>
    </row>
    <row r="2510" spans="1:5" x14ac:dyDescent="0.25">
      <c r="A2510" s="24">
        <v>2509</v>
      </c>
      <c r="B2510" s="24">
        <v>543829</v>
      </c>
      <c r="C2510" s="24" t="s">
        <v>944</v>
      </c>
      <c r="D2510" s="24">
        <v>79</v>
      </c>
      <c r="E2510" s="24">
        <v>71</v>
      </c>
    </row>
    <row r="2511" spans="1:5" x14ac:dyDescent="0.25">
      <c r="A2511" s="24">
        <v>2510</v>
      </c>
      <c r="B2511" s="24">
        <v>518875</v>
      </c>
      <c r="C2511" s="24" t="s">
        <v>3595</v>
      </c>
      <c r="D2511" s="24">
        <v>53</v>
      </c>
      <c r="E2511" s="24">
        <v>49</v>
      </c>
    </row>
    <row r="2512" spans="1:5" x14ac:dyDescent="0.25">
      <c r="A2512" s="24">
        <v>2511</v>
      </c>
      <c r="B2512" s="24">
        <v>525324</v>
      </c>
      <c r="C2512" s="24" t="s">
        <v>3596</v>
      </c>
      <c r="D2512" s="24">
        <v>62</v>
      </c>
      <c r="E2512" s="24">
        <v>58</v>
      </c>
    </row>
    <row r="2513" spans="1:5" x14ac:dyDescent="0.25">
      <c r="A2513" s="24">
        <v>2512</v>
      </c>
      <c r="B2513" s="24">
        <v>504912</v>
      </c>
      <c r="C2513" s="24" t="s">
        <v>3598</v>
      </c>
      <c r="D2513" s="24">
        <v>14</v>
      </c>
      <c r="E2513" s="24">
        <v>10</v>
      </c>
    </row>
    <row r="2514" spans="1:5" x14ac:dyDescent="0.25">
      <c r="A2514" s="24">
        <v>2513</v>
      </c>
      <c r="B2514" s="24">
        <v>504092</v>
      </c>
      <c r="C2514" s="24" t="s">
        <v>3600</v>
      </c>
      <c r="D2514" s="24">
        <v>29</v>
      </c>
      <c r="E2514" s="24">
        <v>25</v>
      </c>
    </row>
    <row r="2515" spans="1:5" x14ac:dyDescent="0.25">
      <c r="A2515" s="24">
        <v>2514</v>
      </c>
      <c r="B2515" s="24">
        <v>512672</v>
      </c>
      <c r="C2515" s="24" t="s">
        <v>3601</v>
      </c>
      <c r="D2515" s="24">
        <v>37</v>
      </c>
      <c r="E2515" s="24">
        <v>33</v>
      </c>
    </row>
    <row r="2516" spans="1:5" x14ac:dyDescent="0.25">
      <c r="A2516" s="24">
        <v>2515</v>
      </c>
      <c r="B2516" s="24">
        <v>519880</v>
      </c>
      <c r="C2516" s="24" t="s">
        <v>3602</v>
      </c>
      <c r="D2516" s="24">
        <v>56</v>
      </c>
      <c r="E2516" s="24">
        <v>52</v>
      </c>
    </row>
    <row r="2517" spans="1:5" x14ac:dyDescent="0.25">
      <c r="A2517" s="24">
        <v>2516</v>
      </c>
      <c r="B2517" s="24">
        <v>518883</v>
      </c>
      <c r="C2517" s="24" t="s">
        <v>3603</v>
      </c>
      <c r="D2517" s="24">
        <v>47</v>
      </c>
      <c r="E2517" s="24">
        <v>43</v>
      </c>
    </row>
    <row r="2518" spans="1:5" x14ac:dyDescent="0.25">
      <c r="A2518" s="24">
        <v>2517</v>
      </c>
      <c r="B2518" s="24">
        <v>522091</v>
      </c>
      <c r="C2518" s="24" t="s">
        <v>3604</v>
      </c>
      <c r="D2518" s="24">
        <v>74</v>
      </c>
      <c r="E2518" s="24">
        <v>66</v>
      </c>
    </row>
    <row r="2519" spans="1:5" x14ac:dyDescent="0.25">
      <c r="A2519" s="24">
        <v>2518</v>
      </c>
      <c r="B2519" s="24">
        <v>510106</v>
      </c>
      <c r="C2519" s="24" t="s">
        <v>3605</v>
      </c>
      <c r="D2519" s="24">
        <v>41</v>
      </c>
      <c r="E2519" s="24">
        <v>37</v>
      </c>
    </row>
    <row r="2520" spans="1:5" x14ac:dyDescent="0.25">
      <c r="A2520" s="24">
        <v>2519</v>
      </c>
      <c r="B2520" s="24">
        <v>501964</v>
      </c>
      <c r="C2520" s="24" t="s">
        <v>3606</v>
      </c>
      <c r="D2520" s="24">
        <v>9</v>
      </c>
      <c r="E2520" s="24">
        <v>5</v>
      </c>
    </row>
    <row r="2521" spans="1:5" x14ac:dyDescent="0.25">
      <c r="A2521" s="24">
        <v>2520</v>
      </c>
      <c r="B2521" s="24">
        <v>511072</v>
      </c>
      <c r="C2521" s="24" t="s">
        <v>3607</v>
      </c>
      <c r="D2521" s="24">
        <v>36</v>
      </c>
      <c r="E2521" s="24">
        <v>32</v>
      </c>
    </row>
    <row r="2522" spans="1:5" x14ac:dyDescent="0.25">
      <c r="A2522" s="24">
        <v>2521</v>
      </c>
      <c r="B2522" s="24">
        <v>522104</v>
      </c>
      <c r="C2522" s="24" t="s">
        <v>3608</v>
      </c>
      <c r="D2522" s="24">
        <v>74</v>
      </c>
      <c r="E2522" s="24">
        <v>66</v>
      </c>
    </row>
    <row r="2523" spans="1:5" x14ac:dyDescent="0.25">
      <c r="A2523" s="24">
        <v>2522</v>
      </c>
      <c r="B2523" s="24">
        <v>504106</v>
      </c>
      <c r="C2523" s="24" t="s">
        <v>3609</v>
      </c>
      <c r="D2523" s="24">
        <v>10</v>
      </c>
      <c r="E2523" s="24">
        <v>6</v>
      </c>
    </row>
    <row r="2524" spans="1:5" x14ac:dyDescent="0.25">
      <c r="A2524" s="24">
        <v>2523</v>
      </c>
      <c r="B2524" s="24">
        <v>507687</v>
      </c>
      <c r="C2524" s="24" t="s">
        <v>3611</v>
      </c>
      <c r="D2524" s="24">
        <v>15</v>
      </c>
      <c r="E2524" s="24">
        <v>11</v>
      </c>
    </row>
    <row r="2525" spans="1:5" x14ac:dyDescent="0.25">
      <c r="A2525" s="24">
        <v>2524</v>
      </c>
      <c r="B2525" s="24">
        <v>511943</v>
      </c>
      <c r="C2525" s="24" t="s">
        <v>3613</v>
      </c>
      <c r="D2525" s="24">
        <v>48</v>
      </c>
      <c r="E2525" s="24">
        <v>44</v>
      </c>
    </row>
    <row r="2526" spans="1:5" x14ac:dyDescent="0.25">
      <c r="A2526" s="24">
        <v>2525</v>
      </c>
      <c r="B2526" s="24">
        <v>525332</v>
      </c>
      <c r="C2526" s="24" t="s">
        <v>3614</v>
      </c>
      <c r="D2526" s="24">
        <v>62</v>
      </c>
      <c r="E2526" s="24">
        <v>58</v>
      </c>
    </row>
    <row r="2527" spans="1:5" x14ac:dyDescent="0.25">
      <c r="A2527" s="24">
        <v>2526</v>
      </c>
      <c r="B2527" s="24">
        <v>513725</v>
      </c>
      <c r="C2527" s="24" t="s">
        <v>3615</v>
      </c>
      <c r="D2527" s="24">
        <v>17</v>
      </c>
      <c r="E2527" s="24">
        <v>13</v>
      </c>
    </row>
    <row r="2528" spans="1:5" x14ac:dyDescent="0.25">
      <c r="A2528" s="24">
        <v>2527</v>
      </c>
      <c r="B2528" s="24">
        <v>525341</v>
      </c>
      <c r="C2528" s="24" t="s">
        <v>3616</v>
      </c>
      <c r="D2528" s="24">
        <v>62</v>
      </c>
      <c r="E2528" s="24">
        <v>58</v>
      </c>
    </row>
    <row r="2529" spans="1:5" x14ac:dyDescent="0.25">
      <c r="A2529" s="24">
        <v>2528</v>
      </c>
      <c r="B2529" s="24">
        <v>502871</v>
      </c>
      <c r="C2529" s="24" t="s">
        <v>3618</v>
      </c>
      <c r="D2529" s="24">
        <v>26</v>
      </c>
      <c r="E2529" s="24">
        <v>22</v>
      </c>
    </row>
    <row r="2530" spans="1:5" x14ac:dyDescent="0.25">
      <c r="A2530" s="24">
        <v>2529</v>
      </c>
      <c r="B2530" s="24">
        <v>502880</v>
      </c>
      <c r="C2530" s="24" t="s">
        <v>3619</v>
      </c>
      <c r="D2530" s="24">
        <v>26</v>
      </c>
      <c r="E2530" s="24">
        <v>22</v>
      </c>
    </row>
    <row r="2531" spans="1:5" x14ac:dyDescent="0.25">
      <c r="A2531" s="24">
        <v>2530</v>
      </c>
      <c r="B2531" s="24">
        <v>512681</v>
      </c>
      <c r="C2531" s="24" t="s">
        <v>3621</v>
      </c>
      <c r="D2531" s="24">
        <v>37</v>
      </c>
      <c r="E2531" s="24">
        <v>33</v>
      </c>
    </row>
    <row r="2532" spans="1:5" x14ac:dyDescent="0.25">
      <c r="A2532" s="24">
        <v>2531</v>
      </c>
      <c r="B2532" s="24">
        <v>527939</v>
      </c>
      <c r="C2532" s="24" t="s">
        <v>3622</v>
      </c>
      <c r="D2532" s="24">
        <v>66</v>
      </c>
      <c r="E2532" s="24">
        <v>62</v>
      </c>
    </row>
    <row r="2533" spans="1:5" x14ac:dyDescent="0.25">
      <c r="A2533" s="24">
        <v>2532</v>
      </c>
      <c r="B2533" s="24">
        <v>520900</v>
      </c>
      <c r="C2533" s="24" t="s">
        <v>3624</v>
      </c>
      <c r="D2533" s="24">
        <v>57</v>
      </c>
      <c r="E2533" s="24">
        <v>53</v>
      </c>
    </row>
    <row r="2534" spans="1:5" x14ac:dyDescent="0.25">
      <c r="A2534" s="24">
        <v>2533</v>
      </c>
      <c r="B2534" s="24">
        <v>512699</v>
      </c>
      <c r="C2534" s="24" t="s">
        <v>4274</v>
      </c>
      <c r="D2534" s="24">
        <v>40</v>
      </c>
      <c r="E2534" s="24">
        <v>36</v>
      </c>
    </row>
    <row r="2535" spans="1:5" x14ac:dyDescent="0.25">
      <c r="A2535" s="24">
        <v>2534</v>
      </c>
      <c r="B2535" s="24">
        <v>556271</v>
      </c>
      <c r="C2535" s="24" t="s">
        <v>3627</v>
      </c>
      <c r="D2535" s="24">
        <v>20</v>
      </c>
      <c r="E2535" s="24">
        <v>16</v>
      </c>
    </row>
    <row r="2536" spans="1:5" x14ac:dyDescent="0.25">
      <c r="A2536" s="24">
        <v>2535</v>
      </c>
      <c r="B2536" s="24">
        <v>512702</v>
      </c>
      <c r="C2536" s="24" t="s">
        <v>3628</v>
      </c>
      <c r="D2536" s="24">
        <v>37</v>
      </c>
      <c r="E2536" s="24">
        <v>33</v>
      </c>
    </row>
    <row r="2537" spans="1:5" x14ac:dyDescent="0.25">
      <c r="A2537" s="24">
        <v>2536</v>
      </c>
      <c r="B2537" s="24">
        <v>545961</v>
      </c>
      <c r="C2537" s="24" t="s">
        <v>1521</v>
      </c>
      <c r="D2537" s="24">
        <v>37</v>
      </c>
      <c r="E2537" s="24">
        <v>33</v>
      </c>
    </row>
    <row r="2538" spans="1:5" x14ac:dyDescent="0.25">
      <c r="A2538" s="24">
        <v>2537</v>
      </c>
      <c r="B2538" s="24">
        <v>512711</v>
      </c>
      <c r="C2538" s="24" t="s">
        <v>3629</v>
      </c>
      <c r="D2538" s="24">
        <v>37</v>
      </c>
      <c r="E2538" s="24">
        <v>33</v>
      </c>
    </row>
    <row r="2539" spans="1:5" x14ac:dyDescent="0.25">
      <c r="A2539" s="24">
        <v>2538</v>
      </c>
      <c r="B2539" s="24">
        <v>512729</v>
      </c>
      <c r="C2539" s="24" t="s">
        <v>3630</v>
      </c>
      <c r="D2539" s="24">
        <v>40</v>
      </c>
      <c r="E2539" s="24">
        <v>36</v>
      </c>
    </row>
    <row r="2540" spans="1:5" x14ac:dyDescent="0.25">
      <c r="A2540" s="24">
        <v>2539</v>
      </c>
      <c r="B2540" s="24">
        <v>512737</v>
      </c>
      <c r="C2540" s="24" t="s">
        <v>3631</v>
      </c>
      <c r="D2540" s="24">
        <v>37</v>
      </c>
      <c r="E2540" s="24">
        <v>33</v>
      </c>
    </row>
    <row r="2541" spans="1:5" x14ac:dyDescent="0.25">
      <c r="A2541" s="24">
        <v>2540</v>
      </c>
      <c r="B2541" s="24">
        <v>512753</v>
      </c>
      <c r="C2541" s="24" t="s">
        <v>3633</v>
      </c>
      <c r="D2541" s="24">
        <v>37</v>
      </c>
      <c r="E2541" s="24">
        <v>33</v>
      </c>
    </row>
    <row r="2542" spans="1:5" x14ac:dyDescent="0.25">
      <c r="A2542" s="24">
        <v>2541</v>
      </c>
      <c r="B2542" s="24">
        <v>526321</v>
      </c>
      <c r="C2542" s="24" t="s">
        <v>3634</v>
      </c>
      <c r="D2542" s="24">
        <v>50</v>
      </c>
      <c r="E2542" s="24">
        <v>46</v>
      </c>
    </row>
    <row r="2543" spans="1:5" x14ac:dyDescent="0.25">
      <c r="A2543" s="24">
        <v>2542</v>
      </c>
      <c r="B2543" s="24">
        <v>557269</v>
      </c>
      <c r="C2543" s="24" t="s">
        <v>3324</v>
      </c>
      <c r="D2543" s="24">
        <v>43</v>
      </c>
      <c r="E2543" s="24">
        <v>39</v>
      </c>
    </row>
    <row r="2544" spans="1:5" x14ac:dyDescent="0.25">
      <c r="A2544" s="24">
        <v>2543</v>
      </c>
      <c r="B2544" s="24">
        <v>508284</v>
      </c>
      <c r="C2544" s="24" t="s">
        <v>3635</v>
      </c>
      <c r="D2544" s="24">
        <v>8</v>
      </c>
      <c r="E2544" s="24">
        <v>3</v>
      </c>
    </row>
    <row r="2545" spans="1:5" x14ac:dyDescent="0.25">
      <c r="A2545" s="24">
        <v>2544</v>
      </c>
      <c r="B2545" s="24">
        <v>518051</v>
      </c>
      <c r="C2545" s="24" t="s">
        <v>3638</v>
      </c>
      <c r="D2545" s="24">
        <v>42</v>
      </c>
      <c r="E2545" s="24">
        <v>38</v>
      </c>
    </row>
    <row r="2546" spans="1:5" x14ac:dyDescent="0.25">
      <c r="A2546" s="24">
        <v>2545</v>
      </c>
      <c r="B2546" s="24">
        <v>507407</v>
      </c>
      <c r="C2546" s="24" t="s">
        <v>3639</v>
      </c>
      <c r="D2546" s="24">
        <v>39</v>
      </c>
      <c r="E2546" s="24">
        <v>35</v>
      </c>
    </row>
    <row r="2547" spans="1:5" x14ac:dyDescent="0.25">
      <c r="A2547" s="24">
        <v>2546</v>
      </c>
      <c r="B2547" s="24">
        <v>559784</v>
      </c>
      <c r="C2547" s="24" t="s">
        <v>3640</v>
      </c>
      <c r="D2547" s="24">
        <v>74</v>
      </c>
      <c r="E2547" s="24">
        <v>72</v>
      </c>
    </row>
    <row r="2548" spans="1:5" x14ac:dyDescent="0.25">
      <c r="A2548" s="24">
        <v>2547</v>
      </c>
      <c r="B2548" s="24">
        <v>521779</v>
      </c>
      <c r="C2548" s="24" t="s">
        <v>2636</v>
      </c>
      <c r="D2548" s="24">
        <v>74</v>
      </c>
      <c r="E2548" s="24">
        <v>72</v>
      </c>
    </row>
    <row r="2549" spans="1:5" x14ac:dyDescent="0.25">
      <c r="A2549" s="24">
        <v>2548</v>
      </c>
      <c r="B2549" s="24">
        <v>518891</v>
      </c>
      <c r="C2549" s="24" t="s">
        <v>3641</v>
      </c>
      <c r="D2549" s="24">
        <v>53</v>
      </c>
      <c r="E2549" s="24">
        <v>49</v>
      </c>
    </row>
    <row r="2550" spans="1:5" x14ac:dyDescent="0.25">
      <c r="A2550" s="24">
        <v>2549</v>
      </c>
      <c r="B2550" s="24">
        <v>509507</v>
      </c>
      <c r="C2550" s="24" t="s">
        <v>3643</v>
      </c>
      <c r="D2550" s="24">
        <v>33</v>
      </c>
      <c r="E2550" s="24">
        <v>29</v>
      </c>
    </row>
    <row r="2551" spans="1:5" x14ac:dyDescent="0.25">
      <c r="A2551" s="24">
        <v>2550</v>
      </c>
      <c r="B2551" s="24">
        <v>523208</v>
      </c>
      <c r="C2551" s="24" t="s">
        <v>3644</v>
      </c>
      <c r="D2551" s="24">
        <v>75</v>
      </c>
      <c r="E2551" s="24">
        <v>67</v>
      </c>
    </row>
    <row r="2552" spans="1:5" x14ac:dyDescent="0.25">
      <c r="A2552" s="24">
        <v>2551</v>
      </c>
      <c r="B2552" s="24">
        <v>523216</v>
      </c>
      <c r="C2552" s="24" t="s">
        <v>3645</v>
      </c>
      <c r="D2552" s="24">
        <v>75</v>
      </c>
      <c r="E2552" s="24">
        <v>67</v>
      </c>
    </row>
    <row r="2553" spans="1:5" x14ac:dyDescent="0.25">
      <c r="A2553" s="24">
        <v>2552</v>
      </c>
      <c r="B2553" s="24">
        <v>514411</v>
      </c>
      <c r="C2553" s="24" t="s">
        <v>3646</v>
      </c>
      <c r="D2553" s="24">
        <v>22</v>
      </c>
      <c r="E2553" s="24">
        <v>18</v>
      </c>
    </row>
    <row r="2554" spans="1:5" x14ac:dyDescent="0.25">
      <c r="A2554" s="24">
        <v>2553</v>
      </c>
      <c r="B2554" s="24">
        <v>523984</v>
      </c>
      <c r="C2554" s="24" t="s">
        <v>3647</v>
      </c>
      <c r="D2554" s="24">
        <v>58</v>
      </c>
      <c r="E2554" s="24">
        <v>54</v>
      </c>
    </row>
    <row r="2555" spans="1:5" x14ac:dyDescent="0.25">
      <c r="A2555" s="24">
        <v>2554</v>
      </c>
      <c r="B2555" s="24">
        <v>505617</v>
      </c>
      <c r="C2555" s="24" t="s">
        <v>3648</v>
      </c>
      <c r="D2555" s="24">
        <v>30</v>
      </c>
      <c r="E2555" s="24">
        <v>26</v>
      </c>
    </row>
    <row r="2556" spans="1:5" x14ac:dyDescent="0.25">
      <c r="A2556" s="24">
        <v>2555</v>
      </c>
      <c r="B2556" s="24">
        <v>510114</v>
      </c>
      <c r="C2556" s="24" t="s">
        <v>3649</v>
      </c>
      <c r="D2556" s="24">
        <v>41</v>
      </c>
      <c r="E2556" s="24">
        <v>37</v>
      </c>
    </row>
    <row r="2557" spans="1:5" x14ac:dyDescent="0.25">
      <c r="A2557" s="24">
        <v>2556</v>
      </c>
      <c r="B2557" s="24">
        <v>503614</v>
      </c>
      <c r="C2557" s="24" t="s">
        <v>3650</v>
      </c>
      <c r="D2557" s="24">
        <v>28</v>
      </c>
      <c r="E2557" s="24">
        <v>24</v>
      </c>
    </row>
    <row r="2558" spans="1:5" x14ac:dyDescent="0.25">
      <c r="A2558" s="24">
        <v>2557</v>
      </c>
      <c r="B2558" s="24">
        <v>520918</v>
      </c>
      <c r="C2558" s="24" t="s">
        <v>3651</v>
      </c>
      <c r="D2558" s="24">
        <v>64</v>
      </c>
      <c r="E2558" s="24">
        <v>60</v>
      </c>
    </row>
    <row r="2559" spans="1:5" x14ac:dyDescent="0.25">
      <c r="A2559" s="24">
        <v>2558</v>
      </c>
      <c r="B2559" s="24">
        <v>523224</v>
      </c>
      <c r="C2559" s="24" t="s">
        <v>3652</v>
      </c>
      <c r="D2559" s="24">
        <v>77</v>
      </c>
      <c r="E2559" s="24">
        <v>69</v>
      </c>
    </row>
    <row r="2560" spans="1:5" x14ac:dyDescent="0.25">
      <c r="A2560" s="24">
        <v>2559</v>
      </c>
      <c r="B2560" s="24">
        <v>520926</v>
      </c>
      <c r="C2560" s="24" t="s">
        <v>3653</v>
      </c>
      <c r="D2560" s="24">
        <v>57</v>
      </c>
      <c r="E2560" s="24">
        <v>53</v>
      </c>
    </row>
    <row r="2561" spans="1:5" x14ac:dyDescent="0.25">
      <c r="A2561" s="24">
        <v>2560</v>
      </c>
      <c r="B2561" s="24">
        <v>513741</v>
      </c>
      <c r="C2561" s="24" t="s">
        <v>3655</v>
      </c>
      <c r="D2561" s="24">
        <v>21</v>
      </c>
      <c r="E2561" s="24">
        <v>17</v>
      </c>
    </row>
    <row r="2562" spans="1:5" x14ac:dyDescent="0.25">
      <c r="A2562" s="24">
        <v>2561</v>
      </c>
      <c r="B2562" s="24">
        <v>527050</v>
      </c>
      <c r="C2562" s="24" t="s">
        <v>3656</v>
      </c>
      <c r="D2562" s="24">
        <v>65</v>
      </c>
      <c r="E2562" s="24">
        <v>61</v>
      </c>
    </row>
    <row r="2563" spans="1:5" x14ac:dyDescent="0.25">
      <c r="A2563" s="24">
        <v>2562</v>
      </c>
      <c r="B2563" s="24">
        <v>502898</v>
      </c>
      <c r="C2563" s="24" t="s">
        <v>3657</v>
      </c>
      <c r="D2563" s="24">
        <v>26</v>
      </c>
      <c r="E2563" s="24">
        <v>22</v>
      </c>
    </row>
    <row r="2564" spans="1:5" x14ac:dyDescent="0.25">
      <c r="A2564" s="24">
        <v>2563</v>
      </c>
      <c r="B2564" s="24">
        <v>543683</v>
      </c>
      <c r="C2564" s="24" t="s">
        <v>3658</v>
      </c>
      <c r="D2564" s="24">
        <v>69</v>
      </c>
      <c r="E2564" s="24">
        <v>65</v>
      </c>
    </row>
    <row r="2565" spans="1:5" x14ac:dyDescent="0.25">
      <c r="A2565" s="24">
        <v>2564</v>
      </c>
      <c r="B2565" s="24">
        <v>511099</v>
      </c>
      <c r="C2565" s="24" t="s">
        <v>3659</v>
      </c>
      <c r="D2565" s="24">
        <v>36</v>
      </c>
      <c r="E2565" s="24">
        <v>32</v>
      </c>
    </row>
    <row r="2566" spans="1:5" x14ac:dyDescent="0.25">
      <c r="A2566" s="24">
        <v>2565</v>
      </c>
      <c r="B2566" s="24">
        <v>511978</v>
      </c>
      <c r="C2566" s="24" t="s">
        <v>3661</v>
      </c>
      <c r="D2566" s="24">
        <v>49</v>
      </c>
      <c r="E2566" s="24">
        <v>45</v>
      </c>
    </row>
    <row r="2567" spans="1:5" x14ac:dyDescent="0.25">
      <c r="A2567" s="24">
        <v>2566</v>
      </c>
      <c r="B2567" s="24">
        <v>505625</v>
      </c>
      <c r="C2567" s="24" t="s">
        <v>3663</v>
      </c>
      <c r="D2567" s="24">
        <v>16</v>
      </c>
      <c r="E2567" s="24">
        <v>12</v>
      </c>
    </row>
    <row r="2568" spans="1:5" x14ac:dyDescent="0.25">
      <c r="A2568" s="24">
        <v>2567</v>
      </c>
      <c r="B2568" s="24">
        <v>505633</v>
      </c>
      <c r="C2568" s="24" t="s">
        <v>3664</v>
      </c>
      <c r="D2568" s="24">
        <v>16</v>
      </c>
      <c r="E2568" s="24">
        <v>12</v>
      </c>
    </row>
    <row r="2569" spans="1:5" x14ac:dyDescent="0.25">
      <c r="A2569" s="24">
        <v>2568</v>
      </c>
      <c r="B2569" s="24">
        <v>556050</v>
      </c>
      <c r="C2569" s="24" t="s">
        <v>3667</v>
      </c>
      <c r="D2569" s="24">
        <v>28</v>
      </c>
      <c r="E2569" s="24">
        <v>24</v>
      </c>
    </row>
    <row r="2570" spans="1:5" x14ac:dyDescent="0.25">
      <c r="A2570" s="24">
        <v>2569</v>
      </c>
      <c r="B2570" s="24">
        <v>520934</v>
      </c>
      <c r="C2570" s="24" t="s">
        <v>3668</v>
      </c>
      <c r="D2570" s="24">
        <v>64</v>
      </c>
      <c r="E2570" s="24">
        <v>60</v>
      </c>
    </row>
    <row r="2571" spans="1:5" x14ac:dyDescent="0.25">
      <c r="A2571" s="24">
        <v>2570</v>
      </c>
      <c r="B2571" s="24">
        <v>520942</v>
      </c>
      <c r="C2571" s="24" t="s">
        <v>3669</v>
      </c>
      <c r="D2571" s="24">
        <v>64</v>
      </c>
      <c r="E2571" s="24">
        <v>60</v>
      </c>
    </row>
    <row r="2572" spans="1:5" x14ac:dyDescent="0.25">
      <c r="A2572" s="24">
        <v>2571</v>
      </c>
      <c r="B2572" s="24">
        <v>543691</v>
      </c>
      <c r="C2572" s="24" t="s">
        <v>3670</v>
      </c>
      <c r="D2572" s="24">
        <v>59</v>
      </c>
      <c r="E2572" s="24">
        <v>55</v>
      </c>
    </row>
    <row r="2573" spans="1:5" x14ac:dyDescent="0.25">
      <c r="A2573" s="24">
        <v>2572</v>
      </c>
      <c r="B2573" s="24">
        <v>518905</v>
      </c>
      <c r="C2573" s="24" t="s">
        <v>3671</v>
      </c>
      <c r="D2573" s="24">
        <v>47</v>
      </c>
      <c r="E2573" s="24">
        <v>43</v>
      </c>
    </row>
    <row r="2574" spans="1:5" x14ac:dyDescent="0.25">
      <c r="A2574" s="24">
        <v>2573</v>
      </c>
      <c r="B2574" s="24">
        <v>504939</v>
      </c>
      <c r="C2574" s="24" t="s">
        <v>3672</v>
      </c>
      <c r="D2574" s="24">
        <v>14</v>
      </c>
      <c r="E2574" s="24">
        <v>10</v>
      </c>
    </row>
    <row r="2575" spans="1:5" x14ac:dyDescent="0.25">
      <c r="A2575" s="24">
        <v>2574</v>
      </c>
      <c r="B2575" s="24">
        <v>505641</v>
      </c>
      <c r="C2575" s="24" t="s">
        <v>3673</v>
      </c>
      <c r="D2575" s="24">
        <v>30</v>
      </c>
      <c r="E2575" s="24">
        <v>26</v>
      </c>
    </row>
    <row r="2576" spans="1:5" x14ac:dyDescent="0.25">
      <c r="A2576" s="24">
        <v>2575</v>
      </c>
      <c r="B2576" s="24">
        <v>580317</v>
      </c>
      <c r="C2576" s="24" t="s">
        <v>1896</v>
      </c>
      <c r="D2576" s="24">
        <v>49</v>
      </c>
      <c r="E2576" s="24">
        <v>45</v>
      </c>
    </row>
    <row r="2577" spans="1:5" x14ac:dyDescent="0.25">
      <c r="A2577" s="24">
        <v>2576</v>
      </c>
      <c r="B2577" s="24">
        <v>525359</v>
      </c>
      <c r="C2577" s="24" t="s">
        <v>3677</v>
      </c>
      <c r="D2577" s="24">
        <v>63</v>
      </c>
      <c r="E2577" s="24">
        <v>59</v>
      </c>
    </row>
    <row r="2578" spans="1:5" x14ac:dyDescent="0.25">
      <c r="A2578" s="24">
        <v>2577</v>
      </c>
      <c r="B2578" s="24">
        <v>515701</v>
      </c>
      <c r="C2578" s="24" t="s">
        <v>3679</v>
      </c>
      <c r="D2578" s="24">
        <v>51</v>
      </c>
      <c r="E2578" s="24">
        <v>47</v>
      </c>
    </row>
    <row r="2579" spans="1:5" x14ac:dyDescent="0.25">
      <c r="A2579" s="24">
        <v>2578</v>
      </c>
      <c r="B2579" s="24">
        <v>525367</v>
      </c>
      <c r="C2579" s="24" t="s">
        <v>3680</v>
      </c>
      <c r="D2579" s="24">
        <v>63</v>
      </c>
      <c r="E2579" s="24">
        <v>59</v>
      </c>
    </row>
    <row r="2580" spans="1:5" x14ac:dyDescent="0.25">
      <c r="A2580" s="24">
        <v>2579</v>
      </c>
      <c r="B2580" s="24">
        <v>525375</v>
      </c>
      <c r="C2580" s="24" t="s">
        <v>3681</v>
      </c>
      <c r="D2580" s="24">
        <v>63</v>
      </c>
      <c r="E2580" s="24">
        <v>59</v>
      </c>
    </row>
    <row r="2581" spans="1:5" x14ac:dyDescent="0.25">
      <c r="A2581" s="24">
        <v>2580</v>
      </c>
      <c r="B2581" s="24">
        <v>506630</v>
      </c>
      <c r="C2581" s="24" t="s">
        <v>3682</v>
      </c>
      <c r="D2581" s="24">
        <v>19</v>
      </c>
      <c r="E2581" s="24">
        <v>15</v>
      </c>
    </row>
    <row r="2582" spans="1:5" x14ac:dyDescent="0.25">
      <c r="A2582" s="24">
        <v>2581</v>
      </c>
      <c r="B2582" s="24">
        <v>527947</v>
      </c>
      <c r="C2582" s="24" t="s">
        <v>3683</v>
      </c>
      <c r="D2582" s="24">
        <v>67</v>
      </c>
      <c r="E2582" s="24">
        <v>63</v>
      </c>
    </row>
    <row r="2583" spans="1:5" x14ac:dyDescent="0.25">
      <c r="A2583" s="24">
        <v>2582</v>
      </c>
      <c r="B2583" s="24">
        <v>504114</v>
      </c>
      <c r="C2583" s="24" t="s">
        <v>3684</v>
      </c>
      <c r="D2583" s="24">
        <v>10</v>
      </c>
      <c r="E2583" s="24">
        <v>6</v>
      </c>
    </row>
    <row r="2584" spans="1:5" x14ac:dyDescent="0.25">
      <c r="A2584" s="24">
        <v>2583</v>
      </c>
      <c r="B2584" s="24">
        <v>522121</v>
      </c>
      <c r="C2584" s="24" t="s">
        <v>3685</v>
      </c>
      <c r="D2584" s="24">
        <v>74</v>
      </c>
      <c r="E2584" s="24">
        <v>66</v>
      </c>
    </row>
    <row r="2585" spans="1:5" x14ac:dyDescent="0.25">
      <c r="A2585" s="24">
        <v>2584</v>
      </c>
      <c r="B2585" s="24">
        <v>522139</v>
      </c>
      <c r="C2585" s="24" t="s">
        <v>3686</v>
      </c>
      <c r="D2585" s="24">
        <v>74</v>
      </c>
      <c r="E2585" s="24">
        <v>66</v>
      </c>
    </row>
    <row r="2586" spans="1:5" x14ac:dyDescent="0.25">
      <c r="A2586" s="24">
        <v>2585</v>
      </c>
      <c r="B2586" s="24">
        <v>509086</v>
      </c>
      <c r="C2586" s="24" t="s">
        <v>3687</v>
      </c>
      <c r="D2586" s="24">
        <v>45</v>
      </c>
      <c r="E2586" s="24">
        <v>41</v>
      </c>
    </row>
    <row r="2587" spans="1:5" x14ac:dyDescent="0.25">
      <c r="A2587" s="24">
        <v>2586</v>
      </c>
      <c r="B2587" s="24">
        <v>514420</v>
      </c>
      <c r="C2587" s="24" t="s">
        <v>3688</v>
      </c>
      <c r="D2587" s="24">
        <v>22</v>
      </c>
      <c r="E2587" s="24">
        <v>18</v>
      </c>
    </row>
    <row r="2588" spans="1:5" x14ac:dyDescent="0.25">
      <c r="A2588" s="24">
        <v>2587</v>
      </c>
      <c r="B2588" s="24">
        <v>511102</v>
      </c>
      <c r="C2588" s="24" t="s">
        <v>3689</v>
      </c>
      <c r="D2588" s="24">
        <v>39</v>
      </c>
      <c r="E2588" s="24">
        <v>35</v>
      </c>
    </row>
    <row r="2589" spans="1:5" x14ac:dyDescent="0.25">
      <c r="A2589" s="24">
        <v>2588</v>
      </c>
      <c r="B2589" s="24">
        <v>518638</v>
      </c>
      <c r="C2589" s="24" t="s">
        <v>4275</v>
      </c>
      <c r="D2589" s="24">
        <v>57</v>
      </c>
      <c r="E2589" s="24">
        <v>53</v>
      </c>
    </row>
    <row r="2590" spans="1:5" x14ac:dyDescent="0.25">
      <c r="A2590" s="24">
        <v>2589</v>
      </c>
      <c r="B2590" s="24">
        <v>512761</v>
      </c>
      <c r="C2590" s="24" t="s">
        <v>3690</v>
      </c>
      <c r="D2590" s="24">
        <v>37</v>
      </c>
      <c r="E2590" s="24">
        <v>33</v>
      </c>
    </row>
    <row r="2591" spans="1:5" x14ac:dyDescent="0.25">
      <c r="A2591" s="24">
        <v>2590</v>
      </c>
      <c r="B2591" s="24">
        <v>520951</v>
      </c>
      <c r="C2591" s="24" t="s">
        <v>3692</v>
      </c>
      <c r="D2591" s="24">
        <v>60</v>
      </c>
      <c r="E2591" s="24">
        <v>56</v>
      </c>
    </row>
    <row r="2592" spans="1:5" x14ac:dyDescent="0.25">
      <c r="A2592" s="24">
        <v>2591</v>
      </c>
      <c r="B2592" s="24">
        <v>515795</v>
      </c>
      <c r="C2592" s="24" t="s">
        <v>4276</v>
      </c>
      <c r="D2592" s="24">
        <v>51</v>
      </c>
      <c r="E2592" s="24">
        <v>47</v>
      </c>
    </row>
    <row r="2593" spans="1:5" x14ac:dyDescent="0.25">
      <c r="A2593" s="24">
        <v>2592</v>
      </c>
      <c r="B2593" s="24">
        <v>527955</v>
      </c>
      <c r="C2593" s="24" t="s">
        <v>3693</v>
      </c>
      <c r="D2593" s="24">
        <v>67</v>
      </c>
      <c r="E2593" s="24">
        <v>63</v>
      </c>
    </row>
    <row r="2594" spans="1:5" x14ac:dyDescent="0.25">
      <c r="A2594" s="24">
        <v>2593</v>
      </c>
      <c r="B2594" s="24">
        <v>509094</v>
      </c>
      <c r="C2594" s="24" t="s">
        <v>3694</v>
      </c>
      <c r="D2594" s="24">
        <v>45</v>
      </c>
      <c r="E2594" s="24">
        <v>41</v>
      </c>
    </row>
    <row r="2595" spans="1:5" x14ac:dyDescent="0.25">
      <c r="A2595" s="24">
        <v>2594</v>
      </c>
      <c r="B2595" s="24">
        <v>518964</v>
      </c>
      <c r="C2595" s="24" t="s">
        <v>3696</v>
      </c>
      <c r="D2595" s="24">
        <v>56</v>
      </c>
      <c r="E2595" s="24">
        <v>52</v>
      </c>
    </row>
    <row r="2596" spans="1:5" x14ac:dyDescent="0.25">
      <c r="A2596" s="24">
        <v>2595</v>
      </c>
      <c r="B2596" s="24">
        <v>527963</v>
      </c>
      <c r="C2596" s="24" t="s">
        <v>3698</v>
      </c>
      <c r="D2596" s="24">
        <v>67</v>
      </c>
      <c r="E2596" s="24">
        <v>63</v>
      </c>
    </row>
    <row r="2597" spans="1:5" x14ac:dyDescent="0.25">
      <c r="A2597" s="24">
        <v>2596</v>
      </c>
      <c r="B2597" s="24">
        <v>519901</v>
      </c>
      <c r="C2597" s="24" t="s">
        <v>3699</v>
      </c>
      <c r="D2597" s="24">
        <v>56</v>
      </c>
      <c r="E2597" s="24">
        <v>52</v>
      </c>
    </row>
    <row r="2598" spans="1:5" x14ac:dyDescent="0.25">
      <c r="A2598" s="24">
        <v>2597</v>
      </c>
      <c r="B2598" s="24">
        <v>527971</v>
      </c>
      <c r="C2598" s="24" t="s">
        <v>3700</v>
      </c>
      <c r="D2598" s="24">
        <v>66</v>
      </c>
      <c r="E2598" s="24">
        <v>62</v>
      </c>
    </row>
    <row r="2599" spans="1:5" x14ac:dyDescent="0.25">
      <c r="A2599" s="24">
        <v>2598</v>
      </c>
      <c r="B2599" s="24">
        <v>525383</v>
      </c>
      <c r="C2599" s="24" t="s">
        <v>3701</v>
      </c>
      <c r="D2599" s="24">
        <v>62</v>
      </c>
      <c r="E2599" s="24">
        <v>58</v>
      </c>
    </row>
    <row r="2600" spans="1:5" x14ac:dyDescent="0.25">
      <c r="A2600" s="24">
        <v>2599</v>
      </c>
      <c r="B2600" s="24">
        <v>518069</v>
      </c>
      <c r="C2600" s="24" t="s">
        <v>3703</v>
      </c>
      <c r="D2600" s="24">
        <v>42</v>
      </c>
      <c r="E2600" s="24">
        <v>38</v>
      </c>
    </row>
    <row r="2601" spans="1:5" x14ac:dyDescent="0.25">
      <c r="A2601" s="24">
        <v>2600</v>
      </c>
      <c r="B2601" s="24">
        <v>510149</v>
      </c>
      <c r="C2601" s="24" t="s">
        <v>3705</v>
      </c>
      <c r="D2601" s="24">
        <v>38</v>
      </c>
      <c r="E2601" s="24">
        <v>34</v>
      </c>
    </row>
    <row r="2602" spans="1:5" x14ac:dyDescent="0.25">
      <c r="A2602" s="24">
        <v>2601</v>
      </c>
      <c r="B2602" s="24">
        <v>510157</v>
      </c>
      <c r="C2602" s="24" t="s">
        <v>3706</v>
      </c>
      <c r="D2602" s="24">
        <v>38</v>
      </c>
      <c r="E2602" s="24">
        <v>34</v>
      </c>
    </row>
    <row r="2603" spans="1:5" x14ac:dyDescent="0.25">
      <c r="A2603" s="24">
        <v>2602</v>
      </c>
      <c r="B2603" s="24">
        <v>529214</v>
      </c>
      <c r="C2603" s="24" t="s">
        <v>3707</v>
      </c>
      <c r="D2603" s="24">
        <v>68</v>
      </c>
      <c r="E2603" s="24">
        <v>64</v>
      </c>
    </row>
    <row r="2604" spans="1:5" x14ac:dyDescent="0.25">
      <c r="A2604" s="24">
        <v>2603</v>
      </c>
      <c r="B2604" s="24">
        <v>511111</v>
      </c>
      <c r="C2604" s="24" t="s">
        <v>3708</v>
      </c>
      <c r="D2604" s="24">
        <v>36</v>
      </c>
      <c r="E2604" s="24">
        <v>32</v>
      </c>
    </row>
    <row r="2605" spans="1:5" x14ac:dyDescent="0.25">
      <c r="A2605" s="24">
        <v>2604</v>
      </c>
      <c r="B2605" s="24">
        <v>511129</v>
      </c>
      <c r="C2605" s="24" t="s">
        <v>3709</v>
      </c>
      <c r="D2605" s="24">
        <v>36</v>
      </c>
      <c r="E2605" s="24">
        <v>32</v>
      </c>
    </row>
    <row r="2606" spans="1:5" x14ac:dyDescent="0.25">
      <c r="A2606" s="24">
        <v>2605</v>
      </c>
      <c r="B2606" s="24">
        <v>515710</v>
      </c>
      <c r="C2606" s="24" t="s">
        <v>3710</v>
      </c>
      <c r="D2606" s="24">
        <v>51</v>
      </c>
      <c r="E2606" s="24">
        <v>47</v>
      </c>
    </row>
    <row r="2607" spans="1:5" x14ac:dyDescent="0.25">
      <c r="A2607" s="24">
        <v>2606</v>
      </c>
      <c r="B2607" s="24">
        <v>515728</v>
      </c>
      <c r="C2607" s="24" t="s">
        <v>3711</v>
      </c>
      <c r="D2607" s="24">
        <v>51</v>
      </c>
      <c r="E2607" s="24">
        <v>47</v>
      </c>
    </row>
    <row r="2608" spans="1:5" x14ac:dyDescent="0.25">
      <c r="A2608" s="24">
        <v>2607</v>
      </c>
      <c r="B2608" s="24">
        <v>529222</v>
      </c>
      <c r="C2608" s="24" t="s">
        <v>3712</v>
      </c>
      <c r="D2608" s="24">
        <v>68</v>
      </c>
      <c r="E2608" s="24">
        <v>64</v>
      </c>
    </row>
    <row r="2609" spans="1:5" x14ac:dyDescent="0.25">
      <c r="A2609" s="24">
        <v>2608</v>
      </c>
      <c r="B2609" s="24">
        <v>543845</v>
      </c>
      <c r="C2609" s="24" t="s">
        <v>3713</v>
      </c>
      <c r="D2609" s="24">
        <v>79</v>
      </c>
      <c r="E2609" s="24">
        <v>71</v>
      </c>
    </row>
    <row r="2610" spans="1:5" x14ac:dyDescent="0.25">
      <c r="A2610" s="24">
        <v>2609</v>
      </c>
      <c r="B2610" s="24">
        <v>500836</v>
      </c>
      <c r="C2610" s="24" t="s">
        <v>3714</v>
      </c>
      <c r="D2610" s="24">
        <v>31</v>
      </c>
      <c r="E2610" s="24">
        <v>27</v>
      </c>
    </row>
    <row r="2611" spans="1:5" x14ac:dyDescent="0.25">
      <c r="A2611" s="24">
        <v>2610</v>
      </c>
      <c r="B2611" s="24">
        <v>510165</v>
      </c>
      <c r="C2611" s="24" t="s">
        <v>3716</v>
      </c>
      <c r="D2611" s="24">
        <v>34</v>
      </c>
      <c r="E2611" s="24">
        <v>30</v>
      </c>
    </row>
    <row r="2612" spans="1:5" x14ac:dyDescent="0.25">
      <c r="A2612" s="24">
        <v>2611</v>
      </c>
      <c r="B2612" s="24">
        <v>516465</v>
      </c>
      <c r="C2612" s="24" t="s">
        <v>3718</v>
      </c>
      <c r="D2612" s="24">
        <v>52</v>
      </c>
      <c r="E2612" s="24">
        <v>48</v>
      </c>
    </row>
    <row r="2613" spans="1:5" x14ac:dyDescent="0.25">
      <c r="A2613" s="24">
        <v>2612</v>
      </c>
      <c r="B2613" s="24">
        <v>514438</v>
      </c>
      <c r="C2613" s="24" t="s">
        <v>3719</v>
      </c>
      <c r="D2613" s="24">
        <v>22</v>
      </c>
      <c r="E2613" s="24">
        <v>18</v>
      </c>
    </row>
    <row r="2614" spans="1:5" x14ac:dyDescent="0.25">
      <c r="A2614" s="24">
        <v>2613</v>
      </c>
      <c r="B2614" s="24">
        <v>518077</v>
      </c>
      <c r="C2614" s="24" t="s">
        <v>3720</v>
      </c>
      <c r="D2614" s="24">
        <v>42</v>
      </c>
      <c r="E2614" s="24">
        <v>38</v>
      </c>
    </row>
    <row r="2615" spans="1:5" x14ac:dyDescent="0.25">
      <c r="A2615" s="24">
        <v>2614</v>
      </c>
      <c r="B2615" s="24">
        <v>500844</v>
      </c>
      <c r="C2615" s="24" t="s">
        <v>3721</v>
      </c>
      <c r="D2615" s="24">
        <v>27</v>
      </c>
      <c r="E2615" s="24">
        <v>23</v>
      </c>
    </row>
    <row r="2616" spans="1:5" x14ac:dyDescent="0.25">
      <c r="A2616" s="24">
        <v>2615</v>
      </c>
      <c r="B2616" s="24">
        <v>523992</v>
      </c>
      <c r="C2616" s="24" t="s">
        <v>3722</v>
      </c>
      <c r="D2616" s="24">
        <v>58</v>
      </c>
      <c r="E2616" s="24">
        <v>54</v>
      </c>
    </row>
    <row r="2617" spans="1:5" x14ac:dyDescent="0.25">
      <c r="A2617" s="24">
        <v>2616</v>
      </c>
      <c r="B2617" s="24">
        <v>506648</v>
      </c>
      <c r="C2617" s="24" t="s">
        <v>3723</v>
      </c>
      <c r="D2617" s="24">
        <v>24</v>
      </c>
      <c r="E2617" s="24">
        <v>20</v>
      </c>
    </row>
    <row r="2618" spans="1:5" x14ac:dyDescent="0.25">
      <c r="A2618" s="24">
        <v>2617</v>
      </c>
      <c r="B2618" s="24">
        <v>522147</v>
      </c>
      <c r="C2618" s="24" t="s">
        <v>3724</v>
      </c>
      <c r="D2618" s="24">
        <v>74</v>
      </c>
      <c r="E2618" s="24">
        <v>66</v>
      </c>
    </row>
    <row r="2619" spans="1:5" x14ac:dyDescent="0.25">
      <c r="A2619" s="24">
        <v>2618</v>
      </c>
      <c r="B2619" s="24">
        <v>517330</v>
      </c>
      <c r="C2619" s="24" t="s">
        <v>3725</v>
      </c>
      <c r="D2619" s="24">
        <v>54</v>
      </c>
      <c r="E2619" s="24">
        <v>50</v>
      </c>
    </row>
    <row r="2620" spans="1:5" x14ac:dyDescent="0.25">
      <c r="A2620" s="24">
        <v>2619</v>
      </c>
      <c r="B2620" s="24">
        <v>527068</v>
      </c>
      <c r="C2620" s="24" t="s">
        <v>3727</v>
      </c>
      <c r="D2620" s="24">
        <v>65</v>
      </c>
      <c r="E2620" s="24">
        <v>61</v>
      </c>
    </row>
    <row r="2621" spans="1:5" x14ac:dyDescent="0.25">
      <c r="A2621" s="24">
        <v>2620</v>
      </c>
      <c r="B2621" s="24">
        <v>522155</v>
      </c>
      <c r="C2621" s="24" t="s">
        <v>3728</v>
      </c>
      <c r="D2621" s="24">
        <v>74</v>
      </c>
      <c r="E2621" s="24">
        <v>66</v>
      </c>
    </row>
    <row r="2622" spans="1:5" x14ac:dyDescent="0.25">
      <c r="A2622" s="24">
        <v>2621</v>
      </c>
      <c r="B2622" s="24">
        <v>524000</v>
      </c>
      <c r="C2622" s="24" t="s">
        <v>3729</v>
      </c>
      <c r="D2622" s="24">
        <v>58</v>
      </c>
      <c r="E2622" s="24">
        <v>54</v>
      </c>
    </row>
    <row r="2623" spans="1:5" x14ac:dyDescent="0.25">
      <c r="A2623" s="24">
        <v>2622</v>
      </c>
      <c r="B2623" s="24">
        <v>581585</v>
      </c>
      <c r="C2623" s="24" t="s">
        <v>3730</v>
      </c>
      <c r="D2623" s="24">
        <v>53</v>
      </c>
      <c r="E2623" s="24">
        <v>49</v>
      </c>
    </row>
    <row r="2624" spans="1:5" x14ac:dyDescent="0.25">
      <c r="A2624" s="24">
        <v>2623</v>
      </c>
      <c r="B2624" s="24">
        <v>504122</v>
      </c>
      <c r="C2624" s="24" t="s">
        <v>3731</v>
      </c>
      <c r="D2624" s="24">
        <v>10</v>
      </c>
      <c r="E2624" s="24">
        <v>6</v>
      </c>
    </row>
    <row r="2625" spans="1:5" x14ac:dyDescent="0.25">
      <c r="A2625" s="24">
        <v>2624</v>
      </c>
      <c r="B2625" s="24">
        <v>511994</v>
      </c>
      <c r="C2625" s="24" t="s">
        <v>3717</v>
      </c>
      <c r="D2625" s="24">
        <v>48</v>
      </c>
      <c r="E2625" s="24">
        <v>44</v>
      </c>
    </row>
    <row r="2626" spans="1:5" x14ac:dyDescent="0.25">
      <c r="A2626" s="24">
        <v>2625</v>
      </c>
      <c r="B2626" s="24">
        <v>501972</v>
      </c>
      <c r="C2626" s="24" t="s">
        <v>3734</v>
      </c>
      <c r="D2626" s="24">
        <v>9</v>
      </c>
      <c r="E2626" s="24">
        <v>5</v>
      </c>
    </row>
    <row r="2627" spans="1:5" x14ac:dyDescent="0.25">
      <c r="A2627" s="24">
        <v>2626</v>
      </c>
      <c r="B2627" s="24">
        <v>513806</v>
      </c>
      <c r="C2627" s="24" t="s">
        <v>3589</v>
      </c>
      <c r="D2627" s="24">
        <v>79</v>
      </c>
      <c r="E2627" s="24">
        <v>71</v>
      </c>
    </row>
    <row r="2628" spans="1:5" x14ac:dyDescent="0.25">
      <c r="A2628" s="24">
        <v>2627</v>
      </c>
      <c r="B2628" s="24">
        <v>512001</v>
      </c>
      <c r="C2628" s="24" t="s">
        <v>935</v>
      </c>
      <c r="D2628" s="24">
        <v>49</v>
      </c>
      <c r="E2628" s="24">
        <v>45</v>
      </c>
    </row>
    <row r="2629" spans="1:5" x14ac:dyDescent="0.25">
      <c r="A2629" s="24">
        <v>2628</v>
      </c>
      <c r="B2629" s="24">
        <v>516473</v>
      </c>
      <c r="C2629" s="24" t="s">
        <v>3736</v>
      </c>
      <c r="D2629" s="24">
        <v>52</v>
      </c>
      <c r="E2629" s="24">
        <v>48</v>
      </c>
    </row>
    <row r="2630" spans="1:5" x14ac:dyDescent="0.25">
      <c r="A2630" s="24">
        <v>2629</v>
      </c>
      <c r="B2630" s="24">
        <v>506656</v>
      </c>
      <c r="C2630" s="24" t="s">
        <v>3739</v>
      </c>
      <c r="D2630" s="24">
        <v>24</v>
      </c>
      <c r="E2630" s="24">
        <v>20</v>
      </c>
    </row>
    <row r="2631" spans="1:5" x14ac:dyDescent="0.25">
      <c r="A2631" s="24">
        <v>2630</v>
      </c>
      <c r="B2631" s="24">
        <v>501981</v>
      </c>
      <c r="C2631" s="24" t="s">
        <v>3740</v>
      </c>
      <c r="D2631" s="24">
        <v>9</v>
      </c>
      <c r="E2631" s="24">
        <v>5</v>
      </c>
    </row>
    <row r="2632" spans="1:5" x14ac:dyDescent="0.25">
      <c r="A2632" s="24">
        <v>2631</v>
      </c>
      <c r="B2632" s="24">
        <v>511137</v>
      </c>
      <c r="C2632" s="24" t="s">
        <v>3741</v>
      </c>
      <c r="D2632" s="24">
        <v>36</v>
      </c>
      <c r="E2632" s="24">
        <v>32</v>
      </c>
    </row>
    <row r="2633" spans="1:5" x14ac:dyDescent="0.25">
      <c r="A2633" s="24">
        <v>2632</v>
      </c>
      <c r="B2633" s="24">
        <v>512010</v>
      </c>
      <c r="C2633" s="24" t="s">
        <v>3742</v>
      </c>
      <c r="D2633" s="24">
        <v>48</v>
      </c>
      <c r="E2633" s="24">
        <v>44</v>
      </c>
    </row>
    <row r="2634" spans="1:5" x14ac:dyDescent="0.25">
      <c r="A2634" s="24">
        <v>2633</v>
      </c>
      <c r="B2634" s="24">
        <v>545651</v>
      </c>
      <c r="C2634" s="24" t="s">
        <v>4277</v>
      </c>
      <c r="D2634" s="24">
        <v>16</v>
      </c>
      <c r="E2634" s="24">
        <v>12</v>
      </c>
    </row>
    <row r="2635" spans="1:5" x14ac:dyDescent="0.25">
      <c r="A2635" s="24">
        <v>2634</v>
      </c>
      <c r="B2635" s="24">
        <v>505676</v>
      </c>
      <c r="C2635" s="24" t="s">
        <v>3743</v>
      </c>
      <c r="D2635" s="24">
        <v>30</v>
      </c>
      <c r="E2635" s="24">
        <v>26</v>
      </c>
    </row>
    <row r="2636" spans="1:5" x14ac:dyDescent="0.25">
      <c r="A2636" s="24">
        <v>2635</v>
      </c>
      <c r="B2636" s="24">
        <v>555673</v>
      </c>
      <c r="C2636" s="24" t="s">
        <v>1338</v>
      </c>
      <c r="D2636" s="24">
        <v>9</v>
      </c>
      <c r="E2636" s="24">
        <v>5</v>
      </c>
    </row>
    <row r="2637" spans="1:5" x14ac:dyDescent="0.25">
      <c r="A2637" s="24">
        <v>2636</v>
      </c>
      <c r="B2637" s="24">
        <v>505684</v>
      </c>
      <c r="C2637" s="24" t="s">
        <v>3744</v>
      </c>
      <c r="D2637" s="24">
        <v>16</v>
      </c>
      <c r="E2637" s="24">
        <v>12</v>
      </c>
    </row>
    <row r="2638" spans="1:5" x14ac:dyDescent="0.25">
      <c r="A2638" s="24">
        <v>2637</v>
      </c>
      <c r="B2638" s="24">
        <v>505692</v>
      </c>
      <c r="C2638" s="24" t="s">
        <v>3745</v>
      </c>
      <c r="D2638" s="24">
        <v>16</v>
      </c>
      <c r="E2638" s="24">
        <v>12</v>
      </c>
    </row>
    <row r="2639" spans="1:5" x14ac:dyDescent="0.25">
      <c r="A2639" s="24">
        <v>2638</v>
      </c>
      <c r="B2639" s="24">
        <v>500518</v>
      </c>
      <c r="C2639" s="24" t="s">
        <v>3746</v>
      </c>
      <c r="D2639" s="24">
        <v>27</v>
      </c>
      <c r="E2639" s="24">
        <v>23</v>
      </c>
    </row>
    <row r="2640" spans="1:5" x14ac:dyDescent="0.25">
      <c r="A2640" s="24">
        <v>2639</v>
      </c>
      <c r="B2640" s="24">
        <v>543853</v>
      </c>
      <c r="C2640" s="24" t="s">
        <v>3748</v>
      </c>
      <c r="D2640" s="24">
        <v>75</v>
      </c>
      <c r="E2640" s="24">
        <v>73</v>
      </c>
    </row>
    <row r="2641" spans="1:5" x14ac:dyDescent="0.25">
      <c r="A2641" s="24">
        <v>2640</v>
      </c>
      <c r="B2641" s="24">
        <v>501387</v>
      </c>
      <c r="C2641" s="24" t="s">
        <v>3749</v>
      </c>
      <c r="D2641" s="24">
        <v>25</v>
      </c>
      <c r="E2641" s="24">
        <v>21</v>
      </c>
    </row>
    <row r="2642" spans="1:5" x14ac:dyDescent="0.25">
      <c r="A2642" s="24">
        <v>2641</v>
      </c>
      <c r="B2642" s="24">
        <v>507709</v>
      </c>
      <c r="C2642" s="24" t="s">
        <v>3750</v>
      </c>
      <c r="D2642" s="24">
        <v>12</v>
      </c>
      <c r="E2642" s="24">
        <v>8</v>
      </c>
    </row>
    <row r="2643" spans="1:5" x14ac:dyDescent="0.25">
      <c r="A2643" s="24">
        <v>2642</v>
      </c>
      <c r="B2643" s="24">
        <v>581160</v>
      </c>
      <c r="C2643" s="24" t="s">
        <v>3753</v>
      </c>
      <c r="D2643" s="24">
        <v>26</v>
      </c>
      <c r="E2643" s="24">
        <v>22</v>
      </c>
    </row>
    <row r="2644" spans="1:5" x14ac:dyDescent="0.25">
      <c r="A2644" s="24">
        <v>2643</v>
      </c>
      <c r="B2644" s="24">
        <v>505706</v>
      </c>
      <c r="C2644" s="24" t="s">
        <v>3754</v>
      </c>
      <c r="D2644" s="24">
        <v>20</v>
      </c>
      <c r="E2644" s="24">
        <v>16</v>
      </c>
    </row>
    <row r="2645" spans="1:5" x14ac:dyDescent="0.25">
      <c r="A2645" s="24">
        <v>2644</v>
      </c>
      <c r="B2645" s="24">
        <v>504947</v>
      </c>
      <c r="C2645" s="24" t="s">
        <v>3755</v>
      </c>
      <c r="D2645" s="24">
        <v>6</v>
      </c>
      <c r="E2645" s="24">
        <v>1</v>
      </c>
    </row>
    <row r="2646" spans="1:5" x14ac:dyDescent="0.25">
      <c r="A2646" s="24">
        <v>2645</v>
      </c>
      <c r="B2646" s="24">
        <v>503631</v>
      </c>
      <c r="C2646" s="24" t="s">
        <v>3756</v>
      </c>
      <c r="D2646" s="24">
        <v>28</v>
      </c>
      <c r="E2646" s="24">
        <v>24</v>
      </c>
    </row>
    <row r="2647" spans="1:5" x14ac:dyDescent="0.25">
      <c r="A2647" s="24">
        <v>2646</v>
      </c>
      <c r="B2647" s="24">
        <v>502910</v>
      </c>
      <c r="C2647" s="24" t="s">
        <v>3757</v>
      </c>
      <c r="D2647" s="24">
        <v>26</v>
      </c>
      <c r="E2647" s="24">
        <v>22</v>
      </c>
    </row>
    <row r="2648" spans="1:5" x14ac:dyDescent="0.25">
      <c r="A2648" s="24">
        <v>2647</v>
      </c>
      <c r="B2648" s="24">
        <v>556572</v>
      </c>
      <c r="C2648" s="24" t="s">
        <v>3758</v>
      </c>
      <c r="D2648" s="24">
        <v>12</v>
      </c>
      <c r="E2648" s="24">
        <v>8</v>
      </c>
    </row>
    <row r="2649" spans="1:5" x14ac:dyDescent="0.25">
      <c r="A2649" s="24">
        <v>2648</v>
      </c>
      <c r="B2649" s="24">
        <v>543861</v>
      </c>
      <c r="C2649" s="24" t="s">
        <v>3759</v>
      </c>
      <c r="D2649" s="24">
        <v>79</v>
      </c>
      <c r="E2649" s="24">
        <v>71</v>
      </c>
    </row>
    <row r="2650" spans="1:5" x14ac:dyDescent="0.25">
      <c r="A2650" s="24">
        <v>2649</v>
      </c>
      <c r="B2650" s="24">
        <v>517348</v>
      </c>
      <c r="C2650" s="24" t="s">
        <v>3760</v>
      </c>
      <c r="D2650" s="24">
        <v>54</v>
      </c>
      <c r="E2650" s="24">
        <v>50</v>
      </c>
    </row>
    <row r="2651" spans="1:5" x14ac:dyDescent="0.25">
      <c r="A2651" s="24">
        <v>2650</v>
      </c>
      <c r="B2651" s="24">
        <v>543870</v>
      </c>
      <c r="C2651" s="24" t="s">
        <v>3761</v>
      </c>
      <c r="D2651" s="24">
        <v>75</v>
      </c>
      <c r="E2651" s="24">
        <v>73</v>
      </c>
    </row>
    <row r="2652" spans="1:5" x14ac:dyDescent="0.25">
      <c r="A2652" s="24">
        <v>2651</v>
      </c>
      <c r="B2652" s="24">
        <v>523232</v>
      </c>
      <c r="C2652" s="24" t="s">
        <v>3762</v>
      </c>
      <c r="D2652" s="24">
        <v>77</v>
      </c>
      <c r="E2652" s="24">
        <v>69</v>
      </c>
    </row>
    <row r="2653" spans="1:5" x14ac:dyDescent="0.25">
      <c r="A2653" s="24">
        <v>2652</v>
      </c>
      <c r="B2653" s="24">
        <v>505714</v>
      </c>
      <c r="C2653" s="24" t="s">
        <v>3763</v>
      </c>
      <c r="D2653" s="24">
        <v>30</v>
      </c>
      <c r="E2653" s="24">
        <v>26</v>
      </c>
    </row>
    <row r="2654" spans="1:5" x14ac:dyDescent="0.25">
      <c r="A2654" s="24">
        <v>2653</v>
      </c>
      <c r="B2654" s="24">
        <v>518085</v>
      </c>
      <c r="C2654" s="24" t="s">
        <v>3764</v>
      </c>
      <c r="D2654" s="24">
        <v>32</v>
      </c>
      <c r="E2654" s="24">
        <v>28</v>
      </c>
    </row>
    <row r="2655" spans="1:5" x14ac:dyDescent="0.25">
      <c r="A2655" s="24">
        <v>2654</v>
      </c>
      <c r="B2655" s="24">
        <v>543888</v>
      </c>
      <c r="C2655" s="24" t="s">
        <v>3765</v>
      </c>
      <c r="D2655" s="24">
        <v>75</v>
      </c>
      <c r="E2655" s="24">
        <v>73</v>
      </c>
    </row>
    <row r="2656" spans="1:5" x14ac:dyDescent="0.25">
      <c r="A2656" s="24">
        <v>2655</v>
      </c>
      <c r="B2656" s="24">
        <v>558214</v>
      </c>
      <c r="C2656" s="24" t="s">
        <v>3767</v>
      </c>
      <c r="D2656" s="24">
        <v>52</v>
      </c>
      <c r="E2656" s="24">
        <v>48</v>
      </c>
    </row>
    <row r="2657" spans="1:5" x14ac:dyDescent="0.25">
      <c r="A2657" s="24">
        <v>2656</v>
      </c>
      <c r="B2657" s="24">
        <v>515736</v>
      </c>
      <c r="C2657" s="24" t="s">
        <v>3770</v>
      </c>
      <c r="D2657" s="24">
        <v>51</v>
      </c>
      <c r="E2657" s="24">
        <v>47</v>
      </c>
    </row>
    <row r="2658" spans="1:5" x14ac:dyDescent="0.25">
      <c r="A2658" s="24">
        <v>2657</v>
      </c>
      <c r="B2658" s="24">
        <v>543896</v>
      </c>
      <c r="C2658" s="24" t="s">
        <v>3772</v>
      </c>
      <c r="D2658" s="24">
        <v>79</v>
      </c>
      <c r="E2658" s="24">
        <v>74</v>
      </c>
    </row>
    <row r="2659" spans="1:5" x14ac:dyDescent="0.25">
      <c r="A2659" s="24">
        <v>2658</v>
      </c>
      <c r="B2659" s="24">
        <v>502928</v>
      </c>
      <c r="C2659" s="24" t="s">
        <v>4278</v>
      </c>
      <c r="D2659" s="24">
        <v>26</v>
      </c>
      <c r="E2659" s="24">
        <v>22</v>
      </c>
    </row>
    <row r="2660" spans="1:5" x14ac:dyDescent="0.25">
      <c r="A2660" s="24">
        <v>2659</v>
      </c>
      <c r="B2660" s="24">
        <v>505722</v>
      </c>
      <c r="C2660" s="24" t="s">
        <v>3775</v>
      </c>
      <c r="D2660" s="24">
        <v>20</v>
      </c>
      <c r="E2660" s="24">
        <v>16</v>
      </c>
    </row>
    <row r="2661" spans="1:5" x14ac:dyDescent="0.25">
      <c r="A2661" s="24">
        <v>2660</v>
      </c>
      <c r="B2661" s="24">
        <v>504131</v>
      </c>
      <c r="C2661" s="24" t="s">
        <v>3776</v>
      </c>
      <c r="D2661" s="24">
        <v>10</v>
      </c>
      <c r="E2661" s="24">
        <v>6</v>
      </c>
    </row>
    <row r="2662" spans="1:5" x14ac:dyDescent="0.25">
      <c r="A2662" s="24">
        <v>2661</v>
      </c>
      <c r="B2662" s="24">
        <v>555932</v>
      </c>
      <c r="C2662" s="24" t="s">
        <v>3777</v>
      </c>
      <c r="D2662" s="24">
        <v>31</v>
      </c>
      <c r="E2662" s="24">
        <v>27</v>
      </c>
    </row>
    <row r="2663" spans="1:5" x14ac:dyDescent="0.25">
      <c r="A2663" s="24">
        <v>2662</v>
      </c>
      <c r="B2663" s="24">
        <v>500887</v>
      </c>
      <c r="C2663" s="24" t="s">
        <v>3779</v>
      </c>
      <c r="D2663" s="24">
        <v>27</v>
      </c>
      <c r="E2663" s="24">
        <v>23</v>
      </c>
    </row>
    <row r="2664" spans="1:5" x14ac:dyDescent="0.25">
      <c r="A2664" s="24">
        <v>2663</v>
      </c>
      <c r="B2664" s="24">
        <v>516490</v>
      </c>
      <c r="C2664" s="24" t="s">
        <v>3780</v>
      </c>
      <c r="D2664" s="24">
        <v>52</v>
      </c>
      <c r="E2664" s="24">
        <v>48</v>
      </c>
    </row>
    <row r="2665" spans="1:5" x14ac:dyDescent="0.25">
      <c r="A2665" s="24">
        <v>2664</v>
      </c>
      <c r="B2665" s="24">
        <v>527980</v>
      </c>
      <c r="C2665" s="24" t="s">
        <v>3781</v>
      </c>
      <c r="D2665" s="24">
        <v>66</v>
      </c>
      <c r="E2665" s="24">
        <v>62</v>
      </c>
    </row>
    <row r="2666" spans="1:5" x14ac:dyDescent="0.25">
      <c r="A2666" s="24">
        <v>2665</v>
      </c>
      <c r="B2666" s="24">
        <v>508292</v>
      </c>
      <c r="C2666" s="24" t="s">
        <v>3783</v>
      </c>
      <c r="D2666" s="24">
        <v>8</v>
      </c>
      <c r="E2666" s="24">
        <v>3</v>
      </c>
    </row>
    <row r="2667" spans="1:5" x14ac:dyDescent="0.25">
      <c r="A2667" s="24">
        <v>2666</v>
      </c>
      <c r="B2667" s="24">
        <v>515744</v>
      </c>
      <c r="C2667" s="24" t="s">
        <v>4279</v>
      </c>
      <c r="D2667" s="24">
        <v>51</v>
      </c>
      <c r="E2667" s="24">
        <v>47</v>
      </c>
    </row>
    <row r="2668" spans="1:5" x14ac:dyDescent="0.25">
      <c r="A2668" s="24">
        <v>2667</v>
      </c>
      <c r="B2668" s="24">
        <v>500895</v>
      </c>
      <c r="C2668" s="24" t="s">
        <v>3786</v>
      </c>
      <c r="D2668" s="24">
        <v>27</v>
      </c>
      <c r="E2668" s="24">
        <v>23</v>
      </c>
    </row>
    <row r="2669" spans="1:5" x14ac:dyDescent="0.25">
      <c r="A2669" s="24">
        <v>2668</v>
      </c>
      <c r="B2669" s="24">
        <v>512788</v>
      </c>
      <c r="C2669" s="24" t="s">
        <v>3787</v>
      </c>
      <c r="D2669" s="24">
        <v>40</v>
      </c>
      <c r="E2669" s="24">
        <v>36</v>
      </c>
    </row>
    <row r="2670" spans="1:5" x14ac:dyDescent="0.25">
      <c r="A2670" s="24">
        <v>2669</v>
      </c>
      <c r="B2670" s="24">
        <v>502936</v>
      </c>
      <c r="C2670" s="24" t="s">
        <v>4280</v>
      </c>
      <c r="D2670" s="24">
        <v>26</v>
      </c>
      <c r="E2670" s="24">
        <v>22</v>
      </c>
    </row>
    <row r="2671" spans="1:5" x14ac:dyDescent="0.25">
      <c r="A2671" s="24">
        <v>2670</v>
      </c>
      <c r="B2671" s="24">
        <v>543705</v>
      </c>
      <c r="C2671" s="24" t="s">
        <v>3790</v>
      </c>
      <c r="D2671" s="24">
        <v>69</v>
      </c>
      <c r="E2671" s="24">
        <v>65</v>
      </c>
    </row>
    <row r="2672" spans="1:5" x14ac:dyDescent="0.25">
      <c r="A2672" s="24">
        <v>2671</v>
      </c>
      <c r="B2672" s="24">
        <v>504149</v>
      </c>
      <c r="C2672" s="24" t="s">
        <v>3791</v>
      </c>
      <c r="D2672" s="24">
        <v>10</v>
      </c>
      <c r="E2672" s="24">
        <v>6</v>
      </c>
    </row>
    <row r="2673" spans="1:5" x14ac:dyDescent="0.25">
      <c r="A2673" s="24">
        <v>2672</v>
      </c>
      <c r="B2673" s="24">
        <v>543900</v>
      </c>
      <c r="C2673" s="24" t="s">
        <v>3792</v>
      </c>
      <c r="D2673" s="24">
        <v>79</v>
      </c>
      <c r="E2673" s="24">
        <v>74</v>
      </c>
    </row>
    <row r="2674" spans="1:5" x14ac:dyDescent="0.25">
      <c r="A2674" s="24">
        <v>2673</v>
      </c>
      <c r="B2674" s="24">
        <v>543918</v>
      </c>
      <c r="C2674" s="24" t="s">
        <v>3793</v>
      </c>
      <c r="D2674" s="24">
        <v>79</v>
      </c>
      <c r="E2674" s="24">
        <v>74</v>
      </c>
    </row>
    <row r="2675" spans="1:5" x14ac:dyDescent="0.25">
      <c r="A2675" s="24">
        <v>2674</v>
      </c>
      <c r="B2675" s="24">
        <v>505731</v>
      </c>
      <c r="C2675" s="24" t="s">
        <v>4281</v>
      </c>
      <c r="D2675" s="24">
        <v>20</v>
      </c>
      <c r="E2675" s="24">
        <v>16</v>
      </c>
    </row>
    <row r="2676" spans="1:5" x14ac:dyDescent="0.25">
      <c r="A2676" s="24">
        <v>2675</v>
      </c>
      <c r="B2676" s="24">
        <v>515850</v>
      </c>
      <c r="C2676" s="24" t="s">
        <v>3796</v>
      </c>
      <c r="D2676" s="24">
        <v>52</v>
      </c>
      <c r="E2676" s="24">
        <v>48</v>
      </c>
    </row>
    <row r="2677" spans="1:5" x14ac:dyDescent="0.25">
      <c r="A2677" s="24">
        <v>2676</v>
      </c>
      <c r="B2677" s="24">
        <v>503380</v>
      </c>
      <c r="C2677" s="24" t="s">
        <v>2454</v>
      </c>
      <c r="D2677" s="24">
        <v>28</v>
      </c>
      <c r="E2677" s="24">
        <v>24</v>
      </c>
    </row>
    <row r="2678" spans="1:5" x14ac:dyDescent="0.25">
      <c r="A2678" s="24">
        <v>2677</v>
      </c>
      <c r="B2678" s="24">
        <v>555860</v>
      </c>
      <c r="C2678" s="24" t="s">
        <v>2132</v>
      </c>
      <c r="D2678" s="24">
        <v>27</v>
      </c>
      <c r="E2678" s="24">
        <v>23</v>
      </c>
    </row>
    <row r="2679" spans="1:5" x14ac:dyDescent="0.25">
      <c r="A2679" s="24">
        <v>2678</v>
      </c>
      <c r="B2679" s="24">
        <v>527076</v>
      </c>
      <c r="C2679" s="24" t="s">
        <v>3797</v>
      </c>
      <c r="D2679" s="24">
        <v>65</v>
      </c>
      <c r="E2679" s="24">
        <v>61</v>
      </c>
    </row>
    <row r="2680" spans="1:5" x14ac:dyDescent="0.25">
      <c r="A2680" s="24">
        <v>2679</v>
      </c>
      <c r="B2680" s="24">
        <v>516503</v>
      </c>
      <c r="C2680" s="24" t="s">
        <v>3798</v>
      </c>
      <c r="D2680" s="24">
        <v>52</v>
      </c>
      <c r="E2680" s="24">
        <v>48</v>
      </c>
    </row>
    <row r="2681" spans="1:5" x14ac:dyDescent="0.25">
      <c r="A2681" s="24">
        <v>2680</v>
      </c>
      <c r="B2681" s="24">
        <v>501522</v>
      </c>
      <c r="C2681" s="24" t="s">
        <v>1069</v>
      </c>
      <c r="D2681" s="24">
        <v>9</v>
      </c>
      <c r="E2681" s="24">
        <v>5</v>
      </c>
    </row>
    <row r="2682" spans="1:5" x14ac:dyDescent="0.25">
      <c r="A2682" s="24">
        <v>2681</v>
      </c>
      <c r="B2682" s="24">
        <v>524018</v>
      </c>
      <c r="C2682" s="24" t="s">
        <v>3799</v>
      </c>
      <c r="D2682" s="24">
        <v>61</v>
      </c>
      <c r="E2682" s="24">
        <v>57</v>
      </c>
    </row>
    <row r="2683" spans="1:5" x14ac:dyDescent="0.25">
      <c r="A2683" s="24">
        <v>2682</v>
      </c>
      <c r="B2683" s="24">
        <v>525391</v>
      </c>
      <c r="C2683" s="24" t="s">
        <v>3800</v>
      </c>
      <c r="D2683" s="24">
        <v>62</v>
      </c>
      <c r="E2683" s="24">
        <v>58</v>
      </c>
    </row>
    <row r="2684" spans="1:5" x14ac:dyDescent="0.25">
      <c r="A2684" s="24">
        <v>2683</v>
      </c>
      <c r="B2684" s="24">
        <v>525405</v>
      </c>
      <c r="C2684" s="24" t="s">
        <v>3801</v>
      </c>
      <c r="D2684" s="24">
        <v>62</v>
      </c>
      <c r="E2684" s="24">
        <v>58</v>
      </c>
    </row>
    <row r="2685" spans="1:5" x14ac:dyDescent="0.25">
      <c r="A2685" s="24">
        <v>2684</v>
      </c>
      <c r="B2685" s="24">
        <v>520977</v>
      </c>
      <c r="C2685" s="24" t="s">
        <v>3802</v>
      </c>
      <c r="D2685" s="24">
        <v>57</v>
      </c>
      <c r="E2685" s="24">
        <v>53</v>
      </c>
    </row>
    <row r="2686" spans="1:5" x14ac:dyDescent="0.25">
      <c r="A2686" s="24">
        <v>2685</v>
      </c>
      <c r="B2686" s="24">
        <v>505749</v>
      </c>
      <c r="C2686" s="24" t="s">
        <v>3803</v>
      </c>
      <c r="D2686" s="24">
        <v>30</v>
      </c>
      <c r="E2686" s="24">
        <v>26</v>
      </c>
    </row>
    <row r="2687" spans="1:5" x14ac:dyDescent="0.25">
      <c r="A2687" s="24">
        <v>2686</v>
      </c>
      <c r="B2687" s="24">
        <v>524026</v>
      </c>
      <c r="C2687" s="24" t="s">
        <v>3804</v>
      </c>
      <c r="D2687" s="24">
        <v>61</v>
      </c>
      <c r="E2687" s="24">
        <v>57</v>
      </c>
    </row>
    <row r="2688" spans="1:5" x14ac:dyDescent="0.25">
      <c r="A2688" s="24">
        <v>2687</v>
      </c>
      <c r="B2688" s="24">
        <v>507725</v>
      </c>
      <c r="C2688" s="24" t="s">
        <v>3806</v>
      </c>
      <c r="D2688" s="24">
        <v>12</v>
      </c>
      <c r="E2688" s="24">
        <v>8</v>
      </c>
    </row>
    <row r="2689" spans="1:5" x14ac:dyDescent="0.25">
      <c r="A2689" s="24">
        <v>2688</v>
      </c>
      <c r="B2689" s="24">
        <v>511145</v>
      </c>
      <c r="C2689" s="24" t="s">
        <v>3807</v>
      </c>
      <c r="D2689" s="24">
        <v>36</v>
      </c>
      <c r="E2689" s="24">
        <v>32</v>
      </c>
    </row>
    <row r="2690" spans="1:5" x14ac:dyDescent="0.25">
      <c r="A2690" s="24">
        <v>2689</v>
      </c>
      <c r="B2690" s="24">
        <v>557307</v>
      </c>
      <c r="C2690" s="24" t="s">
        <v>3808</v>
      </c>
      <c r="D2690" s="24">
        <v>48</v>
      </c>
      <c r="E2690" s="24">
        <v>44</v>
      </c>
    </row>
    <row r="2691" spans="1:5" x14ac:dyDescent="0.25">
      <c r="A2691" s="24">
        <v>2690</v>
      </c>
      <c r="B2691" s="24">
        <v>516511</v>
      </c>
      <c r="C2691" s="24" t="s">
        <v>1020</v>
      </c>
      <c r="D2691" s="24">
        <v>52</v>
      </c>
      <c r="E2691" s="24">
        <v>48</v>
      </c>
    </row>
    <row r="2692" spans="1:5" x14ac:dyDescent="0.25">
      <c r="A2692" s="24">
        <v>2691</v>
      </c>
      <c r="B2692" s="24">
        <v>555746</v>
      </c>
      <c r="C2692" s="24" t="s">
        <v>1020</v>
      </c>
      <c r="D2692" s="24">
        <v>9</v>
      </c>
      <c r="E2692" s="24">
        <v>5</v>
      </c>
    </row>
    <row r="2693" spans="1:5" x14ac:dyDescent="0.25">
      <c r="A2693" s="24">
        <v>2692</v>
      </c>
      <c r="B2693" s="24">
        <v>515752</v>
      </c>
      <c r="C2693" s="24" t="s">
        <v>3809</v>
      </c>
      <c r="D2693" s="24">
        <v>51</v>
      </c>
      <c r="E2693" s="24">
        <v>47</v>
      </c>
    </row>
    <row r="2694" spans="1:5" x14ac:dyDescent="0.25">
      <c r="A2694" s="24">
        <v>2693</v>
      </c>
      <c r="B2694" s="24">
        <v>500909</v>
      </c>
      <c r="C2694" s="24" t="s">
        <v>3810</v>
      </c>
      <c r="D2694" s="24">
        <v>31</v>
      </c>
      <c r="E2694" s="24">
        <v>27</v>
      </c>
    </row>
    <row r="2695" spans="1:5" x14ac:dyDescent="0.25">
      <c r="A2695" s="24">
        <v>2694</v>
      </c>
      <c r="B2695" s="24">
        <v>518921</v>
      </c>
      <c r="C2695" s="24" t="s">
        <v>3811</v>
      </c>
      <c r="D2695" s="24">
        <v>46</v>
      </c>
      <c r="E2695" s="24">
        <v>42</v>
      </c>
    </row>
    <row r="2696" spans="1:5" x14ac:dyDescent="0.25">
      <c r="A2696" s="24">
        <v>2695</v>
      </c>
      <c r="B2696" s="24">
        <v>518930</v>
      </c>
      <c r="C2696" s="24" t="s">
        <v>3812</v>
      </c>
      <c r="D2696" s="24">
        <v>46</v>
      </c>
      <c r="E2696" s="24">
        <v>42</v>
      </c>
    </row>
    <row r="2697" spans="1:5" x14ac:dyDescent="0.25">
      <c r="A2697" s="24">
        <v>2696</v>
      </c>
      <c r="B2697" s="24">
        <v>524034</v>
      </c>
      <c r="C2697" s="24" t="s">
        <v>3813</v>
      </c>
      <c r="D2697" s="24">
        <v>61</v>
      </c>
      <c r="E2697" s="24">
        <v>57</v>
      </c>
    </row>
    <row r="2698" spans="1:5" x14ac:dyDescent="0.25">
      <c r="A2698" s="24">
        <v>2697</v>
      </c>
      <c r="B2698" s="24">
        <v>516520</v>
      </c>
      <c r="C2698" s="24" t="s">
        <v>3814</v>
      </c>
      <c r="D2698" s="24">
        <v>52</v>
      </c>
      <c r="E2698" s="24">
        <v>48</v>
      </c>
    </row>
    <row r="2699" spans="1:5" x14ac:dyDescent="0.25">
      <c r="A2699" s="24">
        <v>2698</v>
      </c>
      <c r="B2699" s="24">
        <v>543926</v>
      </c>
      <c r="C2699" s="24" t="s">
        <v>3815</v>
      </c>
      <c r="D2699" s="24">
        <v>79</v>
      </c>
      <c r="E2699" s="24">
        <v>74</v>
      </c>
    </row>
    <row r="2700" spans="1:5" x14ac:dyDescent="0.25">
      <c r="A2700" s="24">
        <v>2699</v>
      </c>
      <c r="B2700" s="24">
        <v>508306</v>
      </c>
      <c r="C2700" s="24" t="s">
        <v>3816</v>
      </c>
      <c r="D2700" s="24">
        <v>7</v>
      </c>
      <c r="E2700" s="24">
        <v>2</v>
      </c>
    </row>
    <row r="2701" spans="1:5" x14ac:dyDescent="0.25">
      <c r="A2701" s="24">
        <v>2700</v>
      </c>
      <c r="B2701" s="24">
        <v>523259</v>
      </c>
      <c r="C2701" s="24" t="s">
        <v>3817</v>
      </c>
      <c r="D2701" s="24">
        <v>75</v>
      </c>
      <c r="E2701" s="24">
        <v>67</v>
      </c>
    </row>
    <row r="2702" spans="1:5" x14ac:dyDescent="0.25">
      <c r="A2702" s="24">
        <v>2701</v>
      </c>
      <c r="B2702" s="24">
        <v>500917</v>
      </c>
      <c r="C2702" s="24" t="s">
        <v>4282</v>
      </c>
      <c r="D2702" s="24">
        <v>27</v>
      </c>
      <c r="E2702" s="24">
        <v>23</v>
      </c>
    </row>
    <row r="2703" spans="1:5" x14ac:dyDescent="0.25">
      <c r="A2703" s="24">
        <v>2702</v>
      </c>
      <c r="B2703" s="24">
        <v>504157</v>
      </c>
      <c r="C2703" s="24" t="s">
        <v>3820</v>
      </c>
      <c r="D2703" s="24">
        <v>10</v>
      </c>
      <c r="E2703" s="24">
        <v>6</v>
      </c>
    </row>
    <row r="2704" spans="1:5" x14ac:dyDescent="0.25">
      <c r="A2704" s="24">
        <v>2703</v>
      </c>
      <c r="B2704" s="24">
        <v>508314</v>
      </c>
      <c r="C2704" s="24" t="s">
        <v>4283</v>
      </c>
      <c r="D2704" s="24">
        <v>7</v>
      </c>
      <c r="E2704" s="24">
        <v>2</v>
      </c>
    </row>
    <row r="2705" spans="1:5" x14ac:dyDescent="0.25">
      <c r="A2705" s="24">
        <v>2704</v>
      </c>
      <c r="B2705" s="24">
        <v>555827</v>
      </c>
      <c r="C2705" s="24" t="s">
        <v>3017</v>
      </c>
      <c r="D2705" s="24">
        <v>25</v>
      </c>
      <c r="E2705" s="24">
        <v>21</v>
      </c>
    </row>
    <row r="2706" spans="1:5" x14ac:dyDescent="0.25">
      <c r="A2706" s="24">
        <v>2705</v>
      </c>
      <c r="B2706" s="24">
        <v>527084</v>
      </c>
      <c r="C2706" s="24" t="s">
        <v>3823</v>
      </c>
      <c r="D2706" s="24">
        <v>65</v>
      </c>
      <c r="E2706" s="24">
        <v>61</v>
      </c>
    </row>
    <row r="2707" spans="1:5" x14ac:dyDescent="0.25">
      <c r="A2707" s="24">
        <v>2706</v>
      </c>
      <c r="B2707" s="24">
        <v>527998</v>
      </c>
      <c r="C2707" s="24" t="s">
        <v>3824</v>
      </c>
      <c r="D2707" s="24">
        <v>66</v>
      </c>
      <c r="E2707" s="24">
        <v>62</v>
      </c>
    </row>
    <row r="2708" spans="1:5" x14ac:dyDescent="0.25">
      <c r="A2708" s="24">
        <v>2707</v>
      </c>
      <c r="B2708" s="24">
        <v>513776</v>
      </c>
      <c r="C2708" s="24" t="s">
        <v>3825</v>
      </c>
      <c r="D2708" s="24">
        <v>23</v>
      </c>
      <c r="E2708" s="24">
        <v>19</v>
      </c>
    </row>
    <row r="2709" spans="1:5" x14ac:dyDescent="0.25">
      <c r="A2709" s="24">
        <v>2708</v>
      </c>
      <c r="B2709" s="24">
        <v>543934</v>
      </c>
      <c r="C2709" s="24" t="s">
        <v>3826</v>
      </c>
      <c r="D2709" s="24">
        <v>79</v>
      </c>
      <c r="E2709" s="24">
        <v>71</v>
      </c>
    </row>
    <row r="2710" spans="1:5" x14ac:dyDescent="0.25">
      <c r="A2710" s="24">
        <v>2709</v>
      </c>
      <c r="B2710" s="24">
        <v>506672</v>
      </c>
      <c r="C2710" s="24" t="s">
        <v>3827</v>
      </c>
      <c r="D2710" s="24">
        <v>19</v>
      </c>
      <c r="E2710" s="24">
        <v>15</v>
      </c>
    </row>
    <row r="2711" spans="1:5" x14ac:dyDescent="0.25">
      <c r="A2711" s="24">
        <v>2710</v>
      </c>
      <c r="B2711" s="24">
        <v>515761</v>
      </c>
      <c r="C2711" s="24" t="s">
        <v>3827</v>
      </c>
      <c r="D2711" s="24">
        <v>50</v>
      </c>
      <c r="E2711" s="24">
        <v>46</v>
      </c>
    </row>
    <row r="2712" spans="1:5" x14ac:dyDescent="0.25">
      <c r="A2712" s="24">
        <v>2711</v>
      </c>
      <c r="B2712" s="24">
        <v>518093</v>
      </c>
      <c r="C2712" s="24" t="s">
        <v>3827</v>
      </c>
      <c r="D2712" s="24">
        <v>42</v>
      </c>
      <c r="E2712" s="24">
        <v>38</v>
      </c>
    </row>
    <row r="2713" spans="1:5" x14ac:dyDescent="0.25">
      <c r="A2713" s="24">
        <v>2712</v>
      </c>
      <c r="B2713" s="24">
        <v>508322</v>
      </c>
      <c r="C2713" s="24" t="s">
        <v>3828</v>
      </c>
      <c r="D2713" s="24">
        <v>7</v>
      </c>
      <c r="E2713" s="24">
        <v>2</v>
      </c>
    </row>
    <row r="2714" spans="1:5" x14ac:dyDescent="0.25">
      <c r="A2714" s="24">
        <v>2713</v>
      </c>
      <c r="B2714" s="24">
        <v>510173</v>
      </c>
      <c r="C2714" s="24" t="s">
        <v>3830</v>
      </c>
      <c r="D2714" s="24">
        <v>41</v>
      </c>
      <c r="E2714" s="24">
        <v>37</v>
      </c>
    </row>
    <row r="2715" spans="1:5" x14ac:dyDescent="0.25">
      <c r="A2715" s="24">
        <v>2714</v>
      </c>
      <c r="B2715" s="24">
        <v>525413</v>
      </c>
      <c r="C2715" s="24" t="s">
        <v>3831</v>
      </c>
      <c r="D2715" s="24">
        <v>62</v>
      </c>
      <c r="E2715" s="24">
        <v>58</v>
      </c>
    </row>
    <row r="2716" spans="1:5" x14ac:dyDescent="0.25">
      <c r="A2716" s="24">
        <v>2715</v>
      </c>
      <c r="B2716" s="24">
        <v>520985</v>
      </c>
      <c r="C2716" s="24" t="s">
        <v>3832</v>
      </c>
      <c r="D2716" s="24">
        <v>57</v>
      </c>
      <c r="E2716" s="24">
        <v>53</v>
      </c>
    </row>
    <row r="2717" spans="1:5" x14ac:dyDescent="0.25">
      <c r="A2717" s="24">
        <v>2716</v>
      </c>
      <c r="B2717" s="24">
        <v>543713</v>
      </c>
      <c r="C2717" s="24" t="s">
        <v>3833</v>
      </c>
      <c r="D2717" s="24">
        <v>78</v>
      </c>
      <c r="E2717" s="24">
        <v>70</v>
      </c>
    </row>
    <row r="2718" spans="1:5" x14ac:dyDescent="0.25">
      <c r="A2718" s="24">
        <v>2717</v>
      </c>
      <c r="B2718" s="24">
        <v>529231</v>
      </c>
      <c r="C2718" s="24" t="s">
        <v>3834</v>
      </c>
      <c r="D2718" s="24">
        <v>68</v>
      </c>
      <c r="E2718" s="24">
        <v>64</v>
      </c>
    </row>
    <row r="2719" spans="1:5" x14ac:dyDescent="0.25">
      <c r="A2719" s="24">
        <v>2718</v>
      </c>
      <c r="B2719" s="24">
        <v>528005</v>
      </c>
      <c r="C2719" s="24" t="s">
        <v>3836</v>
      </c>
      <c r="D2719" s="24">
        <v>66</v>
      </c>
      <c r="E2719" s="24">
        <v>62</v>
      </c>
    </row>
    <row r="2720" spans="1:5" x14ac:dyDescent="0.25">
      <c r="A2720" s="24">
        <v>2719</v>
      </c>
      <c r="B2720" s="24">
        <v>526339</v>
      </c>
      <c r="C2720" s="24" t="s">
        <v>3838</v>
      </c>
      <c r="D2720" s="24">
        <v>76</v>
      </c>
      <c r="E2720" s="24">
        <v>68</v>
      </c>
    </row>
    <row r="2721" spans="1:5" x14ac:dyDescent="0.25">
      <c r="A2721" s="24">
        <v>2720</v>
      </c>
      <c r="B2721" s="24">
        <v>511153</v>
      </c>
      <c r="C2721" s="24" t="s">
        <v>3839</v>
      </c>
      <c r="D2721" s="24">
        <v>36</v>
      </c>
      <c r="E2721" s="24">
        <v>32</v>
      </c>
    </row>
    <row r="2722" spans="1:5" x14ac:dyDescent="0.25">
      <c r="A2722" s="24">
        <v>2721</v>
      </c>
      <c r="B2722" s="24">
        <v>504165</v>
      </c>
      <c r="C2722" s="24" t="s">
        <v>3841</v>
      </c>
      <c r="D2722" s="24">
        <v>29</v>
      </c>
      <c r="E2722" s="24">
        <v>25</v>
      </c>
    </row>
    <row r="2723" spans="1:5" x14ac:dyDescent="0.25">
      <c r="A2723" s="24">
        <v>2722</v>
      </c>
      <c r="B2723" s="24">
        <v>556513</v>
      </c>
      <c r="C2723" s="24" t="s">
        <v>3842</v>
      </c>
      <c r="D2723" s="24">
        <v>15</v>
      </c>
      <c r="E2723" s="24">
        <v>11</v>
      </c>
    </row>
    <row r="2724" spans="1:5" x14ac:dyDescent="0.25">
      <c r="A2724" s="24">
        <v>2723</v>
      </c>
      <c r="B2724" s="24">
        <v>557293</v>
      </c>
      <c r="C2724" s="24" t="s">
        <v>3843</v>
      </c>
      <c r="D2724" s="24">
        <v>43</v>
      </c>
      <c r="E2724" s="24">
        <v>39</v>
      </c>
    </row>
    <row r="2725" spans="1:5" x14ac:dyDescent="0.25">
      <c r="A2725" s="24">
        <v>2724</v>
      </c>
      <c r="B2725" s="24">
        <v>556025</v>
      </c>
      <c r="C2725" s="24" t="s">
        <v>3844</v>
      </c>
      <c r="D2725" s="24">
        <v>28</v>
      </c>
      <c r="E2725" s="24">
        <v>24</v>
      </c>
    </row>
    <row r="2726" spans="1:5" x14ac:dyDescent="0.25">
      <c r="A2726" s="24">
        <v>2725</v>
      </c>
      <c r="B2726" s="24">
        <v>524042</v>
      </c>
      <c r="C2726" s="24" t="s">
        <v>3845</v>
      </c>
      <c r="D2726" s="24">
        <v>58</v>
      </c>
      <c r="E2726" s="24">
        <v>54</v>
      </c>
    </row>
    <row r="2727" spans="1:5" x14ac:dyDescent="0.25">
      <c r="A2727" s="24">
        <v>2726</v>
      </c>
      <c r="B2727" s="24">
        <v>524051</v>
      </c>
      <c r="C2727" s="24" t="s">
        <v>3846</v>
      </c>
      <c r="D2727" s="24">
        <v>58</v>
      </c>
      <c r="E2727" s="24">
        <v>54</v>
      </c>
    </row>
    <row r="2728" spans="1:5" x14ac:dyDescent="0.25">
      <c r="A2728" s="24">
        <v>2727</v>
      </c>
      <c r="B2728" s="24">
        <v>508331</v>
      </c>
      <c r="C2728" s="24" t="s">
        <v>3847</v>
      </c>
      <c r="D2728" s="24">
        <v>8</v>
      </c>
      <c r="E2728" s="24">
        <v>3</v>
      </c>
    </row>
    <row r="2729" spans="1:5" x14ac:dyDescent="0.25">
      <c r="A2729" s="24">
        <v>2728</v>
      </c>
      <c r="B2729" s="24">
        <v>515779</v>
      </c>
      <c r="C2729" s="24" t="s">
        <v>3848</v>
      </c>
      <c r="D2729" s="24">
        <v>51</v>
      </c>
      <c r="E2729" s="24">
        <v>47</v>
      </c>
    </row>
    <row r="2730" spans="1:5" x14ac:dyDescent="0.25">
      <c r="A2730" s="24">
        <v>2729</v>
      </c>
      <c r="B2730" s="24">
        <v>507741</v>
      </c>
      <c r="C2730" s="24" t="s">
        <v>3849</v>
      </c>
      <c r="D2730" s="24">
        <v>15</v>
      </c>
      <c r="E2730" s="24">
        <v>11</v>
      </c>
    </row>
    <row r="2731" spans="1:5" x14ac:dyDescent="0.25">
      <c r="A2731" s="24">
        <v>2730</v>
      </c>
      <c r="B2731" s="24">
        <v>543942</v>
      </c>
      <c r="C2731" s="24" t="s">
        <v>3850</v>
      </c>
      <c r="D2731" s="24">
        <v>75</v>
      </c>
      <c r="E2731" s="24">
        <v>73</v>
      </c>
    </row>
    <row r="2732" spans="1:5" x14ac:dyDescent="0.25">
      <c r="A2732" s="24">
        <v>2731</v>
      </c>
      <c r="B2732" s="24">
        <v>543951</v>
      </c>
      <c r="C2732" s="24" t="s">
        <v>3851</v>
      </c>
      <c r="D2732" s="24">
        <v>79</v>
      </c>
      <c r="E2732" s="24">
        <v>71</v>
      </c>
    </row>
    <row r="2733" spans="1:5" x14ac:dyDescent="0.25">
      <c r="A2733" s="24">
        <v>2732</v>
      </c>
      <c r="B2733" s="24">
        <v>543969</v>
      </c>
      <c r="C2733" s="24" t="s">
        <v>3852</v>
      </c>
      <c r="D2733" s="24">
        <v>79</v>
      </c>
      <c r="E2733" s="24">
        <v>74</v>
      </c>
    </row>
    <row r="2734" spans="1:5" x14ac:dyDescent="0.25">
      <c r="A2734" s="24">
        <v>2733</v>
      </c>
      <c r="B2734" s="24">
        <v>501999</v>
      </c>
      <c r="C2734" s="24" t="s">
        <v>3854</v>
      </c>
      <c r="D2734" s="24">
        <v>9</v>
      </c>
      <c r="E2734" s="24">
        <v>5</v>
      </c>
    </row>
    <row r="2735" spans="1:5" x14ac:dyDescent="0.25">
      <c r="A2735" s="24">
        <v>2734</v>
      </c>
      <c r="B2735" s="24">
        <v>543721</v>
      </c>
      <c r="C2735" s="24" t="s">
        <v>3855</v>
      </c>
      <c r="D2735" s="24">
        <v>78</v>
      </c>
      <c r="E2735" s="24">
        <v>70</v>
      </c>
    </row>
    <row r="2736" spans="1:5" x14ac:dyDescent="0.25">
      <c r="A2736" s="24">
        <v>2735</v>
      </c>
      <c r="B2736" s="24">
        <v>524069</v>
      </c>
      <c r="C2736" s="24" t="s">
        <v>3856</v>
      </c>
      <c r="D2736" s="24">
        <v>58</v>
      </c>
      <c r="E2736" s="24">
        <v>54</v>
      </c>
    </row>
    <row r="2737" spans="1:5" x14ac:dyDescent="0.25">
      <c r="A2737" s="24">
        <v>2736</v>
      </c>
      <c r="B2737" s="24">
        <v>523267</v>
      </c>
      <c r="C2737" s="24" t="s">
        <v>3857</v>
      </c>
      <c r="D2737" s="24">
        <v>77</v>
      </c>
      <c r="E2737" s="24">
        <v>69</v>
      </c>
    </row>
    <row r="2738" spans="1:5" x14ac:dyDescent="0.25">
      <c r="A2738" s="24">
        <v>2737</v>
      </c>
      <c r="B2738" s="24">
        <v>528013</v>
      </c>
      <c r="C2738" s="24" t="s">
        <v>3859</v>
      </c>
      <c r="D2738" s="24">
        <v>66</v>
      </c>
      <c r="E2738" s="24">
        <v>62</v>
      </c>
    </row>
    <row r="2739" spans="1:5" x14ac:dyDescent="0.25">
      <c r="A2739" s="24">
        <v>2738</v>
      </c>
      <c r="B2739" s="24">
        <v>523275</v>
      </c>
      <c r="C2739" s="24" t="s">
        <v>3860</v>
      </c>
      <c r="D2739" s="24">
        <v>75</v>
      </c>
      <c r="E2739" s="24">
        <v>67</v>
      </c>
    </row>
    <row r="2740" spans="1:5" x14ac:dyDescent="0.25">
      <c r="A2740" s="24">
        <v>2739</v>
      </c>
      <c r="B2740" s="24">
        <v>520993</v>
      </c>
      <c r="C2740" s="24" t="s">
        <v>3861</v>
      </c>
      <c r="D2740" s="24">
        <v>60</v>
      </c>
      <c r="E2740" s="24">
        <v>56</v>
      </c>
    </row>
    <row r="2741" spans="1:5" x14ac:dyDescent="0.25">
      <c r="A2741" s="24">
        <v>2740</v>
      </c>
      <c r="B2741" s="24">
        <v>500925</v>
      </c>
      <c r="C2741" s="24" t="s">
        <v>3862</v>
      </c>
      <c r="D2741" s="24">
        <v>31</v>
      </c>
      <c r="E2741" s="24">
        <v>27</v>
      </c>
    </row>
    <row r="2742" spans="1:5" x14ac:dyDescent="0.25">
      <c r="A2742" s="24">
        <v>2741</v>
      </c>
      <c r="B2742" s="24">
        <v>517356</v>
      </c>
      <c r="C2742" s="24" t="s">
        <v>3864</v>
      </c>
      <c r="D2742" s="24">
        <v>54</v>
      </c>
      <c r="E2742" s="24">
        <v>50</v>
      </c>
    </row>
    <row r="2743" spans="1:5" x14ac:dyDescent="0.25">
      <c r="A2743" s="24">
        <v>2742</v>
      </c>
      <c r="B2743" s="24">
        <v>504173</v>
      </c>
      <c r="C2743" s="24" t="s">
        <v>3865</v>
      </c>
      <c r="D2743" s="24">
        <v>10</v>
      </c>
      <c r="E2743" s="24">
        <v>6</v>
      </c>
    </row>
    <row r="2744" spans="1:5" x14ac:dyDescent="0.25">
      <c r="A2744" s="24">
        <v>2743</v>
      </c>
      <c r="B2744" s="24">
        <v>505757</v>
      </c>
      <c r="C2744" s="24" t="s">
        <v>3865</v>
      </c>
      <c r="D2744" s="24">
        <v>30</v>
      </c>
      <c r="E2744" s="24">
        <v>26</v>
      </c>
    </row>
    <row r="2745" spans="1:5" x14ac:dyDescent="0.25">
      <c r="A2745" s="24">
        <v>2744</v>
      </c>
      <c r="B2745" s="24">
        <v>500933</v>
      </c>
      <c r="C2745" s="24" t="s">
        <v>3866</v>
      </c>
      <c r="D2745" s="24">
        <v>27</v>
      </c>
      <c r="E2745" s="24">
        <v>23</v>
      </c>
    </row>
    <row r="2746" spans="1:5" x14ac:dyDescent="0.25">
      <c r="A2746" s="24">
        <v>2745</v>
      </c>
      <c r="B2746" s="24">
        <v>504963</v>
      </c>
      <c r="C2746" s="24" t="s">
        <v>3867</v>
      </c>
      <c r="D2746" s="24">
        <v>14</v>
      </c>
      <c r="E2746" s="24">
        <v>10</v>
      </c>
    </row>
    <row r="2747" spans="1:5" x14ac:dyDescent="0.25">
      <c r="A2747" s="24">
        <v>2746</v>
      </c>
      <c r="B2747" s="24">
        <v>502006</v>
      </c>
      <c r="C2747" s="24" t="s">
        <v>3869</v>
      </c>
      <c r="D2747" s="24">
        <v>9</v>
      </c>
      <c r="E2747" s="24">
        <v>5</v>
      </c>
    </row>
    <row r="2748" spans="1:5" x14ac:dyDescent="0.25">
      <c r="A2748" s="24">
        <v>2747</v>
      </c>
      <c r="B2748" s="24">
        <v>544051</v>
      </c>
      <c r="C2748" s="24" t="s">
        <v>3872</v>
      </c>
      <c r="D2748" s="24">
        <v>68</v>
      </c>
      <c r="E2748" s="24">
        <v>64</v>
      </c>
    </row>
    <row r="2749" spans="1:5" x14ac:dyDescent="0.25">
      <c r="A2749" s="24">
        <v>2748</v>
      </c>
      <c r="B2749" s="24">
        <v>523283</v>
      </c>
      <c r="C2749" s="24" t="s">
        <v>3873</v>
      </c>
      <c r="D2749" s="24">
        <v>75</v>
      </c>
      <c r="E2749" s="24">
        <v>67</v>
      </c>
    </row>
    <row r="2750" spans="1:5" x14ac:dyDescent="0.25">
      <c r="A2750" s="24">
        <v>2749</v>
      </c>
      <c r="B2750" s="24">
        <v>524077</v>
      </c>
      <c r="C2750" s="24" t="s">
        <v>3874</v>
      </c>
      <c r="D2750" s="24">
        <v>58</v>
      </c>
      <c r="E2750" s="24">
        <v>54</v>
      </c>
    </row>
    <row r="2751" spans="1:5" x14ac:dyDescent="0.25">
      <c r="A2751" s="24">
        <v>2750</v>
      </c>
      <c r="B2751" s="24">
        <v>501409</v>
      </c>
      <c r="C2751" s="24" t="s">
        <v>3875</v>
      </c>
      <c r="D2751" s="24">
        <v>25</v>
      </c>
      <c r="E2751" s="24">
        <v>21</v>
      </c>
    </row>
    <row r="2752" spans="1:5" x14ac:dyDescent="0.25">
      <c r="A2752" s="24">
        <v>2751</v>
      </c>
      <c r="B2752" s="24">
        <v>504971</v>
      </c>
      <c r="C2752" s="24" t="s">
        <v>3876</v>
      </c>
      <c r="D2752" s="24">
        <v>18</v>
      </c>
      <c r="E2752" s="24">
        <v>14</v>
      </c>
    </row>
    <row r="2753" spans="1:5" x14ac:dyDescent="0.25">
      <c r="A2753" s="24">
        <v>2752</v>
      </c>
      <c r="B2753" s="24">
        <v>507750</v>
      </c>
      <c r="C2753" s="24" t="s">
        <v>3877</v>
      </c>
      <c r="D2753" s="24">
        <v>12</v>
      </c>
      <c r="E2753" s="24">
        <v>8</v>
      </c>
    </row>
    <row r="2754" spans="1:5" x14ac:dyDescent="0.25">
      <c r="A2754" s="24">
        <v>2753</v>
      </c>
      <c r="B2754" s="24">
        <v>516538</v>
      </c>
      <c r="C2754" s="24" t="s">
        <v>3878</v>
      </c>
      <c r="D2754" s="24">
        <v>52</v>
      </c>
      <c r="E2754" s="24">
        <v>48</v>
      </c>
    </row>
    <row r="2755" spans="1:5" x14ac:dyDescent="0.25">
      <c r="A2755" s="24">
        <v>2754</v>
      </c>
      <c r="B2755" s="24">
        <v>513784</v>
      </c>
      <c r="C2755" s="24" t="s">
        <v>3879</v>
      </c>
      <c r="D2755" s="24">
        <v>21</v>
      </c>
      <c r="E2755" s="24">
        <v>17</v>
      </c>
    </row>
    <row r="2756" spans="1:5" x14ac:dyDescent="0.25">
      <c r="A2756" s="24">
        <v>2755</v>
      </c>
      <c r="B2756" s="24">
        <v>512796</v>
      </c>
      <c r="C2756" s="24" t="s">
        <v>3880</v>
      </c>
      <c r="D2756" s="24">
        <v>37</v>
      </c>
      <c r="E2756" s="24">
        <v>33</v>
      </c>
    </row>
    <row r="2757" spans="1:5" x14ac:dyDescent="0.25">
      <c r="A2757" s="24">
        <v>2756</v>
      </c>
      <c r="B2757" s="24">
        <v>557625</v>
      </c>
      <c r="C2757" s="24" t="s">
        <v>3881</v>
      </c>
      <c r="D2757" s="24">
        <v>17</v>
      </c>
      <c r="E2757" s="24">
        <v>13</v>
      </c>
    </row>
    <row r="2758" spans="1:5" x14ac:dyDescent="0.25">
      <c r="A2758" s="24">
        <v>2757</v>
      </c>
      <c r="B2758" s="24">
        <v>557358</v>
      </c>
      <c r="C2758" s="24" t="s">
        <v>3882</v>
      </c>
      <c r="D2758" s="24">
        <v>37</v>
      </c>
      <c r="E2758" s="24">
        <v>33</v>
      </c>
    </row>
    <row r="2759" spans="1:5" x14ac:dyDescent="0.25">
      <c r="A2759" s="24">
        <v>2758</v>
      </c>
      <c r="B2759" s="24">
        <v>522163</v>
      </c>
      <c r="C2759" s="24" t="s">
        <v>3883</v>
      </c>
      <c r="D2759" s="24">
        <v>74</v>
      </c>
      <c r="E2759" s="24">
        <v>66</v>
      </c>
    </row>
    <row r="2760" spans="1:5" x14ac:dyDescent="0.25">
      <c r="A2760" s="24">
        <v>2759</v>
      </c>
      <c r="B2760" s="24">
        <v>524085</v>
      </c>
      <c r="C2760" s="24" t="s">
        <v>3884</v>
      </c>
      <c r="D2760" s="24">
        <v>58</v>
      </c>
      <c r="E2760" s="24">
        <v>54</v>
      </c>
    </row>
    <row r="2761" spans="1:5" x14ac:dyDescent="0.25">
      <c r="A2761" s="24">
        <v>2760</v>
      </c>
      <c r="B2761" s="24">
        <v>500941</v>
      </c>
      <c r="C2761" s="24" t="s">
        <v>3886</v>
      </c>
      <c r="D2761" s="24">
        <v>27</v>
      </c>
      <c r="E2761" s="24">
        <v>23</v>
      </c>
    </row>
    <row r="2762" spans="1:5" x14ac:dyDescent="0.25">
      <c r="A2762" s="24">
        <v>2761</v>
      </c>
      <c r="B2762" s="24">
        <v>502014</v>
      </c>
      <c r="C2762" s="24" t="s">
        <v>3887</v>
      </c>
      <c r="D2762" s="24">
        <v>9</v>
      </c>
      <c r="E2762" s="24">
        <v>5</v>
      </c>
    </row>
    <row r="2763" spans="1:5" x14ac:dyDescent="0.25">
      <c r="A2763" s="24">
        <v>2762</v>
      </c>
      <c r="B2763" s="24">
        <v>557498</v>
      </c>
      <c r="C2763" s="24" t="s">
        <v>3888</v>
      </c>
      <c r="D2763" s="24">
        <v>23</v>
      </c>
      <c r="E2763" s="24">
        <v>19</v>
      </c>
    </row>
    <row r="2764" spans="1:5" x14ac:dyDescent="0.25">
      <c r="A2764" s="24">
        <v>2763</v>
      </c>
      <c r="B2764" s="24">
        <v>524093</v>
      </c>
      <c r="C2764" s="24" t="s">
        <v>3889</v>
      </c>
      <c r="D2764" s="24">
        <v>61</v>
      </c>
      <c r="E2764" s="24">
        <v>57</v>
      </c>
    </row>
    <row r="2765" spans="1:5" x14ac:dyDescent="0.25">
      <c r="A2765" s="24">
        <v>2764</v>
      </c>
      <c r="B2765" s="24">
        <v>517364</v>
      </c>
      <c r="C2765" s="24" t="s">
        <v>3890</v>
      </c>
      <c r="D2765" s="24">
        <v>55</v>
      </c>
      <c r="E2765" s="24">
        <v>51</v>
      </c>
    </row>
    <row r="2766" spans="1:5" x14ac:dyDescent="0.25">
      <c r="A2766" s="24">
        <v>2765</v>
      </c>
      <c r="B2766" s="24">
        <v>511170</v>
      </c>
      <c r="C2766" s="24" t="s">
        <v>3891</v>
      </c>
      <c r="D2766" s="24">
        <v>36</v>
      </c>
      <c r="E2766" s="24">
        <v>32</v>
      </c>
    </row>
    <row r="2767" spans="1:5" x14ac:dyDescent="0.25">
      <c r="A2767" s="24">
        <v>2766</v>
      </c>
      <c r="B2767" s="24">
        <v>521001</v>
      </c>
      <c r="C2767" s="24" t="s">
        <v>3892</v>
      </c>
      <c r="D2767" s="24">
        <v>60</v>
      </c>
      <c r="E2767" s="24">
        <v>56</v>
      </c>
    </row>
    <row r="2768" spans="1:5" x14ac:dyDescent="0.25">
      <c r="A2768" s="24">
        <v>2767</v>
      </c>
      <c r="B2768" s="24">
        <v>505765</v>
      </c>
      <c r="C2768" s="24" t="s">
        <v>3893</v>
      </c>
      <c r="D2768" s="24">
        <v>16</v>
      </c>
      <c r="E2768" s="24">
        <v>12</v>
      </c>
    </row>
    <row r="2769" spans="1:5" x14ac:dyDescent="0.25">
      <c r="A2769" s="24">
        <v>2768</v>
      </c>
      <c r="B2769" s="24">
        <v>517372</v>
      </c>
      <c r="C2769" s="24" t="s">
        <v>3894</v>
      </c>
      <c r="D2769" s="24">
        <v>44</v>
      </c>
      <c r="E2769" s="24">
        <v>40</v>
      </c>
    </row>
    <row r="2770" spans="1:5" x14ac:dyDescent="0.25">
      <c r="A2770" s="24">
        <v>2769</v>
      </c>
      <c r="B2770" s="24">
        <v>525421</v>
      </c>
      <c r="C2770" s="24" t="s">
        <v>3894</v>
      </c>
      <c r="D2770" s="24">
        <v>63</v>
      </c>
      <c r="E2770" s="24">
        <v>59</v>
      </c>
    </row>
    <row r="2771" spans="1:5" x14ac:dyDescent="0.25">
      <c r="A2771" s="24">
        <v>2770</v>
      </c>
      <c r="B2771" s="24">
        <v>509515</v>
      </c>
      <c r="C2771" s="24" t="s">
        <v>3895</v>
      </c>
      <c r="D2771" s="24">
        <v>33</v>
      </c>
      <c r="E2771" s="24">
        <v>29</v>
      </c>
    </row>
    <row r="2772" spans="1:5" x14ac:dyDescent="0.25">
      <c r="A2772" s="24">
        <v>2771</v>
      </c>
      <c r="B2772" s="24">
        <v>523291</v>
      </c>
      <c r="C2772" s="24" t="s">
        <v>3896</v>
      </c>
      <c r="D2772" s="24">
        <v>75</v>
      </c>
      <c r="E2772" s="24">
        <v>67</v>
      </c>
    </row>
    <row r="2773" spans="1:5" x14ac:dyDescent="0.25">
      <c r="A2773" s="24">
        <v>2772</v>
      </c>
      <c r="B2773" s="24">
        <v>508349</v>
      </c>
      <c r="C2773" s="24" t="s">
        <v>3897</v>
      </c>
      <c r="D2773" s="24">
        <v>6</v>
      </c>
      <c r="E2773" s="24">
        <v>1</v>
      </c>
    </row>
    <row r="2774" spans="1:5" x14ac:dyDescent="0.25">
      <c r="A2774" s="24">
        <v>2773</v>
      </c>
      <c r="B2774" s="24">
        <v>560103</v>
      </c>
      <c r="C2774" s="24" t="s">
        <v>4284</v>
      </c>
      <c r="D2774" s="24">
        <v>61</v>
      </c>
      <c r="E2774" s="24">
        <v>57</v>
      </c>
    </row>
    <row r="2775" spans="1:5" x14ac:dyDescent="0.25">
      <c r="A2775" s="24">
        <v>2774</v>
      </c>
      <c r="B2775" s="24">
        <v>528021</v>
      </c>
      <c r="C2775" s="24" t="s">
        <v>3898</v>
      </c>
      <c r="D2775" s="24">
        <v>66</v>
      </c>
      <c r="E2775" s="24">
        <v>62</v>
      </c>
    </row>
    <row r="2776" spans="1:5" x14ac:dyDescent="0.25">
      <c r="A2776" s="24">
        <v>2775</v>
      </c>
      <c r="B2776" s="24">
        <v>502944</v>
      </c>
      <c r="C2776" s="24" t="s">
        <v>3899</v>
      </c>
      <c r="D2776" s="24">
        <v>26</v>
      </c>
      <c r="E2776" s="24">
        <v>22</v>
      </c>
    </row>
    <row r="2777" spans="1:5" x14ac:dyDescent="0.25">
      <c r="A2777" s="24">
        <v>2776</v>
      </c>
      <c r="B2777" s="24">
        <v>511188</v>
      </c>
      <c r="C2777" s="24" t="s">
        <v>3900</v>
      </c>
      <c r="D2777" s="24">
        <v>36</v>
      </c>
      <c r="E2777" s="24">
        <v>32</v>
      </c>
    </row>
    <row r="2778" spans="1:5" x14ac:dyDescent="0.25">
      <c r="A2778" s="24">
        <v>2777</v>
      </c>
      <c r="B2778" s="24">
        <v>522171</v>
      </c>
      <c r="C2778" s="24" t="s">
        <v>3901</v>
      </c>
      <c r="D2778" s="24">
        <v>74</v>
      </c>
      <c r="E2778" s="24">
        <v>66</v>
      </c>
    </row>
    <row r="2779" spans="1:5" x14ac:dyDescent="0.25">
      <c r="A2779" s="24">
        <v>2778</v>
      </c>
      <c r="B2779" s="24">
        <v>521019</v>
      </c>
      <c r="C2779" s="24" t="s">
        <v>3902</v>
      </c>
      <c r="D2779" s="24">
        <v>57</v>
      </c>
      <c r="E2779" s="24">
        <v>53</v>
      </c>
    </row>
    <row r="2780" spans="1:5" x14ac:dyDescent="0.25">
      <c r="A2780" s="24">
        <v>2779</v>
      </c>
      <c r="B2780" s="24">
        <v>528030</v>
      </c>
      <c r="C2780" s="24" t="s">
        <v>3903</v>
      </c>
      <c r="D2780" s="24">
        <v>67</v>
      </c>
      <c r="E2780" s="24">
        <v>63</v>
      </c>
    </row>
    <row r="2781" spans="1:5" x14ac:dyDescent="0.25">
      <c r="A2781" s="24">
        <v>2780</v>
      </c>
      <c r="B2781" s="24">
        <v>522180</v>
      </c>
      <c r="C2781" s="24" t="s">
        <v>3904</v>
      </c>
      <c r="D2781" s="24">
        <v>74</v>
      </c>
      <c r="E2781" s="24">
        <v>66</v>
      </c>
    </row>
    <row r="2782" spans="1:5" x14ac:dyDescent="0.25">
      <c r="A2782" s="24">
        <v>2781</v>
      </c>
      <c r="B2782" s="24">
        <v>522198</v>
      </c>
      <c r="C2782" s="24" t="s">
        <v>3905</v>
      </c>
      <c r="D2782" s="24">
        <v>74</v>
      </c>
      <c r="E2782" s="24">
        <v>66</v>
      </c>
    </row>
    <row r="2783" spans="1:5" x14ac:dyDescent="0.25">
      <c r="A2783" s="24">
        <v>2782</v>
      </c>
      <c r="B2783" s="24">
        <v>528048</v>
      </c>
      <c r="C2783" s="24" t="s">
        <v>3906</v>
      </c>
      <c r="D2783" s="24">
        <v>66</v>
      </c>
      <c r="E2783" s="24">
        <v>62</v>
      </c>
    </row>
    <row r="2784" spans="1:5" x14ac:dyDescent="0.25">
      <c r="A2784" s="24">
        <v>2783</v>
      </c>
      <c r="B2784" s="24">
        <v>528056</v>
      </c>
      <c r="C2784" s="24" t="s">
        <v>3907</v>
      </c>
      <c r="D2784" s="24">
        <v>67</v>
      </c>
      <c r="E2784" s="24">
        <v>63</v>
      </c>
    </row>
    <row r="2785" spans="1:5" x14ac:dyDescent="0.25">
      <c r="A2785" s="24">
        <v>2784</v>
      </c>
      <c r="B2785" s="24">
        <v>519910</v>
      </c>
      <c r="C2785" s="24" t="s">
        <v>3909</v>
      </c>
      <c r="D2785" s="24">
        <v>56</v>
      </c>
      <c r="E2785" s="24">
        <v>52</v>
      </c>
    </row>
    <row r="2786" spans="1:5" x14ac:dyDescent="0.25">
      <c r="A2786" s="24">
        <v>2785</v>
      </c>
      <c r="B2786" s="24">
        <v>523305</v>
      </c>
      <c r="C2786" s="24" t="s">
        <v>3910</v>
      </c>
      <c r="D2786" s="24">
        <v>77</v>
      </c>
      <c r="E2786" s="24">
        <v>69</v>
      </c>
    </row>
    <row r="2787" spans="1:5" x14ac:dyDescent="0.25">
      <c r="A2787" s="24">
        <v>2786</v>
      </c>
      <c r="B2787" s="24">
        <v>529249</v>
      </c>
      <c r="C2787" s="24" t="s">
        <v>3911</v>
      </c>
      <c r="D2787" s="24">
        <v>57</v>
      </c>
      <c r="E2787" s="24">
        <v>53</v>
      </c>
    </row>
    <row r="2788" spans="1:5" x14ac:dyDescent="0.25">
      <c r="A2788" s="24">
        <v>2787</v>
      </c>
      <c r="B2788" s="24">
        <v>526347</v>
      </c>
      <c r="C2788" s="24" t="s">
        <v>3912</v>
      </c>
      <c r="D2788" s="24">
        <v>76</v>
      </c>
      <c r="E2788" s="24">
        <v>68</v>
      </c>
    </row>
    <row r="2789" spans="1:5" x14ac:dyDescent="0.25">
      <c r="A2789" s="24">
        <v>2788</v>
      </c>
      <c r="B2789" s="24">
        <v>525430</v>
      </c>
      <c r="C2789" s="24" t="s">
        <v>3913</v>
      </c>
      <c r="D2789" s="24">
        <v>62</v>
      </c>
      <c r="E2789" s="24">
        <v>58</v>
      </c>
    </row>
    <row r="2790" spans="1:5" x14ac:dyDescent="0.25">
      <c r="A2790" s="24">
        <v>2789</v>
      </c>
      <c r="B2790" s="24">
        <v>519928</v>
      </c>
      <c r="C2790" s="24" t="s">
        <v>3915</v>
      </c>
      <c r="D2790" s="24">
        <v>56</v>
      </c>
      <c r="E2790" s="24">
        <v>52</v>
      </c>
    </row>
    <row r="2791" spans="1:5" x14ac:dyDescent="0.25">
      <c r="A2791" s="24">
        <v>2790</v>
      </c>
      <c r="B2791" s="24">
        <v>521027</v>
      </c>
      <c r="C2791" s="24" t="s">
        <v>3916</v>
      </c>
      <c r="D2791" s="24">
        <v>57</v>
      </c>
      <c r="E2791" s="24">
        <v>53</v>
      </c>
    </row>
    <row r="2792" spans="1:5" x14ac:dyDescent="0.25">
      <c r="A2792" s="24">
        <v>2791</v>
      </c>
      <c r="B2792" s="24">
        <v>502952</v>
      </c>
      <c r="C2792" s="24" t="s">
        <v>3917</v>
      </c>
      <c r="D2792" s="24">
        <v>26</v>
      </c>
      <c r="E2792" s="24">
        <v>22</v>
      </c>
    </row>
    <row r="2793" spans="1:5" x14ac:dyDescent="0.25">
      <c r="A2793" s="24">
        <v>2792</v>
      </c>
      <c r="B2793" s="24">
        <v>523313</v>
      </c>
      <c r="C2793" s="24" t="s">
        <v>3918</v>
      </c>
      <c r="D2793" s="24">
        <v>77</v>
      </c>
      <c r="E2793" s="24">
        <v>69</v>
      </c>
    </row>
    <row r="2794" spans="1:5" x14ac:dyDescent="0.25">
      <c r="A2794" s="24">
        <v>2793</v>
      </c>
      <c r="B2794" s="24">
        <v>523321</v>
      </c>
      <c r="C2794" s="24" t="s">
        <v>3920</v>
      </c>
      <c r="D2794" s="24">
        <v>77</v>
      </c>
      <c r="E2794" s="24">
        <v>69</v>
      </c>
    </row>
    <row r="2795" spans="1:5" x14ac:dyDescent="0.25">
      <c r="A2795" s="24">
        <v>2794</v>
      </c>
      <c r="B2795" s="24">
        <v>526606</v>
      </c>
      <c r="C2795" s="24" t="s">
        <v>3921</v>
      </c>
      <c r="D2795" s="24">
        <v>59</v>
      </c>
      <c r="E2795" s="24">
        <v>55</v>
      </c>
    </row>
    <row r="2796" spans="1:5" x14ac:dyDescent="0.25">
      <c r="A2796" s="24">
        <v>2795</v>
      </c>
      <c r="B2796" s="24">
        <v>527092</v>
      </c>
      <c r="C2796" s="24" t="s">
        <v>3922</v>
      </c>
      <c r="D2796" s="24">
        <v>65</v>
      </c>
      <c r="E2796" s="24">
        <v>61</v>
      </c>
    </row>
    <row r="2797" spans="1:5" x14ac:dyDescent="0.25">
      <c r="A2797" s="24">
        <v>2796</v>
      </c>
      <c r="B2797" s="24">
        <v>557901</v>
      </c>
      <c r="C2797" s="24" t="s">
        <v>3923</v>
      </c>
      <c r="D2797" s="24">
        <v>51</v>
      </c>
      <c r="E2797" s="24">
        <v>47</v>
      </c>
    </row>
    <row r="2798" spans="1:5" x14ac:dyDescent="0.25">
      <c r="A2798" s="24">
        <v>2797</v>
      </c>
      <c r="B2798" s="24">
        <v>522201</v>
      </c>
      <c r="C2798" s="24" t="s">
        <v>3924</v>
      </c>
      <c r="D2798" s="24">
        <v>74</v>
      </c>
      <c r="E2798" s="24">
        <v>66</v>
      </c>
    </row>
    <row r="2799" spans="1:5" x14ac:dyDescent="0.25">
      <c r="A2799" s="24">
        <v>2798</v>
      </c>
      <c r="B2799" s="24">
        <v>560073</v>
      </c>
      <c r="C2799" s="24" t="s">
        <v>3623</v>
      </c>
      <c r="D2799" s="24">
        <v>66</v>
      </c>
      <c r="E2799" s="24">
        <v>62</v>
      </c>
    </row>
    <row r="2800" spans="1:5" x14ac:dyDescent="0.25">
      <c r="A2800" s="24">
        <v>2799</v>
      </c>
      <c r="B2800" s="24">
        <v>521035</v>
      </c>
      <c r="C2800" s="24" t="s">
        <v>3926</v>
      </c>
      <c r="D2800" s="24">
        <v>57</v>
      </c>
      <c r="E2800" s="24">
        <v>53</v>
      </c>
    </row>
    <row r="2801" spans="1:5" x14ac:dyDescent="0.25">
      <c r="A2801" s="24">
        <v>2800</v>
      </c>
      <c r="B2801" s="24">
        <v>529117</v>
      </c>
      <c r="C2801" s="24" t="s">
        <v>3135</v>
      </c>
      <c r="D2801" s="24">
        <v>68</v>
      </c>
      <c r="E2801" s="24">
        <v>64</v>
      </c>
    </row>
    <row r="2802" spans="1:5" x14ac:dyDescent="0.25">
      <c r="A2802" s="24">
        <v>2801</v>
      </c>
      <c r="B2802" s="24">
        <v>522210</v>
      </c>
      <c r="C2802" s="24" t="s">
        <v>3927</v>
      </c>
      <c r="D2802" s="24">
        <v>74</v>
      </c>
      <c r="E2802" s="24">
        <v>66</v>
      </c>
    </row>
    <row r="2803" spans="1:5" x14ac:dyDescent="0.25">
      <c r="A2803" s="24">
        <v>2802</v>
      </c>
      <c r="B2803" s="24">
        <v>528064</v>
      </c>
      <c r="C2803" s="24" t="s">
        <v>3928</v>
      </c>
      <c r="D2803" s="24">
        <v>67</v>
      </c>
      <c r="E2803" s="24">
        <v>63</v>
      </c>
    </row>
    <row r="2804" spans="1:5" x14ac:dyDescent="0.25">
      <c r="A2804" s="24">
        <v>2803</v>
      </c>
      <c r="B2804" s="24">
        <v>519944</v>
      </c>
      <c r="C2804" s="24" t="s">
        <v>3929</v>
      </c>
      <c r="D2804" s="24">
        <v>56</v>
      </c>
      <c r="E2804" s="24">
        <v>52</v>
      </c>
    </row>
    <row r="2805" spans="1:5" x14ac:dyDescent="0.25">
      <c r="A2805" s="24">
        <v>2804</v>
      </c>
      <c r="B2805" s="24">
        <v>510181</v>
      </c>
      <c r="C2805" s="24" t="s">
        <v>3930</v>
      </c>
      <c r="D2805" s="24">
        <v>34</v>
      </c>
      <c r="E2805" s="24">
        <v>30</v>
      </c>
    </row>
    <row r="2806" spans="1:5" x14ac:dyDescent="0.25">
      <c r="A2806" s="24">
        <v>2805</v>
      </c>
      <c r="B2806" s="24">
        <v>582093</v>
      </c>
      <c r="C2806" s="24" t="s">
        <v>2420</v>
      </c>
      <c r="D2806" s="24">
        <v>74</v>
      </c>
      <c r="E2806" s="24">
        <v>72</v>
      </c>
    </row>
    <row r="2807" spans="1:5" x14ac:dyDescent="0.25">
      <c r="A2807" s="24">
        <v>2806</v>
      </c>
      <c r="B2807" s="24">
        <v>528072</v>
      </c>
      <c r="C2807" s="24" t="s">
        <v>3932</v>
      </c>
      <c r="D2807" s="24">
        <v>67</v>
      </c>
      <c r="E2807" s="24">
        <v>63</v>
      </c>
    </row>
    <row r="2808" spans="1:5" x14ac:dyDescent="0.25">
      <c r="A2808" s="24">
        <v>2807</v>
      </c>
      <c r="B2808" s="24">
        <v>528081</v>
      </c>
      <c r="C2808" s="24" t="s">
        <v>3933</v>
      </c>
      <c r="D2808" s="24">
        <v>67</v>
      </c>
      <c r="E2808" s="24">
        <v>63</v>
      </c>
    </row>
    <row r="2809" spans="1:5" x14ac:dyDescent="0.25">
      <c r="A2809" s="24">
        <v>2808</v>
      </c>
      <c r="B2809" s="24">
        <v>515809</v>
      </c>
      <c r="C2809" s="24" t="s">
        <v>3934</v>
      </c>
      <c r="D2809" s="24">
        <v>51</v>
      </c>
      <c r="E2809" s="24">
        <v>47</v>
      </c>
    </row>
    <row r="2810" spans="1:5" x14ac:dyDescent="0.25">
      <c r="A2810" s="24">
        <v>2809</v>
      </c>
      <c r="B2810" s="24">
        <v>526614</v>
      </c>
      <c r="C2810" s="24" t="s">
        <v>3935</v>
      </c>
      <c r="D2810" s="24">
        <v>59</v>
      </c>
      <c r="E2810" s="24">
        <v>55</v>
      </c>
    </row>
    <row r="2811" spans="1:5" x14ac:dyDescent="0.25">
      <c r="A2811" s="24">
        <v>2810</v>
      </c>
      <c r="B2811" s="24">
        <v>519952</v>
      </c>
      <c r="C2811" s="24" t="s">
        <v>3936</v>
      </c>
      <c r="D2811" s="24">
        <v>56</v>
      </c>
      <c r="E2811" s="24">
        <v>52</v>
      </c>
    </row>
    <row r="2812" spans="1:5" x14ac:dyDescent="0.25">
      <c r="A2812" s="24">
        <v>2811</v>
      </c>
      <c r="B2812" s="24">
        <v>529257</v>
      </c>
      <c r="C2812" s="24" t="s">
        <v>3937</v>
      </c>
      <c r="D2812" s="24">
        <v>68</v>
      </c>
      <c r="E2812" s="24">
        <v>64</v>
      </c>
    </row>
    <row r="2813" spans="1:5" x14ac:dyDescent="0.25">
      <c r="A2813" s="24">
        <v>2812</v>
      </c>
      <c r="B2813" s="24">
        <v>510190</v>
      </c>
      <c r="C2813" s="24" t="s">
        <v>3938</v>
      </c>
      <c r="D2813" s="24">
        <v>41</v>
      </c>
      <c r="E2813" s="24">
        <v>37</v>
      </c>
    </row>
    <row r="2814" spans="1:5" x14ac:dyDescent="0.25">
      <c r="A2814" s="24">
        <v>2813</v>
      </c>
      <c r="B2814" s="24">
        <v>512818</v>
      </c>
      <c r="C2814" s="24" t="s">
        <v>3940</v>
      </c>
      <c r="D2814" s="24">
        <v>37</v>
      </c>
      <c r="E2814" s="24">
        <v>33</v>
      </c>
    </row>
    <row r="2815" spans="1:5" x14ac:dyDescent="0.25">
      <c r="A2815" s="24">
        <v>2814</v>
      </c>
      <c r="B2815" s="24">
        <v>525448</v>
      </c>
      <c r="C2815" s="24" t="s">
        <v>3941</v>
      </c>
      <c r="D2815" s="24">
        <v>62</v>
      </c>
      <c r="E2815" s="24">
        <v>58</v>
      </c>
    </row>
    <row r="2816" spans="1:5" x14ac:dyDescent="0.25">
      <c r="A2816" s="24">
        <v>2815</v>
      </c>
      <c r="B2816" s="24">
        <v>559881</v>
      </c>
      <c r="C2816" s="24" t="s">
        <v>3943</v>
      </c>
      <c r="D2816" s="24">
        <v>74</v>
      </c>
      <c r="E2816" s="24">
        <v>72</v>
      </c>
    </row>
    <row r="2817" spans="1:5" x14ac:dyDescent="0.25">
      <c r="A2817" s="24">
        <v>2816</v>
      </c>
      <c r="B2817" s="24">
        <v>515817</v>
      </c>
      <c r="C2817" s="24" t="s">
        <v>3944</v>
      </c>
      <c r="D2817" s="24">
        <v>51</v>
      </c>
      <c r="E2817" s="24">
        <v>47</v>
      </c>
    </row>
    <row r="2818" spans="1:5" x14ac:dyDescent="0.25">
      <c r="A2818" s="24">
        <v>2817</v>
      </c>
      <c r="B2818" s="24">
        <v>523330</v>
      </c>
      <c r="C2818" s="24" t="s">
        <v>3946</v>
      </c>
      <c r="D2818" s="24">
        <v>77</v>
      </c>
      <c r="E2818" s="24">
        <v>69</v>
      </c>
    </row>
    <row r="2819" spans="1:5" x14ac:dyDescent="0.25">
      <c r="A2819" s="24">
        <v>2818</v>
      </c>
      <c r="B2819" s="24">
        <v>516546</v>
      </c>
      <c r="C2819" s="24" t="s">
        <v>3947</v>
      </c>
      <c r="D2819" s="24">
        <v>52</v>
      </c>
      <c r="E2819" s="24">
        <v>48</v>
      </c>
    </row>
    <row r="2820" spans="1:5" x14ac:dyDescent="0.25">
      <c r="A2820" s="24">
        <v>2819</v>
      </c>
      <c r="B2820" s="24">
        <v>500267</v>
      </c>
      <c r="C2820" s="24" t="s">
        <v>4285</v>
      </c>
      <c r="D2820" s="24">
        <v>6</v>
      </c>
      <c r="E2820" s="24">
        <v>1</v>
      </c>
    </row>
    <row r="2821" spans="1:5" x14ac:dyDescent="0.25">
      <c r="A2821" s="24">
        <v>2820</v>
      </c>
      <c r="B2821" s="24">
        <v>508365</v>
      </c>
      <c r="C2821" s="24" t="s">
        <v>3952</v>
      </c>
      <c r="D2821" s="24">
        <v>6</v>
      </c>
      <c r="E2821" s="24">
        <v>1</v>
      </c>
    </row>
    <row r="2822" spans="1:5" x14ac:dyDescent="0.25">
      <c r="A2822" s="24">
        <v>2821</v>
      </c>
      <c r="B2822" s="24">
        <v>525456</v>
      </c>
      <c r="C2822" s="24" t="s">
        <v>3953</v>
      </c>
      <c r="D2822" s="24">
        <v>62</v>
      </c>
      <c r="E2822" s="24">
        <v>58</v>
      </c>
    </row>
    <row r="2823" spans="1:5" x14ac:dyDescent="0.25">
      <c r="A2823" s="24">
        <v>2822</v>
      </c>
      <c r="B2823" s="24">
        <v>557927</v>
      </c>
      <c r="C2823" s="24" t="s">
        <v>3954</v>
      </c>
      <c r="D2823" s="24">
        <v>51</v>
      </c>
      <c r="E2823" s="24">
        <v>47</v>
      </c>
    </row>
    <row r="2824" spans="1:5" x14ac:dyDescent="0.25">
      <c r="A2824" s="24">
        <v>2823</v>
      </c>
      <c r="B2824" s="24">
        <v>510203</v>
      </c>
      <c r="C2824" s="24" t="s">
        <v>3956</v>
      </c>
      <c r="D2824" s="24">
        <v>38</v>
      </c>
      <c r="E2824" s="24">
        <v>34</v>
      </c>
    </row>
    <row r="2825" spans="1:5" x14ac:dyDescent="0.25">
      <c r="A2825" s="24">
        <v>2824</v>
      </c>
      <c r="B2825" s="24">
        <v>509523</v>
      </c>
      <c r="C2825" s="24" t="s">
        <v>3957</v>
      </c>
      <c r="D2825" s="24">
        <v>33</v>
      </c>
      <c r="E2825" s="24">
        <v>29</v>
      </c>
    </row>
    <row r="2826" spans="1:5" x14ac:dyDescent="0.25">
      <c r="A2826" s="24">
        <v>2825</v>
      </c>
      <c r="B2826" s="24">
        <v>502961</v>
      </c>
      <c r="C2826" s="24" t="s">
        <v>3958</v>
      </c>
      <c r="D2826" s="24">
        <v>26</v>
      </c>
      <c r="E2826" s="24">
        <v>22</v>
      </c>
    </row>
    <row r="2827" spans="1:5" x14ac:dyDescent="0.25">
      <c r="A2827" s="24">
        <v>2826</v>
      </c>
      <c r="B2827" s="24">
        <v>524115</v>
      </c>
      <c r="C2827" s="24" t="s">
        <v>3148</v>
      </c>
      <c r="D2827" s="24">
        <v>58</v>
      </c>
      <c r="E2827" s="24">
        <v>54</v>
      </c>
    </row>
    <row r="2828" spans="1:5" x14ac:dyDescent="0.25">
      <c r="A2828" s="24">
        <v>2827</v>
      </c>
      <c r="B2828" s="24">
        <v>555509</v>
      </c>
      <c r="C2828" s="24" t="s">
        <v>3148</v>
      </c>
      <c r="D2828" s="24">
        <v>8</v>
      </c>
      <c r="E2828" s="24">
        <v>3</v>
      </c>
    </row>
    <row r="2829" spans="1:5" x14ac:dyDescent="0.25">
      <c r="A2829" s="24">
        <v>2828</v>
      </c>
      <c r="B2829" s="24">
        <v>523241</v>
      </c>
      <c r="C2829" s="24" t="s">
        <v>3778</v>
      </c>
      <c r="D2829" s="24">
        <v>75</v>
      </c>
      <c r="E2829" s="24">
        <v>67</v>
      </c>
    </row>
    <row r="2830" spans="1:5" x14ac:dyDescent="0.25">
      <c r="A2830" s="24">
        <v>2829</v>
      </c>
      <c r="B2830" s="24">
        <v>556475</v>
      </c>
      <c r="C2830" s="24" t="s">
        <v>3959</v>
      </c>
      <c r="D2830" s="24">
        <v>24</v>
      </c>
      <c r="E2830" s="24">
        <v>20</v>
      </c>
    </row>
    <row r="2831" spans="1:5" x14ac:dyDescent="0.25">
      <c r="A2831" s="24">
        <v>2830</v>
      </c>
      <c r="B2831" s="24">
        <v>529265</v>
      </c>
      <c r="C2831" s="24" t="s">
        <v>3960</v>
      </c>
      <c r="D2831" s="24">
        <v>68</v>
      </c>
      <c r="E2831" s="24">
        <v>64</v>
      </c>
    </row>
    <row r="2832" spans="1:5" x14ac:dyDescent="0.25">
      <c r="A2832" s="24">
        <v>2831</v>
      </c>
      <c r="B2832" s="24">
        <v>513814</v>
      </c>
      <c r="C2832" s="24" t="s">
        <v>3961</v>
      </c>
      <c r="D2832" s="24">
        <v>23</v>
      </c>
      <c r="E2832" s="24">
        <v>19</v>
      </c>
    </row>
    <row r="2833" spans="1:5" x14ac:dyDescent="0.25">
      <c r="A2833" s="24">
        <v>2832</v>
      </c>
      <c r="B2833" s="24">
        <v>513822</v>
      </c>
      <c r="C2833" s="24" t="s">
        <v>1252</v>
      </c>
      <c r="D2833" s="24">
        <v>21</v>
      </c>
      <c r="E2833" s="24">
        <v>17</v>
      </c>
    </row>
    <row r="2834" spans="1:5" x14ac:dyDescent="0.25">
      <c r="A2834" s="24">
        <v>2833</v>
      </c>
      <c r="B2834" s="24">
        <v>543977</v>
      </c>
      <c r="C2834" s="24" t="s">
        <v>3963</v>
      </c>
      <c r="D2834" s="24">
        <v>79</v>
      </c>
      <c r="E2834" s="24">
        <v>74</v>
      </c>
    </row>
    <row r="2835" spans="1:5" x14ac:dyDescent="0.25">
      <c r="A2835" s="24">
        <v>2834</v>
      </c>
      <c r="B2835" s="24">
        <v>505773</v>
      </c>
      <c r="C2835" s="24" t="s">
        <v>3863</v>
      </c>
      <c r="D2835" s="24">
        <v>30</v>
      </c>
      <c r="E2835" s="24">
        <v>26</v>
      </c>
    </row>
    <row r="2836" spans="1:5" x14ac:dyDescent="0.25">
      <c r="A2836" s="24">
        <v>2835</v>
      </c>
      <c r="B2836" s="24">
        <v>516554</v>
      </c>
      <c r="C2836" s="24" t="s">
        <v>3863</v>
      </c>
      <c r="D2836" s="24">
        <v>52</v>
      </c>
      <c r="E2836" s="24">
        <v>48</v>
      </c>
    </row>
    <row r="2837" spans="1:5" x14ac:dyDescent="0.25">
      <c r="A2837" s="24">
        <v>2836</v>
      </c>
      <c r="B2837" s="24">
        <v>529273</v>
      </c>
      <c r="C2837" s="24" t="s">
        <v>3863</v>
      </c>
      <c r="D2837" s="24">
        <v>57</v>
      </c>
      <c r="E2837" s="24">
        <v>53</v>
      </c>
    </row>
    <row r="2838" spans="1:5" x14ac:dyDescent="0.25">
      <c r="A2838" s="24">
        <v>2837</v>
      </c>
      <c r="B2838" s="24">
        <v>521043</v>
      </c>
      <c r="C2838" s="24" t="s">
        <v>3967</v>
      </c>
      <c r="D2838" s="24">
        <v>57</v>
      </c>
      <c r="E2838" s="24">
        <v>53</v>
      </c>
    </row>
    <row r="2839" spans="1:5" x14ac:dyDescent="0.25">
      <c r="A2839" s="24">
        <v>2838</v>
      </c>
      <c r="B2839" s="24">
        <v>523348</v>
      </c>
      <c r="C2839" s="24" t="s">
        <v>3967</v>
      </c>
      <c r="D2839" s="24">
        <v>75</v>
      </c>
      <c r="E2839" s="24">
        <v>67</v>
      </c>
    </row>
    <row r="2840" spans="1:5" x14ac:dyDescent="0.25">
      <c r="A2840" s="24">
        <v>2839</v>
      </c>
      <c r="B2840" s="24">
        <v>526631</v>
      </c>
      <c r="C2840" s="24" t="s">
        <v>3967</v>
      </c>
      <c r="D2840" s="24">
        <v>69</v>
      </c>
      <c r="E2840" s="24">
        <v>65</v>
      </c>
    </row>
    <row r="2841" spans="1:5" x14ac:dyDescent="0.25">
      <c r="A2841" s="24">
        <v>2840</v>
      </c>
      <c r="B2841" s="24">
        <v>509124</v>
      </c>
      <c r="C2841" s="24" t="s">
        <v>3968</v>
      </c>
      <c r="D2841" s="24">
        <v>45</v>
      </c>
      <c r="E2841" s="24">
        <v>41</v>
      </c>
    </row>
    <row r="2842" spans="1:5" x14ac:dyDescent="0.25">
      <c r="A2842" s="24">
        <v>2841</v>
      </c>
      <c r="B2842" s="24">
        <v>507768</v>
      </c>
      <c r="C2842" s="24" t="s">
        <v>3969</v>
      </c>
      <c r="D2842" s="24">
        <v>15</v>
      </c>
      <c r="E2842" s="24">
        <v>11</v>
      </c>
    </row>
    <row r="2843" spans="1:5" x14ac:dyDescent="0.25">
      <c r="A2843" s="24">
        <v>2842</v>
      </c>
      <c r="B2843" s="24">
        <v>511196</v>
      </c>
      <c r="C2843" s="24" t="s">
        <v>3972</v>
      </c>
      <c r="D2843" s="24">
        <v>36</v>
      </c>
      <c r="E2843" s="24">
        <v>32</v>
      </c>
    </row>
    <row r="2844" spans="1:5" x14ac:dyDescent="0.25">
      <c r="A2844" s="24">
        <v>2843</v>
      </c>
      <c r="B2844" s="24">
        <v>504980</v>
      </c>
      <c r="C2844" s="24" t="s">
        <v>3973</v>
      </c>
      <c r="D2844" s="24">
        <v>6</v>
      </c>
      <c r="E2844" s="24">
        <v>1</v>
      </c>
    </row>
    <row r="2845" spans="1:5" x14ac:dyDescent="0.25">
      <c r="A2845" s="24">
        <v>2844</v>
      </c>
      <c r="B2845" s="24">
        <v>510211</v>
      </c>
      <c r="C2845" s="24" t="s">
        <v>3974</v>
      </c>
      <c r="D2845" s="24">
        <v>34</v>
      </c>
      <c r="E2845" s="24">
        <v>30</v>
      </c>
    </row>
    <row r="2846" spans="1:5" x14ac:dyDescent="0.25">
      <c r="A2846" s="24">
        <v>2845</v>
      </c>
      <c r="B2846" s="24">
        <v>543985</v>
      </c>
      <c r="C2846" s="24" t="s">
        <v>3975</v>
      </c>
      <c r="D2846" s="24">
        <v>79</v>
      </c>
      <c r="E2846" s="24">
        <v>71</v>
      </c>
    </row>
    <row r="2847" spans="1:5" x14ac:dyDescent="0.25">
      <c r="A2847" s="24">
        <v>2846</v>
      </c>
      <c r="B2847" s="24">
        <v>500950</v>
      </c>
      <c r="C2847" s="24" t="s">
        <v>3976</v>
      </c>
      <c r="D2847" s="24">
        <v>27</v>
      </c>
      <c r="E2847" s="24">
        <v>23</v>
      </c>
    </row>
    <row r="2848" spans="1:5" x14ac:dyDescent="0.25">
      <c r="A2848" s="24">
        <v>2847</v>
      </c>
      <c r="B2848" s="24">
        <v>521051</v>
      </c>
      <c r="C2848" s="24" t="s">
        <v>3977</v>
      </c>
      <c r="D2848" s="24">
        <v>64</v>
      </c>
      <c r="E2848" s="24">
        <v>60</v>
      </c>
    </row>
    <row r="2849" spans="1:5" x14ac:dyDescent="0.25">
      <c r="A2849" s="24">
        <v>2848</v>
      </c>
      <c r="B2849" s="24">
        <v>521060</v>
      </c>
      <c r="C2849" s="24" t="s">
        <v>3978</v>
      </c>
      <c r="D2849" s="24">
        <v>60</v>
      </c>
      <c r="E2849" s="24">
        <v>56</v>
      </c>
    </row>
    <row r="2850" spans="1:5" x14ac:dyDescent="0.25">
      <c r="A2850" s="24">
        <v>2849</v>
      </c>
      <c r="B2850" s="24">
        <v>519961</v>
      </c>
      <c r="C2850" s="24" t="s">
        <v>3980</v>
      </c>
      <c r="D2850" s="24">
        <v>56</v>
      </c>
      <c r="E2850" s="24">
        <v>52</v>
      </c>
    </row>
    <row r="2851" spans="1:5" x14ac:dyDescent="0.25">
      <c r="A2851" s="24">
        <v>2850</v>
      </c>
      <c r="B2851" s="24">
        <v>509531</v>
      </c>
      <c r="C2851" s="24" t="s">
        <v>3981</v>
      </c>
      <c r="D2851" s="24">
        <v>33</v>
      </c>
      <c r="E2851" s="24">
        <v>29</v>
      </c>
    </row>
    <row r="2852" spans="1:5" x14ac:dyDescent="0.25">
      <c r="A2852" s="24">
        <v>2851</v>
      </c>
      <c r="B2852" s="24">
        <v>502979</v>
      </c>
      <c r="C2852" s="24" t="s">
        <v>4286</v>
      </c>
      <c r="D2852" s="24">
        <v>26</v>
      </c>
      <c r="E2852" s="24">
        <v>22</v>
      </c>
    </row>
    <row r="2853" spans="1:5" x14ac:dyDescent="0.25">
      <c r="A2853" s="24">
        <v>2852</v>
      </c>
      <c r="B2853" s="24">
        <v>521078</v>
      </c>
      <c r="C2853" s="24" t="s">
        <v>3984</v>
      </c>
      <c r="D2853" s="24">
        <v>60</v>
      </c>
      <c r="E2853" s="24">
        <v>56</v>
      </c>
    </row>
    <row r="2854" spans="1:5" x14ac:dyDescent="0.25">
      <c r="A2854" s="24">
        <v>2853</v>
      </c>
      <c r="B2854" s="24">
        <v>521086</v>
      </c>
      <c r="C2854" s="24" t="s">
        <v>3985</v>
      </c>
      <c r="D2854" s="24">
        <v>57</v>
      </c>
      <c r="E2854" s="24">
        <v>53</v>
      </c>
    </row>
    <row r="2855" spans="1:5" x14ac:dyDescent="0.25">
      <c r="A2855" s="24">
        <v>2854</v>
      </c>
      <c r="B2855" s="24">
        <v>523356</v>
      </c>
      <c r="C2855" s="24" t="s">
        <v>3987</v>
      </c>
      <c r="D2855" s="24">
        <v>75</v>
      </c>
      <c r="E2855" s="24">
        <v>67</v>
      </c>
    </row>
    <row r="2856" spans="1:5" x14ac:dyDescent="0.25">
      <c r="A2856" s="24">
        <v>2855</v>
      </c>
      <c r="B2856" s="24">
        <v>518131</v>
      </c>
      <c r="C2856" s="24" t="s">
        <v>3988</v>
      </c>
      <c r="D2856" s="24">
        <v>42</v>
      </c>
      <c r="E2856" s="24">
        <v>38</v>
      </c>
    </row>
    <row r="2857" spans="1:5" x14ac:dyDescent="0.25">
      <c r="A2857" s="24">
        <v>2856</v>
      </c>
      <c r="B2857" s="24">
        <v>507776</v>
      </c>
      <c r="C2857" s="24" t="s">
        <v>3989</v>
      </c>
      <c r="D2857" s="24">
        <v>15</v>
      </c>
      <c r="E2857" s="24">
        <v>11</v>
      </c>
    </row>
    <row r="2858" spans="1:5" x14ac:dyDescent="0.25">
      <c r="A2858" s="24">
        <v>2857</v>
      </c>
      <c r="B2858" s="24">
        <v>501417</v>
      </c>
      <c r="C2858" s="24" t="s">
        <v>3991</v>
      </c>
      <c r="D2858" s="24">
        <v>25</v>
      </c>
      <c r="E2858" s="24">
        <v>21</v>
      </c>
    </row>
    <row r="2859" spans="1:5" x14ac:dyDescent="0.25">
      <c r="A2859" s="24">
        <v>2858</v>
      </c>
      <c r="B2859" s="24">
        <v>514454</v>
      </c>
      <c r="C2859" s="24" t="s">
        <v>3993</v>
      </c>
      <c r="D2859" s="24">
        <v>22</v>
      </c>
      <c r="E2859" s="24">
        <v>18</v>
      </c>
    </row>
    <row r="2860" spans="1:5" x14ac:dyDescent="0.25">
      <c r="A2860" s="24">
        <v>2859</v>
      </c>
      <c r="B2860" s="24">
        <v>556441</v>
      </c>
      <c r="C2860" s="24" t="s">
        <v>3995</v>
      </c>
      <c r="D2860" s="24">
        <v>19</v>
      </c>
      <c r="E2860" s="24">
        <v>15</v>
      </c>
    </row>
    <row r="2861" spans="1:5" x14ac:dyDescent="0.25">
      <c r="A2861" s="24">
        <v>2860</v>
      </c>
      <c r="B2861" s="24">
        <v>504181</v>
      </c>
      <c r="C2861" s="24" t="s">
        <v>3996</v>
      </c>
      <c r="D2861" s="24">
        <v>10</v>
      </c>
      <c r="E2861" s="24">
        <v>6</v>
      </c>
    </row>
    <row r="2862" spans="1:5" x14ac:dyDescent="0.25">
      <c r="A2862" s="24">
        <v>2861</v>
      </c>
      <c r="B2862" s="24">
        <v>518956</v>
      </c>
      <c r="C2862" s="24" t="s">
        <v>3998</v>
      </c>
      <c r="D2862" s="24">
        <v>47</v>
      </c>
      <c r="E2862" s="24">
        <v>43</v>
      </c>
    </row>
    <row r="2863" spans="1:5" x14ac:dyDescent="0.25">
      <c r="A2863" s="24">
        <v>2862</v>
      </c>
      <c r="B2863" s="24">
        <v>503649</v>
      </c>
      <c r="C2863" s="24" t="s">
        <v>3999</v>
      </c>
      <c r="D2863" s="24">
        <v>28</v>
      </c>
      <c r="E2863" s="24">
        <v>24</v>
      </c>
    </row>
    <row r="2864" spans="1:5" x14ac:dyDescent="0.25">
      <c r="A2864" s="24">
        <v>2863</v>
      </c>
      <c r="B2864" s="24">
        <v>543993</v>
      </c>
      <c r="C2864" s="24" t="s">
        <v>4000</v>
      </c>
      <c r="D2864" s="24">
        <v>79</v>
      </c>
      <c r="E2864" s="24">
        <v>74</v>
      </c>
    </row>
    <row r="2865" spans="1:5" x14ac:dyDescent="0.25">
      <c r="A2865" s="24">
        <v>2864</v>
      </c>
      <c r="B2865" s="24">
        <v>544001</v>
      </c>
      <c r="C2865" s="24" t="s">
        <v>4287</v>
      </c>
      <c r="D2865" s="24">
        <v>79</v>
      </c>
      <c r="E2865" s="24">
        <v>71</v>
      </c>
    </row>
    <row r="2866" spans="1:5" x14ac:dyDescent="0.25">
      <c r="A2866" s="24">
        <v>2865</v>
      </c>
      <c r="B2866" s="24">
        <v>523364</v>
      </c>
      <c r="C2866" s="24" t="s">
        <v>4004</v>
      </c>
      <c r="D2866" s="24">
        <v>75</v>
      </c>
      <c r="E2866" s="24">
        <v>67</v>
      </c>
    </row>
    <row r="2867" spans="1:5" x14ac:dyDescent="0.25">
      <c r="A2867" s="24">
        <v>2866</v>
      </c>
      <c r="B2867" s="24">
        <v>544019</v>
      </c>
      <c r="C2867" s="24" t="s">
        <v>4005</v>
      </c>
      <c r="D2867" s="24">
        <v>79</v>
      </c>
      <c r="E2867" s="24">
        <v>71</v>
      </c>
    </row>
    <row r="2868" spans="1:5" x14ac:dyDescent="0.25">
      <c r="A2868" s="24">
        <v>2867</v>
      </c>
      <c r="B2868" s="24">
        <v>521108</v>
      </c>
      <c r="C2868" s="24" t="s">
        <v>4006</v>
      </c>
      <c r="D2868" s="24">
        <v>64</v>
      </c>
      <c r="E2868" s="24">
        <v>60</v>
      </c>
    </row>
    <row r="2869" spans="1:5" x14ac:dyDescent="0.25">
      <c r="A2869" s="24">
        <v>2868</v>
      </c>
      <c r="B2869" s="24">
        <v>544027</v>
      </c>
      <c r="C2869" s="24" t="s">
        <v>4007</v>
      </c>
      <c r="D2869" s="24">
        <v>79</v>
      </c>
      <c r="E2869" s="24">
        <v>71</v>
      </c>
    </row>
    <row r="2870" spans="1:5" x14ac:dyDescent="0.25">
      <c r="A2870" s="24">
        <v>2869</v>
      </c>
      <c r="B2870" s="24">
        <v>544035</v>
      </c>
      <c r="C2870" s="24" t="s">
        <v>4008</v>
      </c>
      <c r="D2870" s="24">
        <v>79</v>
      </c>
      <c r="E2870" s="24">
        <v>71</v>
      </c>
    </row>
    <row r="2871" spans="1:5" x14ac:dyDescent="0.25">
      <c r="A2871" s="24">
        <v>2870</v>
      </c>
      <c r="B2871" s="24">
        <v>522635</v>
      </c>
      <c r="C2871" s="24" t="s">
        <v>1928</v>
      </c>
      <c r="D2871" s="24">
        <v>75</v>
      </c>
      <c r="E2871" s="24">
        <v>67</v>
      </c>
    </row>
    <row r="2872" spans="1:5" x14ac:dyDescent="0.25">
      <c r="A2872" s="24">
        <v>2871</v>
      </c>
      <c r="B2872" s="24">
        <v>544043</v>
      </c>
      <c r="C2872" s="24" t="s">
        <v>4009</v>
      </c>
      <c r="D2872" s="24">
        <v>79</v>
      </c>
      <c r="E2872" s="24">
        <v>71</v>
      </c>
    </row>
    <row r="2873" spans="1:5" x14ac:dyDescent="0.25">
      <c r="A2873" s="24">
        <v>2872</v>
      </c>
      <c r="B2873" s="24">
        <v>525472</v>
      </c>
      <c r="C2873" s="24" t="s">
        <v>4010</v>
      </c>
      <c r="D2873" s="24">
        <v>62</v>
      </c>
      <c r="E2873" s="24">
        <v>58</v>
      </c>
    </row>
    <row r="2874" spans="1:5" x14ac:dyDescent="0.25">
      <c r="A2874" s="24">
        <v>2873</v>
      </c>
      <c r="B2874" s="24">
        <v>522244</v>
      </c>
      <c r="C2874" s="24" t="s">
        <v>4011</v>
      </c>
      <c r="D2874" s="24">
        <v>74</v>
      </c>
      <c r="E2874" s="24">
        <v>66</v>
      </c>
    </row>
    <row r="2875" spans="1:5" x14ac:dyDescent="0.25">
      <c r="A2875" s="24">
        <v>2874</v>
      </c>
      <c r="B2875" s="24">
        <v>519979</v>
      </c>
      <c r="C2875" s="24" t="s">
        <v>4012</v>
      </c>
      <c r="D2875" s="24">
        <v>56</v>
      </c>
      <c r="E2875" s="24">
        <v>52</v>
      </c>
    </row>
    <row r="2876" spans="1:5" x14ac:dyDescent="0.25">
      <c r="A2876" s="24">
        <v>2875</v>
      </c>
      <c r="B2876" s="24">
        <v>502022</v>
      </c>
      <c r="C2876" s="24" t="s">
        <v>4288</v>
      </c>
      <c r="D2876" s="24">
        <v>9</v>
      </c>
      <c r="E2876" s="24">
        <v>5</v>
      </c>
    </row>
    <row r="2877" spans="1:5" x14ac:dyDescent="0.25">
      <c r="A2877" s="24">
        <v>2876</v>
      </c>
      <c r="B2877" s="24">
        <v>500968</v>
      </c>
      <c r="C2877" s="24" t="s">
        <v>4017</v>
      </c>
      <c r="D2877" s="24">
        <v>31</v>
      </c>
      <c r="E2877" s="24">
        <v>27</v>
      </c>
    </row>
    <row r="2878" spans="1:5" x14ac:dyDescent="0.25">
      <c r="A2878" s="24">
        <v>2877</v>
      </c>
      <c r="B2878" s="24">
        <v>501425</v>
      </c>
      <c r="C2878" s="24" t="s">
        <v>4018</v>
      </c>
      <c r="D2878" s="24">
        <v>25</v>
      </c>
      <c r="E2878" s="24">
        <v>21</v>
      </c>
    </row>
    <row r="2879" spans="1:5" x14ac:dyDescent="0.25">
      <c r="A2879" s="24">
        <v>2878</v>
      </c>
      <c r="B2879" s="24">
        <v>529281</v>
      </c>
      <c r="C2879" s="24" t="s">
        <v>4019</v>
      </c>
      <c r="D2879" s="24">
        <v>68</v>
      </c>
      <c r="E2879" s="24">
        <v>64</v>
      </c>
    </row>
    <row r="2880" spans="1:5" x14ac:dyDescent="0.25">
      <c r="A2880" s="24">
        <v>2879</v>
      </c>
      <c r="B2880" s="24">
        <v>505790</v>
      </c>
      <c r="C2880" s="24" t="s">
        <v>4020</v>
      </c>
      <c r="D2880" s="24">
        <v>16</v>
      </c>
      <c r="E2880" s="24">
        <v>12</v>
      </c>
    </row>
    <row r="2881" spans="1:5" x14ac:dyDescent="0.25">
      <c r="A2881" s="24">
        <v>2880</v>
      </c>
      <c r="B2881" s="24">
        <v>500976</v>
      </c>
      <c r="C2881" s="24" t="s">
        <v>1112</v>
      </c>
      <c r="D2881" s="24">
        <v>31</v>
      </c>
      <c r="E2881" s="24">
        <v>27</v>
      </c>
    </row>
    <row r="2882" spans="1:5" x14ac:dyDescent="0.25">
      <c r="A2882" s="24">
        <v>2881</v>
      </c>
      <c r="B2882" s="24">
        <v>582051</v>
      </c>
      <c r="C2882" s="24" t="s">
        <v>1112</v>
      </c>
      <c r="D2882" s="24">
        <v>49</v>
      </c>
      <c r="E2882" s="24">
        <v>45</v>
      </c>
    </row>
    <row r="2883" spans="1:5" x14ac:dyDescent="0.25">
      <c r="A2883" s="24">
        <v>2882</v>
      </c>
      <c r="B2883" s="24">
        <v>513865</v>
      </c>
      <c r="C2883" s="24" t="s">
        <v>4023</v>
      </c>
      <c r="D2883" s="24">
        <v>17</v>
      </c>
      <c r="E2883" s="24">
        <v>13</v>
      </c>
    </row>
    <row r="2884" spans="1:5" x14ac:dyDescent="0.25">
      <c r="A2884" s="24">
        <v>2883</v>
      </c>
      <c r="B2884" s="24">
        <v>508381</v>
      </c>
      <c r="C2884" s="24" t="s">
        <v>4024</v>
      </c>
      <c r="D2884" s="24">
        <v>6</v>
      </c>
      <c r="E2884" s="24">
        <v>1</v>
      </c>
    </row>
    <row r="2885" spans="1:5" x14ac:dyDescent="0.25">
      <c r="A2885" s="24">
        <v>2884</v>
      </c>
      <c r="B2885" s="24">
        <v>516562</v>
      </c>
      <c r="C2885" s="24" t="s">
        <v>4026</v>
      </c>
      <c r="D2885" s="24">
        <v>52</v>
      </c>
      <c r="E2885" s="24">
        <v>48</v>
      </c>
    </row>
    <row r="2886" spans="1:5" x14ac:dyDescent="0.25">
      <c r="A2886" s="24">
        <v>2885</v>
      </c>
      <c r="B2886" s="24">
        <v>500348</v>
      </c>
      <c r="C2886" s="24" t="s">
        <v>4027</v>
      </c>
      <c r="D2886" s="24">
        <v>23</v>
      </c>
      <c r="E2886" s="24">
        <v>19</v>
      </c>
    </row>
    <row r="2887" spans="1:5" x14ac:dyDescent="0.25">
      <c r="A2887" s="24">
        <v>2886</v>
      </c>
      <c r="B2887" s="24">
        <v>510238</v>
      </c>
      <c r="C2887" s="24" t="s">
        <v>4028</v>
      </c>
      <c r="D2887" s="24">
        <v>41</v>
      </c>
      <c r="E2887" s="24">
        <v>37</v>
      </c>
    </row>
    <row r="2888" spans="1:5" x14ac:dyDescent="0.25">
      <c r="A2888" s="24">
        <v>2887</v>
      </c>
      <c r="B2888" s="24">
        <v>521116</v>
      </c>
      <c r="C2888" s="24" t="s">
        <v>4029</v>
      </c>
      <c r="D2888" s="24">
        <v>57</v>
      </c>
      <c r="E2888" s="24">
        <v>53</v>
      </c>
    </row>
    <row r="2889" spans="1:5" x14ac:dyDescent="0.25">
      <c r="A2889" s="24">
        <v>2888</v>
      </c>
      <c r="B2889" s="24">
        <v>510246</v>
      </c>
      <c r="C2889" s="24" t="s">
        <v>4030</v>
      </c>
      <c r="D2889" s="24">
        <v>38</v>
      </c>
      <c r="E2889" s="24">
        <v>34</v>
      </c>
    </row>
    <row r="2890" spans="1:5" x14ac:dyDescent="0.25">
      <c r="A2890" s="24">
        <v>2889</v>
      </c>
      <c r="B2890" s="24">
        <v>518158</v>
      </c>
      <c r="C2890" s="24" t="s">
        <v>4032</v>
      </c>
      <c r="D2890" s="24">
        <v>53</v>
      </c>
      <c r="E2890" s="24">
        <v>49</v>
      </c>
    </row>
    <row r="2891" spans="1:5" x14ac:dyDescent="0.25">
      <c r="A2891" s="24">
        <v>2890</v>
      </c>
      <c r="B2891" s="24">
        <v>518972</v>
      </c>
      <c r="C2891" s="24" t="s">
        <v>4034</v>
      </c>
      <c r="D2891" s="24">
        <v>53</v>
      </c>
      <c r="E2891" s="24">
        <v>49</v>
      </c>
    </row>
    <row r="2892" spans="1:5" x14ac:dyDescent="0.25">
      <c r="A2892" s="24">
        <v>2891</v>
      </c>
      <c r="B2892" s="24">
        <v>581488</v>
      </c>
      <c r="C2892" s="24" t="s">
        <v>4035</v>
      </c>
      <c r="D2892" s="24">
        <v>15</v>
      </c>
      <c r="E2892" s="24">
        <v>11</v>
      </c>
    </row>
    <row r="2893" spans="1:5" x14ac:dyDescent="0.25">
      <c r="A2893" s="24">
        <v>2892</v>
      </c>
      <c r="B2893" s="24">
        <v>512834</v>
      </c>
      <c r="C2893" s="24" t="s">
        <v>4036</v>
      </c>
      <c r="D2893" s="24">
        <v>37</v>
      </c>
      <c r="E2893" s="24">
        <v>33</v>
      </c>
    </row>
    <row r="2894" spans="1:5" x14ac:dyDescent="0.25">
      <c r="A2894" s="24">
        <v>2893</v>
      </c>
      <c r="B2894" s="24">
        <v>505803</v>
      </c>
      <c r="C2894" s="24" t="s">
        <v>4037</v>
      </c>
      <c r="D2894" s="24">
        <v>20</v>
      </c>
      <c r="E2894" s="24">
        <v>16</v>
      </c>
    </row>
    <row r="2895" spans="1:5" x14ac:dyDescent="0.25">
      <c r="A2895" s="24">
        <v>2894</v>
      </c>
      <c r="B2895" s="24">
        <v>526649</v>
      </c>
      <c r="C2895" s="24" t="s">
        <v>4038</v>
      </c>
      <c r="D2895" s="24">
        <v>69</v>
      </c>
      <c r="E2895" s="24">
        <v>65</v>
      </c>
    </row>
    <row r="2896" spans="1:5" x14ac:dyDescent="0.25">
      <c r="A2896" s="24">
        <v>2895</v>
      </c>
      <c r="B2896" s="24">
        <v>524123</v>
      </c>
      <c r="C2896" s="24" t="s">
        <v>4039</v>
      </c>
      <c r="D2896" s="24">
        <v>58</v>
      </c>
      <c r="E2896" s="24">
        <v>54</v>
      </c>
    </row>
    <row r="2897" spans="1:5" x14ac:dyDescent="0.25">
      <c r="A2897" s="24">
        <v>2896</v>
      </c>
      <c r="B2897" s="24">
        <v>529290</v>
      </c>
      <c r="C2897" s="24" t="s">
        <v>4040</v>
      </c>
      <c r="D2897" s="24">
        <v>68</v>
      </c>
      <c r="E2897" s="24">
        <v>64</v>
      </c>
    </row>
    <row r="2898" spans="1:5" x14ac:dyDescent="0.25">
      <c r="A2898" s="24">
        <v>2897</v>
      </c>
      <c r="B2898" s="24">
        <v>522252</v>
      </c>
      <c r="C2898" s="24" t="s">
        <v>4041</v>
      </c>
      <c r="D2898" s="24">
        <v>74</v>
      </c>
      <c r="E2898" s="24">
        <v>72</v>
      </c>
    </row>
    <row r="2899" spans="1:5" x14ac:dyDescent="0.25">
      <c r="A2899" s="24">
        <v>2898</v>
      </c>
      <c r="B2899" s="24">
        <v>517381</v>
      </c>
      <c r="C2899" s="24" t="s">
        <v>4042</v>
      </c>
      <c r="D2899" s="24">
        <v>54</v>
      </c>
      <c r="E2899" s="24">
        <v>50</v>
      </c>
    </row>
    <row r="2900" spans="1:5" x14ac:dyDescent="0.25">
      <c r="A2900" s="24">
        <v>2899</v>
      </c>
      <c r="B2900" s="24">
        <v>510254</v>
      </c>
      <c r="C2900" s="24" t="s">
        <v>4044</v>
      </c>
      <c r="D2900" s="24">
        <v>34</v>
      </c>
      <c r="E2900" s="24">
        <v>30</v>
      </c>
    </row>
    <row r="2901" spans="1:5" x14ac:dyDescent="0.25">
      <c r="A2901" s="24">
        <v>2900</v>
      </c>
      <c r="B2901" s="24">
        <v>523372</v>
      </c>
      <c r="C2901" s="24" t="s">
        <v>4046</v>
      </c>
      <c r="D2901" s="24">
        <v>75</v>
      </c>
      <c r="E2901" s="24">
        <v>67</v>
      </c>
    </row>
    <row r="2902" spans="1:5" x14ac:dyDescent="0.25">
      <c r="A2902" s="24">
        <v>2901</v>
      </c>
      <c r="B2902" s="24">
        <v>522261</v>
      </c>
      <c r="C2902" s="24" t="s">
        <v>4047</v>
      </c>
      <c r="D2902" s="24">
        <v>74</v>
      </c>
      <c r="E2902" s="24">
        <v>66</v>
      </c>
    </row>
    <row r="2903" spans="1:5" x14ac:dyDescent="0.25">
      <c r="A2903" s="24">
        <v>2902</v>
      </c>
      <c r="B2903" s="24">
        <v>524131</v>
      </c>
      <c r="C2903" s="24" t="s">
        <v>4049</v>
      </c>
      <c r="D2903" s="24">
        <v>61</v>
      </c>
      <c r="E2903" s="24">
        <v>57</v>
      </c>
    </row>
    <row r="2904" spans="1:5" x14ac:dyDescent="0.25">
      <c r="A2904" s="24">
        <v>2903</v>
      </c>
      <c r="B2904" s="24">
        <v>525499</v>
      </c>
      <c r="C2904" s="24" t="s">
        <v>4050</v>
      </c>
      <c r="D2904" s="24">
        <v>62</v>
      </c>
      <c r="E2904" s="24">
        <v>58</v>
      </c>
    </row>
    <row r="2905" spans="1:5" x14ac:dyDescent="0.25">
      <c r="A2905" s="24">
        <v>2904</v>
      </c>
      <c r="B2905" s="24">
        <v>526657</v>
      </c>
      <c r="C2905" s="24" t="s">
        <v>4051</v>
      </c>
      <c r="D2905" s="24">
        <v>78</v>
      </c>
      <c r="E2905" s="24">
        <v>70</v>
      </c>
    </row>
    <row r="2906" spans="1:5" x14ac:dyDescent="0.25">
      <c r="A2906" s="24">
        <v>2905</v>
      </c>
      <c r="B2906" s="24">
        <v>518981</v>
      </c>
      <c r="C2906" s="24" t="s">
        <v>4052</v>
      </c>
      <c r="D2906" s="24">
        <v>53</v>
      </c>
      <c r="E2906" s="24">
        <v>49</v>
      </c>
    </row>
    <row r="2907" spans="1:5" x14ac:dyDescent="0.25">
      <c r="A2907" s="24">
        <v>2906</v>
      </c>
      <c r="B2907" s="24">
        <v>519987</v>
      </c>
      <c r="C2907" s="24" t="s">
        <v>4053</v>
      </c>
      <c r="D2907" s="24">
        <v>67</v>
      </c>
      <c r="E2907" s="24">
        <v>63</v>
      </c>
    </row>
    <row r="2908" spans="1:5" x14ac:dyDescent="0.25">
      <c r="A2908" s="24">
        <v>2907</v>
      </c>
      <c r="B2908" s="24">
        <v>502987</v>
      </c>
      <c r="C2908" s="24" t="s">
        <v>4055</v>
      </c>
      <c r="D2908" s="24">
        <v>26</v>
      </c>
      <c r="E2908" s="24">
        <v>22</v>
      </c>
    </row>
    <row r="2909" spans="1:5" x14ac:dyDescent="0.25">
      <c r="A2909" s="24">
        <v>2908</v>
      </c>
      <c r="B2909" s="24">
        <v>519995</v>
      </c>
      <c r="C2909" s="24" t="s">
        <v>4056</v>
      </c>
      <c r="D2909" s="24">
        <v>67</v>
      </c>
      <c r="E2909" s="24">
        <v>63</v>
      </c>
    </row>
    <row r="2910" spans="1:5" x14ac:dyDescent="0.25">
      <c r="A2910" s="24">
        <v>2909</v>
      </c>
      <c r="B2910" s="24">
        <v>516571</v>
      </c>
      <c r="C2910" s="24" t="s">
        <v>4057</v>
      </c>
      <c r="D2910" s="24">
        <v>52</v>
      </c>
      <c r="E2910" s="24">
        <v>48</v>
      </c>
    </row>
    <row r="2911" spans="1:5" x14ac:dyDescent="0.25">
      <c r="A2911" s="24">
        <v>2910</v>
      </c>
      <c r="B2911" s="24">
        <v>502995</v>
      </c>
      <c r="C2911" s="24" t="s">
        <v>4289</v>
      </c>
      <c r="D2911" s="24">
        <v>26</v>
      </c>
      <c r="E2911" s="24">
        <v>22</v>
      </c>
    </row>
    <row r="2912" spans="1:5" x14ac:dyDescent="0.25">
      <c r="A2912" s="24">
        <v>2911</v>
      </c>
      <c r="B2912" s="24">
        <v>503002</v>
      </c>
      <c r="C2912" s="24" t="s">
        <v>4060</v>
      </c>
      <c r="D2912" s="24">
        <v>26</v>
      </c>
      <c r="E2912" s="24">
        <v>22</v>
      </c>
    </row>
    <row r="2913" spans="1:5" x14ac:dyDescent="0.25">
      <c r="A2913" s="24">
        <v>2912</v>
      </c>
      <c r="B2913" s="24">
        <v>511200</v>
      </c>
      <c r="C2913" s="24" t="s">
        <v>4061</v>
      </c>
      <c r="D2913" s="24">
        <v>36</v>
      </c>
      <c r="E2913" s="24">
        <v>32</v>
      </c>
    </row>
    <row r="2914" spans="1:5" x14ac:dyDescent="0.25">
      <c r="A2914" s="24">
        <v>2913</v>
      </c>
      <c r="B2914" s="24">
        <v>515833</v>
      </c>
      <c r="C2914" s="24" t="s">
        <v>4061</v>
      </c>
      <c r="D2914" s="24">
        <v>50</v>
      </c>
      <c r="E2914" s="24">
        <v>46</v>
      </c>
    </row>
    <row r="2915" spans="1:5" x14ac:dyDescent="0.25">
      <c r="A2915" s="24">
        <v>2914</v>
      </c>
      <c r="B2915" s="24">
        <v>516589</v>
      </c>
      <c r="C2915" s="24" t="s">
        <v>4062</v>
      </c>
      <c r="D2915" s="24">
        <v>55</v>
      </c>
      <c r="E2915" s="24">
        <v>51</v>
      </c>
    </row>
    <row r="2916" spans="1:5" x14ac:dyDescent="0.25">
      <c r="A2916" s="24">
        <v>2915</v>
      </c>
      <c r="B2916" s="24">
        <v>518999</v>
      </c>
      <c r="C2916" s="24" t="s">
        <v>4064</v>
      </c>
      <c r="D2916" s="24">
        <v>47</v>
      </c>
      <c r="E2916" s="24">
        <v>43</v>
      </c>
    </row>
    <row r="2917" spans="1:5" x14ac:dyDescent="0.25">
      <c r="A2917" s="24">
        <v>2916</v>
      </c>
      <c r="B2917" s="24">
        <v>504190</v>
      </c>
      <c r="C2917" s="24" t="s">
        <v>4065</v>
      </c>
      <c r="D2917" s="24">
        <v>29</v>
      </c>
      <c r="E2917" s="24">
        <v>25</v>
      </c>
    </row>
    <row r="2918" spans="1:5" x14ac:dyDescent="0.25">
      <c r="A2918" s="24">
        <v>2917</v>
      </c>
      <c r="B2918" s="24">
        <v>500984</v>
      </c>
      <c r="C2918" s="24" t="s">
        <v>4066</v>
      </c>
      <c r="D2918" s="24">
        <v>31</v>
      </c>
      <c r="E2918" s="24">
        <v>27</v>
      </c>
    </row>
    <row r="2919" spans="1:5" x14ac:dyDescent="0.25">
      <c r="A2919" s="24">
        <v>2918</v>
      </c>
      <c r="B2919" s="24">
        <v>517402</v>
      </c>
      <c r="C2919" s="24" t="s">
        <v>4067</v>
      </c>
      <c r="D2919" s="24">
        <v>42</v>
      </c>
      <c r="E2919" s="24">
        <v>38</v>
      </c>
    </row>
    <row r="2920" spans="1:5" x14ac:dyDescent="0.25">
      <c r="A2920" s="24">
        <v>2919</v>
      </c>
      <c r="B2920" s="24">
        <v>515841</v>
      </c>
      <c r="C2920" s="24" t="s">
        <v>4071</v>
      </c>
      <c r="D2920" s="24">
        <v>51</v>
      </c>
      <c r="E2920" s="24">
        <v>47</v>
      </c>
    </row>
    <row r="2921" spans="1:5" x14ac:dyDescent="0.25">
      <c r="A2921" s="24">
        <v>2920</v>
      </c>
      <c r="B2921" s="24">
        <v>525502</v>
      </c>
      <c r="C2921" s="24" t="s">
        <v>4072</v>
      </c>
      <c r="D2921" s="24">
        <v>62</v>
      </c>
      <c r="E2921" s="24">
        <v>58</v>
      </c>
    </row>
    <row r="2922" spans="1:5" x14ac:dyDescent="0.25">
      <c r="A2922" s="24">
        <v>2921</v>
      </c>
      <c r="B2922" s="24">
        <v>500992</v>
      </c>
      <c r="C2922" s="24" t="s">
        <v>4073</v>
      </c>
      <c r="D2922" s="24">
        <v>27</v>
      </c>
      <c r="E2922" s="24">
        <v>23</v>
      </c>
    </row>
    <row r="2923" spans="1:5" x14ac:dyDescent="0.25">
      <c r="A2923" s="24">
        <v>2922</v>
      </c>
      <c r="B2923" s="24">
        <v>582816</v>
      </c>
      <c r="C2923" s="24" t="s">
        <v>4290</v>
      </c>
      <c r="D2923" s="24">
        <v>31</v>
      </c>
      <c r="E2923" s="24">
        <v>27</v>
      </c>
    </row>
    <row r="2924" spans="1:5" x14ac:dyDescent="0.25">
      <c r="A2924" s="24">
        <v>2923</v>
      </c>
      <c r="B2924" s="24">
        <v>501018</v>
      </c>
      <c r="C2924" s="24" t="s">
        <v>4076</v>
      </c>
      <c r="D2924" s="24">
        <v>27</v>
      </c>
      <c r="E2924" s="24">
        <v>23</v>
      </c>
    </row>
    <row r="2925" spans="1:5" x14ac:dyDescent="0.25">
      <c r="A2925" s="24">
        <v>2924</v>
      </c>
      <c r="B2925" s="24">
        <v>505811</v>
      </c>
      <c r="C2925" s="24" t="s">
        <v>4291</v>
      </c>
      <c r="D2925" s="24">
        <v>16</v>
      </c>
      <c r="E2925" s="24">
        <v>12</v>
      </c>
    </row>
    <row r="2926" spans="1:5" x14ac:dyDescent="0.25">
      <c r="A2926" s="24">
        <v>2925</v>
      </c>
      <c r="B2926" s="24">
        <v>507792</v>
      </c>
      <c r="C2926" s="24" t="s">
        <v>4079</v>
      </c>
      <c r="D2926" s="24">
        <v>11</v>
      </c>
      <c r="E2926" s="24">
        <v>7</v>
      </c>
    </row>
    <row r="2927" spans="1:5" x14ac:dyDescent="0.25">
      <c r="A2927" s="24">
        <v>2926</v>
      </c>
      <c r="B2927" s="24">
        <v>525511</v>
      </c>
      <c r="C2927" s="24" t="s">
        <v>4080</v>
      </c>
      <c r="D2927" s="24">
        <v>62</v>
      </c>
      <c r="E2927" s="24">
        <v>58</v>
      </c>
    </row>
    <row r="2928" spans="1:5" x14ac:dyDescent="0.25">
      <c r="A2928" s="24">
        <v>2927</v>
      </c>
      <c r="B2928" s="24">
        <v>517399</v>
      </c>
      <c r="C2928" s="24" t="s">
        <v>4081</v>
      </c>
      <c r="D2928" s="24">
        <v>54</v>
      </c>
      <c r="E2928" s="24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0"/>
  <sheetViews>
    <sheetView workbookViewId="0">
      <selection activeCell="K110" sqref="K110"/>
    </sheetView>
  </sheetViews>
  <sheetFormatPr defaultRowHeight="15" x14ac:dyDescent="0.25"/>
  <sheetData>
    <row r="1" spans="1:4" x14ac:dyDescent="0.25">
      <c r="A1" s="24" t="s">
        <v>1707</v>
      </c>
      <c r="B1" s="24" t="s">
        <v>4292</v>
      </c>
      <c r="C1" s="24" t="s">
        <v>4293</v>
      </c>
      <c r="D1" s="24" t="s">
        <v>4294</v>
      </c>
    </row>
    <row r="2" spans="1:4" x14ac:dyDescent="0.25">
      <c r="A2" s="24">
        <v>1</v>
      </c>
      <c r="B2" s="24">
        <v>101</v>
      </c>
      <c r="C2" s="24" t="s">
        <v>4295</v>
      </c>
      <c r="D2" s="24">
        <v>1</v>
      </c>
    </row>
    <row r="3" spans="1:4" x14ac:dyDescent="0.25">
      <c r="A3" s="24">
        <v>2</v>
      </c>
      <c r="B3" s="24">
        <v>102</v>
      </c>
      <c r="C3" s="24" t="s">
        <v>4296</v>
      </c>
      <c r="D3" s="24">
        <v>1</v>
      </c>
    </row>
    <row r="4" spans="1:4" x14ac:dyDescent="0.25">
      <c r="A4" s="24">
        <v>3</v>
      </c>
      <c r="B4" s="24">
        <v>103</v>
      </c>
      <c r="C4" s="24" t="s">
        <v>4297</v>
      </c>
      <c r="D4" s="24">
        <v>1</v>
      </c>
    </row>
    <row r="5" spans="1:4" x14ac:dyDescent="0.25">
      <c r="A5" s="24">
        <v>6</v>
      </c>
      <c r="B5" s="24">
        <v>106</v>
      </c>
      <c r="C5" s="24" t="s">
        <v>2340</v>
      </c>
      <c r="D5" s="24">
        <v>1</v>
      </c>
    </row>
    <row r="6" spans="1:4" x14ac:dyDescent="0.25">
      <c r="A6" s="24">
        <v>7</v>
      </c>
      <c r="B6" s="24">
        <v>107</v>
      </c>
      <c r="C6" s="24" t="s">
        <v>2828</v>
      </c>
      <c r="D6" s="24">
        <v>1</v>
      </c>
    </row>
    <row r="7" spans="1:4" x14ac:dyDescent="0.25">
      <c r="A7" s="24">
        <v>8</v>
      </c>
      <c r="B7" s="24">
        <v>108</v>
      </c>
      <c r="C7" s="24" t="s">
        <v>3182</v>
      </c>
      <c r="D7" s="24">
        <v>1</v>
      </c>
    </row>
    <row r="8" spans="1:4" x14ac:dyDescent="0.25">
      <c r="A8" s="24">
        <v>9</v>
      </c>
      <c r="B8" s="24">
        <v>201</v>
      </c>
      <c r="C8" s="24" t="s">
        <v>1320</v>
      </c>
      <c r="D8" s="24">
        <v>2</v>
      </c>
    </row>
    <row r="9" spans="1:4" x14ac:dyDescent="0.25">
      <c r="A9" s="24">
        <v>13</v>
      </c>
      <c r="B9" s="24">
        <v>205</v>
      </c>
      <c r="C9" s="24" t="s">
        <v>791</v>
      </c>
      <c r="D9" s="24">
        <v>2</v>
      </c>
    </row>
    <row r="10" spans="1:4" x14ac:dyDescent="0.25">
      <c r="A10" s="24">
        <v>14</v>
      </c>
      <c r="B10" s="24">
        <v>206</v>
      </c>
      <c r="C10" s="24" t="s">
        <v>3205</v>
      </c>
      <c r="D10" s="24">
        <v>2</v>
      </c>
    </row>
    <row r="11" spans="1:4" x14ac:dyDescent="0.25">
      <c r="A11" s="24">
        <v>16</v>
      </c>
      <c r="B11" s="24">
        <v>301</v>
      </c>
      <c r="C11" s="24" t="s">
        <v>781</v>
      </c>
      <c r="D11" s="24">
        <v>3</v>
      </c>
    </row>
    <row r="12" spans="1:4" x14ac:dyDescent="0.25">
      <c r="A12" s="24">
        <v>18</v>
      </c>
      <c r="B12" s="24">
        <v>303</v>
      </c>
      <c r="C12" s="24" t="s">
        <v>2529</v>
      </c>
      <c r="D12" s="24">
        <v>3</v>
      </c>
    </row>
    <row r="13" spans="1:4" x14ac:dyDescent="0.25">
      <c r="A13" s="24">
        <v>19</v>
      </c>
      <c r="B13" s="24">
        <v>304</v>
      </c>
      <c r="C13" s="24" t="s">
        <v>2659</v>
      </c>
      <c r="D13" s="24">
        <v>3</v>
      </c>
    </row>
    <row r="14" spans="1:4" x14ac:dyDescent="0.25">
      <c r="A14" s="24">
        <v>22</v>
      </c>
      <c r="B14" s="24">
        <v>307</v>
      </c>
      <c r="C14" s="24" t="s">
        <v>2972</v>
      </c>
      <c r="D14" s="24">
        <v>3</v>
      </c>
    </row>
    <row r="15" spans="1:4" x14ac:dyDescent="0.25">
      <c r="A15" s="24">
        <v>23</v>
      </c>
      <c r="B15" s="24">
        <v>308</v>
      </c>
      <c r="C15" s="24" t="s">
        <v>2994</v>
      </c>
      <c r="D15" s="24">
        <v>3</v>
      </c>
    </row>
    <row r="16" spans="1:4" x14ac:dyDescent="0.25">
      <c r="A16" s="24">
        <v>28</v>
      </c>
      <c r="B16" s="24">
        <v>404</v>
      </c>
      <c r="C16" s="24" t="s">
        <v>2662</v>
      </c>
      <c r="D16" s="24">
        <v>4</v>
      </c>
    </row>
    <row r="17" spans="1:4" x14ac:dyDescent="0.25">
      <c r="A17" s="24">
        <v>29</v>
      </c>
      <c r="B17" s="24">
        <v>405</v>
      </c>
      <c r="C17" s="24" t="s">
        <v>3407</v>
      </c>
      <c r="D17" s="24">
        <v>4</v>
      </c>
    </row>
    <row r="18" spans="1:4" x14ac:dyDescent="0.25">
      <c r="A18" s="24">
        <v>32</v>
      </c>
      <c r="B18" s="24">
        <v>501</v>
      </c>
      <c r="C18" s="24" t="s">
        <v>4159</v>
      </c>
      <c r="D18" s="24">
        <v>5</v>
      </c>
    </row>
    <row r="19" spans="1:4" x14ac:dyDescent="0.25">
      <c r="A19" s="24">
        <v>34</v>
      </c>
      <c r="B19" s="24">
        <v>503</v>
      </c>
      <c r="C19" s="24" t="s">
        <v>1249</v>
      </c>
      <c r="D19" s="24">
        <v>5</v>
      </c>
    </row>
    <row r="20" spans="1:4" x14ac:dyDescent="0.25">
      <c r="A20" s="24">
        <v>35</v>
      </c>
      <c r="B20" s="24">
        <v>504</v>
      </c>
      <c r="C20" s="24" t="s">
        <v>2113</v>
      </c>
      <c r="D20" s="24">
        <v>5</v>
      </c>
    </row>
    <row r="21" spans="1:4" x14ac:dyDescent="0.25">
      <c r="A21" s="24">
        <v>38</v>
      </c>
      <c r="B21" s="24">
        <v>507</v>
      </c>
      <c r="C21" s="24" t="s">
        <v>2542</v>
      </c>
      <c r="D21" s="24">
        <v>5</v>
      </c>
    </row>
    <row r="22" spans="1:4" x14ac:dyDescent="0.25">
      <c r="A22" s="24">
        <v>39</v>
      </c>
      <c r="B22" s="24">
        <v>508</v>
      </c>
      <c r="C22" s="24" t="s">
        <v>3141</v>
      </c>
      <c r="D22" s="24">
        <v>5</v>
      </c>
    </row>
    <row r="23" spans="1:4" x14ac:dyDescent="0.25">
      <c r="A23" s="24">
        <v>43</v>
      </c>
      <c r="B23" s="24">
        <v>601</v>
      </c>
      <c r="C23" s="24" t="s">
        <v>784</v>
      </c>
      <c r="D23" s="24">
        <v>6</v>
      </c>
    </row>
    <row r="24" spans="1:4" x14ac:dyDescent="0.25">
      <c r="A24" s="24">
        <v>44</v>
      </c>
      <c r="B24" s="24">
        <v>602</v>
      </c>
      <c r="C24" s="24" t="s">
        <v>796</v>
      </c>
      <c r="D24" s="24">
        <v>6</v>
      </c>
    </row>
    <row r="25" spans="1:4" x14ac:dyDescent="0.25">
      <c r="A25" s="24">
        <v>45</v>
      </c>
      <c r="B25" s="24">
        <v>603</v>
      </c>
      <c r="C25" s="24" t="s">
        <v>968</v>
      </c>
      <c r="D25" s="24">
        <v>6</v>
      </c>
    </row>
    <row r="26" spans="1:4" x14ac:dyDescent="0.25">
      <c r="A26" s="24">
        <v>48</v>
      </c>
      <c r="B26" s="24">
        <v>606</v>
      </c>
      <c r="C26" s="24" t="s">
        <v>2283</v>
      </c>
      <c r="D26" s="24">
        <v>6</v>
      </c>
    </row>
    <row r="27" spans="1:4" x14ac:dyDescent="0.25">
      <c r="A27" s="24">
        <v>49</v>
      </c>
      <c r="B27" s="24">
        <v>607</v>
      </c>
      <c r="C27" s="24" t="s">
        <v>2905</v>
      </c>
      <c r="D27" s="24">
        <v>6</v>
      </c>
    </row>
    <row r="28" spans="1:4" x14ac:dyDescent="0.25">
      <c r="A28" s="24">
        <v>51</v>
      </c>
      <c r="B28" s="24">
        <v>609</v>
      </c>
      <c r="C28" s="24" t="s">
        <v>3077</v>
      </c>
      <c r="D28" s="24">
        <v>6</v>
      </c>
    </row>
    <row r="29" spans="1:4" x14ac:dyDescent="0.25">
      <c r="A29" s="24">
        <v>52</v>
      </c>
      <c r="B29" s="24">
        <v>610</v>
      </c>
      <c r="C29" s="24" t="s">
        <v>3796</v>
      </c>
      <c r="D29" s="24">
        <v>6</v>
      </c>
    </row>
    <row r="30" spans="1:4" x14ac:dyDescent="0.25">
      <c r="A30" s="24">
        <v>53</v>
      </c>
      <c r="B30" s="24">
        <v>611</v>
      </c>
      <c r="C30" s="24" t="s">
        <v>4032</v>
      </c>
      <c r="D30" s="24">
        <v>6</v>
      </c>
    </row>
    <row r="31" spans="1:4" x14ac:dyDescent="0.25">
      <c r="A31" s="24">
        <v>55</v>
      </c>
      <c r="B31" s="24">
        <v>613</v>
      </c>
      <c r="C31" s="24" t="s">
        <v>4062</v>
      </c>
      <c r="D31" s="24">
        <v>6</v>
      </c>
    </row>
    <row r="32" spans="1:4" x14ac:dyDescent="0.25">
      <c r="A32" s="24">
        <v>57</v>
      </c>
      <c r="B32" s="24">
        <v>702</v>
      </c>
      <c r="C32" s="24" t="s">
        <v>1636</v>
      </c>
      <c r="D32" s="24">
        <v>7</v>
      </c>
    </row>
    <row r="33" spans="1:4" x14ac:dyDescent="0.25">
      <c r="A33" s="24">
        <v>59</v>
      </c>
      <c r="B33" s="24">
        <v>704</v>
      </c>
      <c r="C33" s="24" t="s">
        <v>2183</v>
      </c>
      <c r="D33" s="24">
        <v>7</v>
      </c>
    </row>
    <row r="34" spans="1:4" x14ac:dyDescent="0.25">
      <c r="A34" s="24">
        <v>62</v>
      </c>
      <c r="B34" s="24">
        <v>707</v>
      </c>
      <c r="C34" s="24" t="s">
        <v>2957</v>
      </c>
      <c r="D34" s="24">
        <v>7</v>
      </c>
    </row>
    <row r="35" spans="1:4" x14ac:dyDescent="0.25">
      <c r="A35" s="24">
        <v>47</v>
      </c>
      <c r="B35" s="24">
        <v>605</v>
      </c>
      <c r="C35" s="24" t="s">
        <v>2066</v>
      </c>
      <c r="D35" s="24">
        <v>6</v>
      </c>
    </row>
    <row r="36" spans="1:4" x14ac:dyDescent="0.25">
      <c r="A36" s="24">
        <v>56</v>
      </c>
      <c r="B36" s="24">
        <v>701</v>
      </c>
      <c r="C36" s="24" t="s">
        <v>802</v>
      </c>
      <c r="D36" s="24">
        <v>7</v>
      </c>
    </row>
    <row r="37" spans="1:4" x14ac:dyDescent="0.25">
      <c r="A37" s="24">
        <v>66</v>
      </c>
      <c r="B37" s="24">
        <v>711</v>
      </c>
      <c r="C37" s="24" t="s">
        <v>3358</v>
      </c>
      <c r="D37" s="24">
        <v>7</v>
      </c>
    </row>
    <row r="38" spans="1:4" x14ac:dyDescent="0.25">
      <c r="A38" s="24">
        <v>71</v>
      </c>
      <c r="B38" s="24">
        <v>803</v>
      </c>
      <c r="C38" s="24" t="s">
        <v>4298</v>
      </c>
      <c r="D38" s="24">
        <v>8</v>
      </c>
    </row>
    <row r="39" spans="1:4" x14ac:dyDescent="0.25">
      <c r="A39" s="24">
        <v>76</v>
      </c>
      <c r="B39" s="24">
        <v>808</v>
      </c>
      <c r="C39" s="24" t="s">
        <v>3104</v>
      </c>
      <c r="D39" s="24">
        <v>8</v>
      </c>
    </row>
    <row r="40" spans="1:4" x14ac:dyDescent="0.25">
      <c r="A40" s="24">
        <v>4</v>
      </c>
      <c r="B40" s="24">
        <v>104</v>
      </c>
      <c r="C40" s="24" t="s">
        <v>4299</v>
      </c>
      <c r="D40" s="24">
        <v>1</v>
      </c>
    </row>
    <row r="41" spans="1:4" x14ac:dyDescent="0.25">
      <c r="A41" s="24">
        <v>30</v>
      </c>
      <c r="B41" s="24">
        <v>406</v>
      </c>
      <c r="C41" s="24" t="s">
        <v>3553</v>
      </c>
      <c r="D41" s="24">
        <v>4</v>
      </c>
    </row>
    <row r="42" spans="1:4" x14ac:dyDescent="0.25">
      <c r="A42" s="24">
        <v>64</v>
      </c>
      <c r="B42" s="24">
        <v>709</v>
      </c>
      <c r="C42" s="24" t="s">
        <v>3273</v>
      </c>
      <c r="D42" s="24">
        <v>7</v>
      </c>
    </row>
    <row r="43" spans="1:4" x14ac:dyDescent="0.25">
      <c r="A43" s="24">
        <v>12</v>
      </c>
      <c r="B43" s="24">
        <v>204</v>
      </c>
      <c r="C43" s="24" t="s">
        <v>2829</v>
      </c>
      <c r="D43" s="24">
        <v>2</v>
      </c>
    </row>
    <row r="44" spans="1:4" x14ac:dyDescent="0.25">
      <c r="A44" s="24">
        <v>25</v>
      </c>
      <c r="B44" s="24">
        <v>401</v>
      </c>
      <c r="C44" s="24" t="s">
        <v>1915</v>
      </c>
      <c r="D44" s="24">
        <v>4</v>
      </c>
    </row>
    <row r="45" spans="1:4" x14ac:dyDescent="0.25">
      <c r="A45" s="24">
        <v>40</v>
      </c>
      <c r="B45" s="24">
        <v>509</v>
      </c>
      <c r="C45" s="24" t="s">
        <v>3630</v>
      </c>
      <c r="D45" s="24">
        <v>5</v>
      </c>
    </row>
    <row r="46" spans="1:4" x14ac:dyDescent="0.25">
      <c r="A46" s="24">
        <v>60</v>
      </c>
      <c r="B46" s="24">
        <v>705</v>
      </c>
      <c r="C46" s="24" t="s">
        <v>2424</v>
      </c>
      <c r="D46" s="24">
        <v>7</v>
      </c>
    </row>
    <row r="47" spans="1:4" x14ac:dyDescent="0.25">
      <c r="A47" s="24">
        <v>75</v>
      </c>
      <c r="B47" s="24">
        <v>807</v>
      </c>
      <c r="C47" s="24" t="s">
        <v>2445</v>
      </c>
      <c r="D47" s="24">
        <v>8</v>
      </c>
    </row>
    <row r="48" spans="1:4" x14ac:dyDescent="0.25">
      <c r="A48" s="24">
        <v>24</v>
      </c>
      <c r="B48" s="24">
        <v>309</v>
      </c>
      <c r="C48" s="24" t="s">
        <v>3583</v>
      </c>
      <c r="D48" s="24">
        <v>3</v>
      </c>
    </row>
    <row r="49" spans="1:4" x14ac:dyDescent="0.25">
      <c r="A49" s="24">
        <v>70</v>
      </c>
      <c r="B49" s="24">
        <v>802</v>
      </c>
      <c r="C49" s="24" t="s">
        <v>4300</v>
      </c>
      <c r="D49" s="24">
        <v>8</v>
      </c>
    </row>
    <row r="50" spans="1:4" x14ac:dyDescent="0.25">
      <c r="A50" s="24">
        <v>11</v>
      </c>
      <c r="B50" s="24">
        <v>203</v>
      </c>
      <c r="C50" s="24" t="s">
        <v>1458</v>
      </c>
      <c r="D50" s="24">
        <v>2</v>
      </c>
    </row>
    <row r="51" spans="1:4" x14ac:dyDescent="0.25">
      <c r="A51" s="24">
        <v>17</v>
      </c>
      <c r="B51" s="24">
        <v>302</v>
      </c>
      <c r="C51" s="24" t="s">
        <v>1691</v>
      </c>
      <c r="D51" s="24">
        <v>3</v>
      </c>
    </row>
    <row r="52" spans="1:4" x14ac:dyDescent="0.25">
      <c r="A52" s="24">
        <v>21</v>
      </c>
      <c r="B52" s="24">
        <v>306</v>
      </c>
      <c r="C52" s="24" t="s">
        <v>2932</v>
      </c>
      <c r="D52" s="24">
        <v>3</v>
      </c>
    </row>
    <row r="53" spans="1:4" x14ac:dyDescent="0.25">
      <c r="A53" s="24">
        <v>27</v>
      </c>
      <c r="B53" s="24">
        <v>403</v>
      </c>
      <c r="C53" s="24" t="s">
        <v>2573</v>
      </c>
      <c r="D53" s="24">
        <v>4</v>
      </c>
    </row>
    <row r="54" spans="1:4" x14ac:dyDescent="0.25">
      <c r="A54" s="24">
        <v>33</v>
      </c>
      <c r="B54" s="24">
        <v>502</v>
      </c>
      <c r="C54" s="24" t="s">
        <v>1059</v>
      </c>
      <c r="D54" s="24">
        <v>5</v>
      </c>
    </row>
    <row r="55" spans="1:4" x14ac:dyDescent="0.25">
      <c r="A55" s="24">
        <v>37</v>
      </c>
      <c r="B55" s="24">
        <v>506</v>
      </c>
      <c r="C55" s="24" t="s">
        <v>2399</v>
      </c>
      <c r="D55" s="24">
        <v>5</v>
      </c>
    </row>
    <row r="56" spans="1:4" x14ac:dyDescent="0.25">
      <c r="A56" s="24">
        <v>41</v>
      </c>
      <c r="B56" s="24">
        <v>510</v>
      </c>
      <c r="C56" s="24" t="s">
        <v>3649</v>
      </c>
      <c r="D56" s="24">
        <v>5</v>
      </c>
    </row>
    <row r="57" spans="1:4" x14ac:dyDescent="0.25">
      <c r="A57" s="24">
        <v>46</v>
      </c>
      <c r="B57" s="24">
        <v>604</v>
      </c>
      <c r="C57" s="24" t="s">
        <v>1164</v>
      </c>
      <c r="D57" s="24">
        <v>6</v>
      </c>
    </row>
    <row r="58" spans="1:4" x14ac:dyDescent="0.25">
      <c r="A58" s="24">
        <v>50</v>
      </c>
      <c r="B58" s="24">
        <v>608</v>
      </c>
      <c r="C58" s="24" t="s">
        <v>3067</v>
      </c>
      <c r="D58" s="24">
        <v>6</v>
      </c>
    </row>
    <row r="59" spans="1:4" x14ac:dyDescent="0.25">
      <c r="A59" s="24">
        <v>54</v>
      </c>
      <c r="B59" s="24">
        <v>612</v>
      </c>
      <c r="C59" s="24" t="s">
        <v>4042</v>
      </c>
      <c r="D59" s="24">
        <v>6</v>
      </c>
    </row>
    <row r="60" spans="1:4" x14ac:dyDescent="0.25">
      <c r="A60" s="24">
        <v>58</v>
      </c>
      <c r="B60" s="24">
        <v>703</v>
      </c>
      <c r="C60" s="24" t="s">
        <v>1851</v>
      </c>
      <c r="D60" s="24">
        <v>7</v>
      </c>
    </row>
    <row r="61" spans="1:4" x14ac:dyDescent="0.25">
      <c r="A61" s="24">
        <v>65</v>
      </c>
      <c r="B61" s="24">
        <v>710</v>
      </c>
      <c r="C61" s="24" t="s">
        <v>3318</v>
      </c>
      <c r="D61" s="24">
        <v>7</v>
      </c>
    </row>
    <row r="62" spans="1:4" x14ac:dyDescent="0.25">
      <c r="A62" s="24">
        <v>20</v>
      </c>
      <c r="B62" s="24">
        <v>305</v>
      </c>
      <c r="C62" s="24" t="s">
        <v>2788</v>
      </c>
      <c r="D62" s="24">
        <v>3</v>
      </c>
    </row>
    <row r="63" spans="1:4" x14ac:dyDescent="0.25">
      <c r="A63" s="24">
        <v>36</v>
      </c>
      <c r="B63" s="24">
        <v>505</v>
      </c>
      <c r="C63" s="24" t="s">
        <v>2230</v>
      </c>
      <c r="D63" s="24">
        <v>5</v>
      </c>
    </row>
    <row r="64" spans="1:4" x14ac:dyDescent="0.25">
      <c r="A64" s="24">
        <v>61</v>
      </c>
      <c r="B64" s="24">
        <v>706</v>
      </c>
      <c r="C64" s="24" t="s">
        <v>2912</v>
      </c>
      <c r="D64" s="24">
        <v>7</v>
      </c>
    </row>
    <row r="65" spans="1:4" x14ac:dyDescent="0.25">
      <c r="A65" s="24">
        <v>63</v>
      </c>
      <c r="B65" s="24">
        <v>708</v>
      </c>
      <c r="C65" s="24" t="s">
        <v>3147</v>
      </c>
      <c r="D65" s="24">
        <v>7</v>
      </c>
    </row>
    <row r="66" spans="1:4" x14ac:dyDescent="0.25">
      <c r="A66" s="24">
        <v>67</v>
      </c>
      <c r="B66" s="24">
        <v>712</v>
      </c>
      <c r="C66" s="24" t="s">
        <v>3393</v>
      </c>
      <c r="D66" s="24">
        <v>7</v>
      </c>
    </row>
    <row r="67" spans="1:4" x14ac:dyDescent="0.25">
      <c r="A67" s="24">
        <v>68</v>
      </c>
      <c r="B67" s="24">
        <v>713</v>
      </c>
      <c r="C67" s="24" t="s">
        <v>3872</v>
      </c>
      <c r="D67" s="24">
        <v>7</v>
      </c>
    </row>
    <row r="68" spans="1:4" x14ac:dyDescent="0.25">
      <c r="A68" s="24">
        <v>69</v>
      </c>
      <c r="B68" s="24">
        <v>801</v>
      </c>
      <c r="C68" s="24" t="s">
        <v>1372</v>
      </c>
      <c r="D68" s="24">
        <v>8</v>
      </c>
    </row>
    <row r="69" spans="1:4" x14ac:dyDescent="0.25">
      <c r="A69" s="24">
        <v>72</v>
      </c>
      <c r="B69" s="24">
        <v>804</v>
      </c>
      <c r="C69" s="24" t="s">
        <v>4301</v>
      </c>
      <c r="D69" s="24">
        <v>8</v>
      </c>
    </row>
    <row r="70" spans="1:4" x14ac:dyDescent="0.25">
      <c r="A70" s="24">
        <v>73</v>
      </c>
      <c r="B70" s="24">
        <v>805</v>
      </c>
      <c r="C70" s="24" t="s">
        <v>4302</v>
      </c>
      <c r="D70" s="24">
        <v>8</v>
      </c>
    </row>
    <row r="71" spans="1:4" x14ac:dyDescent="0.25">
      <c r="A71" s="24">
        <v>74</v>
      </c>
      <c r="B71" s="24">
        <v>806</v>
      </c>
      <c r="C71" s="24" t="s">
        <v>207</v>
      </c>
      <c r="D71" s="24">
        <v>8</v>
      </c>
    </row>
    <row r="72" spans="1:4" x14ac:dyDescent="0.25">
      <c r="A72" s="24">
        <v>77</v>
      </c>
      <c r="B72" s="24">
        <v>809</v>
      </c>
      <c r="C72" s="24" t="s">
        <v>3277</v>
      </c>
      <c r="D72" s="24">
        <v>8</v>
      </c>
    </row>
    <row r="73" spans="1:4" x14ac:dyDescent="0.25">
      <c r="A73" s="24">
        <v>78</v>
      </c>
      <c r="B73" s="24">
        <v>810</v>
      </c>
      <c r="C73" s="24" t="s">
        <v>3294</v>
      </c>
      <c r="D73" s="24">
        <v>8</v>
      </c>
    </row>
    <row r="74" spans="1:4" x14ac:dyDescent="0.25">
      <c r="A74" s="24">
        <v>79</v>
      </c>
      <c r="B74" s="24">
        <v>811</v>
      </c>
      <c r="C74" s="24" t="s">
        <v>3573</v>
      </c>
      <c r="D74" s="24">
        <v>8</v>
      </c>
    </row>
    <row r="75" spans="1:4" x14ac:dyDescent="0.25">
      <c r="A75" s="24">
        <v>5</v>
      </c>
      <c r="B75" s="24">
        <v>105</v>
      </c>
      <c r="C75" s="24" t="s">
        <v>4303</v>
      </c>
      <c r="D75" s="24">
        <v>1</v>
      </c>
    </row>
    <row r="76" spans="1:4" x14ac:dyDescent="0.25">
      <c r="A76" s="24">
        <v>10</v>
      </c>
      <c r="B76" s="24">
        <v>202</v>
      </c>
      <c r="C76" s="24" t="s">
        <v>1360</v>
      </c>
      <c r="D76" s="24">
        <v>2</v>
      </c>
    </row>
    <row r="77" spans="1:4" x14ac:dyDescent="0.25">
      <c r="A77" s="24">
        <v>15</v>
      </c>
      <c r="B77" s="24">
        <v>207</v>
      </c>
      <c r="C77" s="24" t="s">
        <v>3590</v>
      </c>
      <c r="D77" s="24">
        <v>2</v>
      </c>
    </row>
    <row r="78" spans="1:4" x14ac:dyDescent="0.25">
      <c r="A78" s="24">
        <v>26</v>
      </c>
      <c r="B78" s="24">
        <v>402</v>
      </c>
      <c r="C78" s="24" t="s">
        <v>2181</v>
      </c>
      <c r="D78" s="24">
        <v>4</v>
      </c>
    </row>
    <row r="79" spans="1:4" x14ac:dyDescent="0.25">
      <c r="A79" s="24">
        <v>31</v>
      </c>
      <c r="B79" s="24">
        <v>407</v>
      </c>
      <c r="C79" s="24" t="s">
        <v>4017</v>
      </c>
      <c r="D79" s="24">
        <v>4</v>
      </c>
    </row>
    <row r="80" spans="1:4" x14ac:dyDescent="0.25">
      <c r="A80" s="24">
        <v>42</v>
      </c>
      <c r="B80" s="24">
        <v>511</v>
      </c>
      <c r="C80" s="24" t="s">
        <v>4067</v>
      </c>
      <c r="D80" s="24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activeCell="K110" sqref="K110"/>
    </sheetView>
  </sheetViews>
  <sheetFormatPr defaultRowHeight="15" x14ac:dyDescent="0.25"/>
  <sheetData>
    <row r="1" spans="1:4" x14ac:dyDescent="0.25">
      <c r="A1" s="24" t="s">
        <v>1707</v>
      </c>
      <c r="B1" s="24" t="s">
        <v>4304</v>
      </c>
      <c r="C1" s="24" t="s">
        <v>4305</v>
      </c>
      <c r="D1" s="24"/>
    </row>
    <row r="2" spans="1:4" x14ac:dyDescent="0.25">
      <c r="A2" s="24">
        <v>1</v>
      </c>
      <c r="B2" s="24">
        <v>1</v>
      </c>
      <c r="C2" s="24" t="s">
        <v>4306</v>
      </c>
      <c r="D2" s="24"/>
    </row>
    <row r="3" spans="1:4" x14ac:dyDescent="0.25">
      <c r="A3" s="24">
        <v>2</v>
      </c>
      <c r="B3" s="24">
        <v>2</v>
      </c>
      <c r="C3" s="24" t="s">
        <v>4307</v>
      </c>
      <c r="D3" s="24"/>
    </row>
    <row r="4" spans="1:4" x14ac:dyDescent="0.25">
      <c r="A4" s="24">
        <v>3</v>
      </c>
      <c r="B4" s="24">
        <v>3</v>
      </c>
      <c r="C4" s="24" t="s">
        <v>4308</v>
      </c>
      <c r="D4" s="24"/>
    </row>
    <row r="5" spans="1:4" x14ac:dyDescent="0.25">
      <c r="A5" s="24">
        <v>4</v>
      </c>
      <c r="B5" s="24">
        <v>4</v>
      </c>
      <c r="C5" s="24" t="s">
        <v>4309</v>
      </c>
      <c r="D5" s="24"/>
    </row>
    <row r="6" spans="1:4" x14ac:dyDescent="0.25">
      <c r="A6" s="24">
        <v>5</v>
      </c>
      <c r="B6" s="24">
        <v>5</v>
      </c>
      <c r="C6" s="24" t="s">
        <v>4310</v>
      </c>
      <c r="D6" s="24"/>
    </row>
    <row r="7" spans="1:4" x14ac:dyDescent="0.25">
      <c r="A7" s="24">
        <v>6</v>
      </c>
      <c r="B7" s="24">
        <v>6</v>
      </c>
      <c r="C7" s="24" t="s">
        <v>82</v>
      </c>
      <c r="D7" s="24"/>
    </row>
    <row r="8" spans="1:4" x14ac:dyDescent="0.25">
      <c r="A8" s="24">
        <v>7</v>
      </c>
      <c r="B8" s="24">
        <v>7</v>
      </c>
      <c r="C8" s="24" t="s">
        <v>4311</v>
      </c>
      <c r="D8" s="24"/>
    </row>
    <row r="9" spans="1:4" x14ac:dyDescent="0.25">
      <c r="A9" s="24">
        <v>8</v>
      </c>
      <c r="B9" s="24">
        <v>8</v>
      </c>
      <c r="C9" s="24" t="s">
        <v>4312</v>
      </c>
      <c r="D9" s="2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1"/>
  <sheetViews>
    <sheetView topLeftCell="A7" workbookViewId="0">
      <selection activeCell="C22" sqref="C22"/>
    </sheetView>
  </sheetViews>
  <sheetFormatPr defaultRowHeight="15" x14ac:dyDescent="0.25"/>
  <cols>
    <col min="1" max="1" width="33.85546875" customWidth="1"/>
    <col min="2" max="2" width="21.28515625" style="25" customWidth="1"/>
    <col min="3" max="3" width="20.140625" style="25" customWidth="1"/>
    <col min="4" max="4" width="21.85546875" customWidth="1"/>
    <col min="5" max="5" width="6.140625" customWidth="1"/>
    <col min="6" max="6" width="9.140625" style="34"/>
    <col min="7" max="7" width="14.7109375" customWidth="1"/>
  </cols>
  <sheetData>
    <row r="2" spans="1:9" x14ac:dyDescent="0.25">
      <c r="A2" s="29" t="s">
        <v>707</v>
      </c>
      <c r="B2" s="30" t="s">
        <v>4313</v>
      </c>
      <c r="C2" s="30" t="s">
        <v>726</v>
      </c>
      <c r="D2" s="37" t="s">
        <v>4314</v>
      </c>
      <c r="E2" s="21"/>
      <c r="F2" s="35" t="s">
        <v>4321</v>
      </c>
      <c r="G2" s="21"/>
      <c r="H2" s="21" t="s">
        <v>4322</v>
      </c>
    </row>
    <row r="3" spans="1:9" x14ac:dyDescent="0.25">
      <c r="A3" s="24"/>
      <c r="B3" s="26"/>
      <c r="C3" s="26"/>
      <c r="D3" s="24"/>
      <c r="E3" s="21"/>
      <c r="F3" s="35"/>
      <c r="G3" s="21"/>
      <c r="H3" s="21"/>
    </row>
    <row r="4" spans="1:9" x14ac:dyDescent="0.25">
      <c r="A4" s="27" t="s">
        <v>687</v>
      </c>
      <c r="B4" s="36">
        <v>0</v>
      </c>
      <c r="C4" s="36">
        <f>B4*8</f>
        <v>0</v>
      </c>
      <c r="D4" s="22" t="s">
        <v>4318</v>
      </c>
      <c r="E4" s="21"/>
      <c r="F4" s="35"/>
      <c r="G4" s="21"/>
      <c r="H4" s="21"/>
    </row>
    <row r="5" spans="1:9" x14ac:dyDescent="0.25">
      <c r="A5" s="27" t="s">
        <v>685</v>
      </c>
      <c r="B5" s="36">
        <v>150</v>
      </c>
      <c r="C5" s="36">
        <f t="shared" ref="C5:C16" si="0">B5*8</f>
        <v>1200</v>
      </c>
      <c r="D5" s="22" t="s">
        <v>4315</v>
      </c>
      <c r="E5" s="21"/>
      <c r="F5" s="35"/>
      <c r="G5" s="21"/>
      <c r="H5" s="21">
        <v>5</v>
      </c>
      <c r="I5" t="s">
        <v>4324</v>
      </c>
    </row>
    <row r="6" spans="1:9" x14ac:dyDescent="0.25">
      <c r="A6" s="27" t="s">
        <v>684</v>
      </c>
      <c r="B6" s="36">
        <v>0</v>
      </c>
      <c r="C6" s="36">
        <f t="shared" si="0"/>
        <v>0</v>
      </c>
      <c r="D6" s="22" t="s">
        <v>4315</v>
      </c>
      <c r="E6" s="21"/>
      <c r="F6" s="35"/>
      <c r="G6" s="21"/>
      <c r="H6" s="21"/>
    </row>
    <row r="7" spans="1:9" x14ac:dyDescent="0.25">
      <c r="A7" s="27" t="s">
        <v>698</v>
      </c>
      <c r="B7" s="36">
        <v>0</v>
      </c>
      <c r="C7" s="36">
        <f t="shared" si="0"/>
        <v>0</v>
      </c>
      <c r="D7" s="22" t="s">
        <v>4315</v>
      </c>
      <c r="E7" s="21"/>
      <c r="F7" s="35"/>
      <c r="G7" s="21"/>
      <c r="H7" s="21"/>
    </row>
    <row r="8" spans="1:9" x14ac:dyDescent="0.25">
      <c r="A8" s="27" t="s">
        <v>683</v>
      </c>
      <c r="B8" s="36">
        <v>2500</v>
      </c>
      <c r="C8" s="36">
        <f t="shared" si="0"/>
        <v>20000</v>
      </c>
      <c r="D8" s="22" t="s">
        <v>4318</v>
      </c>
      <c r="E8" s="21"/>
      <c r="F8" s="35"/>
      <c r="G8" s="21"/>
      <c r="H8" s="21"/>
    </row>
    <row r="9" spans="1:9" x14ac:dyDescent="0.25">
      <c r="A9" s="27" t="s">
        <v>689</v>
      </c>
      <c r="B9" s="36">
        <v>1500</v>
      </c>
      <c r="C9" s="36">
        <f t="shared" si="0"/>
        <v>12000</v>
      </c>
      <c r="D9" s="22" t="s">
        <v>4318</v>
      </c>
      <c r="E9" s="21" t="s">
        <v>4319</v>
      </c>
      <c r="F9" s="35">
        <v>24000</v>
      </c>
      <c r="G9" s="21" t="s">
        <v>4320</v>
      </c>
      <c r="H9" s="21">
        <f>F9/250</f>
        <v>96</v>
      </c>
    </row>
    <row r="10" spans="1:9" x14ac:dyDescent="0.25">
      <c r="A10" s="27" t="s">
        <v>688</v>
      </c>
      <c r="B10" s="36">
        <v>300</v>
      </c>
      <c r="C10" s="36">
        <f t="shared" si="0"/>
        <v>2400</v>
      </c>
      <c r="D10" s="22" t="s">
        <v>4318</v>
      </c>
    </row>
    <row r="11" spans="1:9" x14ac:dyDescent="0.25">
      <c r="A11" s="27" t="s">
        <v>691</v>
      </c>
      <c r="B11" s="36">
        <v>100</v>
      </c>
      <c r="C11" s="36">
        <f t="shared" si="0"/>
        <v>800</v>
      </c>
      <c r="D11" s="22" t="s">
        <v>4318</v>
      </c>
    </row>
    <row r="12" spans="1:9" x14ac:dyDescent="0.25">
      <c r="A12" s="27" t="s">
        <v>681</v>
      </c>
      <c r="B12" s="36">
        <v>0</v>
      </c>
      <c r="C12" s="36">
        <f t="shared" si="0"/>
        <v>0</v>
      </c>
      <c r="D12" s="22" t="s">
        <v>4316</v>
      </c>
    </row>
    <row r="13" spans="1:9" x14ac:dyDescent="0.25">
      <c r="A13" s="27" t="s">
        <v>679</v>
      </c>
      <c r="B13" s="36">
        <v>100</v>
      </c>
      <c r="C13" s="36">
        <f t="shared" si="0"/>
        <v>800</v>
      </c>
      <c r="D13" s="22" t="s">
        <v>4318</v>
      </c>
    </row>
    <row r="14" spans="1:9" x14ac:dyDescent="0.25">
      <c r="A14" s="27" t="s">
        <v>680</v>
      </c>
      <c r="B14" s="36">
        <v>100</v>
      </c>
      <c r="C14" s="36">
        <f t="shared" si="0"/>
        <v>800</v>
      </c>
      <c r="D14" s="22" t="s">
        <v>4318</v>
      </c>
    </row>
    <row r="15" spans="1:9" x14ac:dyDescent="0.25">
      <c r="A15" s="27" t="s">
        <v>690</v>
      </c>
      <c r="B15" s="36">
        <v>100</v>
      </c>
      <c r="C15" s="36">
        <f t="shared" si="0"/>
        <v>800</v>
      </c>
      <c r="D15" s="22" t="s">
        <v>4318</v>
      </c>
    </row>
    <row r="16" spans="1:9" x14ac:dyDescent="0.25">
      <c r="A16" s="27" t="s">
        <v>682</v>
      </c>
      <c r="B16" s="36">
        <v>3500</v>
      </c>
      <c r="C16" s="36">
        <f t="shared" si="0"/>
        <v>28000</v>
      </c>
      <c r="D16" s="22" t="s">
        <v>4318</v>
      </c>
      <c r="E16" s="21" t="s">
        <v>4319</v>
      </c>
      <c r="F16" s="35" t="s">
        <v>4325</v>
      </c>
      <c r="G16" s="21"/>
      <c r="H16" s="21"/>
    </row>
    <row r="20" spans="2:3" x14ac:dyDescent="0.25">
      <c r="B20" s="28" t="s">
        <v>712</v>
      </c>
      <c r="C20" s="31">
        <f>SUM(C21:C25)</f>
        <v>4000</v>
      </c>
    </row>
    <row r="21" spans="2:3" x14ac:dyDescent="0.25">
      <c r="B21" s="26" t="s">
        <v>687</v>
      </c>
      <c r="C21" s="32">
        <f>VLOOKUP(B21,$A$4:$D$16,2)*2</f>
        <v>0</v>
      </c>
    </row>
    <row r="22" spans="2:3" x14ac:dyDescent="0.25">
      <c r="B22" s="26" t="s">
        <v>689</v>
      </c>
      <c r="C22" s="32">
        <f t="shared" ref="C22:C25" si="1">VLOOKUP(B22,$A$4:$D$16,2)*2</f>
        <v>3000</v>
      </c>
    </row>
    <row r="23" spans="2:3" x14ac:dyDescent="0.25">
      <c r="B23" s="26" t="s">
        <v>688</v>
      </c>
      <c r="C23" s="32">
        <f t="shared" si="1"/>
        <v>600</v>
      </c>
    </row>
    <row r="24" spans="2:3" x14ac:dyDescent="0.25">
      <c r="B24" s="26" t="s">
        <v>691</v>
      </c>
      <c r="C24" s="32">
        <f t="shared" si="1"/>
        <v>200</v>
      </c>
    </row>
    <row r="25" spans="2:3" x14ac:dyDescent="0.25">
      <c r="B25" s="26" t="s">
        <v>4317</v>
      </c>
      <c r="C25" s="32">
        <f t="shared" si="1"/>
        <v>200</v>
      </c>
    </row>
    <row r="26" spans="2:3" x14ac:dyDescent="0.25">
      <c r="C26" s="33"/>
    </row>
    <row r="27" spans="2:3" x14ac:dyDescent="0.25">
      <c r="B27" s="28" t="s">
        <v>710</v>
      </c>
      <c r="C27" s="31">
        <f>SUM(C28:C35)</f>
        <v>64000</v>
      </c>
    </row>
    <row r="28" spans="2:3" x14ac:dyDescent="0.25">
      <c r="B28" s="26" t="s">
        <v>687</v>
      </c>
      <c r="C28" s="32">
        <f>VLOOKUP(B28,$A$4:$D$16,3)</f>
        <v>0</v>
      </c>
    </row>
    <row r="29" spans="2:3" x14ac:dyDescent="0.25">
      <c r="B29" s="26" t="s">
        <v>688</v>
      </c>
      <c r="C29" s="32">
        <f t="shared" ref="C29:C35" si="2">VLOOKUP(B29,$A$4:$D$16,3)</f>
        <v>2400</v>
      </c>
    </row>
    <row r="30" spans="2:3" x14ac:dyDescent="0.25">
      <c r="B30" s="26" t="s">
        <v>682</v>
      </c>
      <c r="C30" s="32">
        <f t="shared" si="2"/>
        <v>28000</v>
      </c>
    </row>
    <row r="31" spans="2:3" x14ac:dyDescent="0.25">
      <c r="B31" s="26" t="s">
        <v>4317</v>
      </c>
      <c r="C31" s="32">
        <f t="shared" si="2"/>
        <v>800</v>
      </c>
    </row>
    <row r="32" spans="2:3" x14ac:dyDescent="0.25">
      <c r="B32" s="26" t="s">
        <v>684</v>
      </c>
      <c r="C32" s="32">
        <f t="shared" si="2"/>
        <v>0</v>
      </c>
    </row>
    <row r="33" spans="2:3" x14ac:dyDescent="0.25">
      <c r="B33" s="26" t="s">
        <v>683</v>
      </c>
      <c r="C33" s="32">
        <f t="shared" si="2"/>
        <v>20000</v>
      </c>
    </row>
    <row r="34" spans="2:3" x14ac:dyDescent="0.25">
      <c r="B34" s="26" t="s">
        <v>691</v>
      </c>
      <c r="C34" s="32">
        <f t="shared" si="2"/>
        <v>800</v>
      </c>
    </row>
    <row r="35" spans="2:3" x14ac:dyDescent="0.25">
      <c r="B35" s="26" t="s">
        <v>689</v>
      </c>
      <c r="C35" s="32">
        <f t="shared" si="2"/>
        <v>12000</v>
      </c>
    </row>
    <row r="37" spans="2:3" x14ac:dyDescent="0.25">
      <c r="B37" s="28" t="s">
        <v>4323</v>
      </c>
      <c r="C37" s="31">
        <f>SUM(C38:C41)</f>
        <v>1700</v>
      </c>
    </row>
    <row r="38" spans="2:3" x14ac:dyDescent="0.25">
      <c r="B38" s="26" t="s">
        <v>687</v>
      </c>
      <c r="C38" s="32">
        <f>VLOOKUP(B38,$A$4:$D$16,2)</f>
        <v>0</v>
      </c>
    </row>
    <row r="39" spans="2:3" x14ac:dyDescent="0.25">
      <c r="B39" s="26" t="s">
        <v>689</v>
      </c>
      <c r="C39" s="32">
        <f t="shared" ref="C39" si="3">VLOOKUP(B39,$A$4:$D$16,2)</f>
        <v>1500</v>
      </c>
    </row>
    <row r="40" spans="2:3" x14ac:dyDescent="0.25">
      <c r="B40" s="26" t="s">
        <v>691</v>
      </c>
      <c r="C40" s="32">
        <f>VLOOKUP(B40,$A$4:$D$16,2)</f>
        <v>100</v>
      </c>
    </row>
    <row r="41" spans="2:3" x14ac:dyDescent="0.25">
      <c r="B41" s="26" t="s">
        <v>4317</v>
      </c>
      <c r="C41" s="32">
        <f>VLOOKUP(B41,$A$4:$D$16,2)</f>
        <v>100</v>
      </c>
    </row>
  </sheetData>
  <sortState ref="A4:A16">
    <sortCondition ref="A3:A15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B188676F4EB3B4A82DC8FF316ECA510" ma:contentTypeVersion="4" ma:contentTypeDescription="Umožňuje vytvoriť nový dokument." ma:contentTypeScope="" ma:versionID="35166082f41d7aa6acf3ce02be0061f1">
  <xsd:schema xmlns:xsd="http://www.w3.org/2001/XMLSchema" xmlns:xs="http://www.w3.org/2001/XMLSchema" xmlns:p="http://schemas.microsoft.com/office/2006/metadata/properties" xmlns:ns2="5dc997f1-4793-46a9-a067-d1d6645809ac" xmlns:ns3="babfc082-6b0f-437f-8178-f1c4084fca67" targetNamespace="http://schemas.microsoft.com/office/2006/metadata/properties" ma:root="true" ma:fieldsID="0ed559a56fa8d66e3faf202cca6db88e" ns2:_="" ns3:_="">
    <xsd:import namespace="5dc997f1-4793-46a9-a067-d1d6645809ac"/>
    <xsd:import namespace="babfc082-6b0f-437f-8178-f1c4084fca6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_x0065_qm9" minOccurs="0"/>
                <xsd:element ref="ns3:N_x00e1_zov_x0020_s_x00fa_boru_x0020_prre_x0020_z_x00e1_kazn_x00ed_k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c997f1-4793-46a9-a067-d1d6645809a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Zdieľa sa s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Zdieľané s podrobnosťami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bfc082-6b0f-437f-8178-f1c4084fca67" elementFormDefault="qualified">
    <xsd:import namespace="http://schemas.microsoft.com/office/2006/documentManagement/types"/>
    <xsd:import namespace="http://schemas.microsoft.com/office/infopath/2007/PartnerControls"/>
    <xsd:element name="_x0065_qm9" ma:index="10" nillable="true" ma:displayName="Dátum dodania/odoslania" ma:internalName="_x0065_qm9">
      <xsd:simpleType>
        <xsd:restriction base="dms:DateTime"/>
      </xsd:simpleType>
    </xsd:element>
    <xsd:element name="N_x00e1_zov_x0020_s_x00fa_boru_x0020_prre_x0020_z_x00e1_kazn_x00ed_ka" ma:index="11" nillable="true" ma:displayName="Názov súboru pre zákazníka" ma:internalName="N_x00e1_zov_x0020_s_x00fa_boru_x0020_prre_x0020_z_x00e1_kazn_x00ed_ka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0065_qm9 xmlns="babfc082-6b0f-437f-8178-f1c4084fca67" xsi:nil="true"/>
    <N_x00e1_zov_x0020_s_x00fa_boru_x0020_prre_x0020_z_x00e1_kazn_x00ed_ka xmlns="babfc082-6b0f-437f-8178-f1c4084fca67">eskn_NevizualneSluzbyRozhranieURL_v11.6_20160129</N_x00e1_zov_x0020_s_x00fa_boru_x0020_prre_x0020_z_x00e1_kazn_x00ed_ka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A7EFB07-56B3-48C0-859B-F4D3B0B16F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c997f1-4793-46a9-a067-d1d6645809ac"/>
    <ds:schemaRef ds:uri="babfc082-6b0f-437f-8178-f1c4084fca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04747C3-FAF6-4C71-B33F-2A7819C9A6C1}">
  <ds:schemaRefs>
    <ds:schemaRef ds:uri="http://purl.org/dc/elements/1.1/"/>
    <ds:schemaRef ds:uri="http://purl.org/dc/terms/"/>
    <ds:schemaRef ds:uri="babfc082-6b0f-437f-8178-f1c4084fca67"/>
    <ds:schemaRef ds:uri="http://purl.org/dc/dcmitype/"/>
    <ds:schemaRef ds:uri="http://www.w3.org/XML/1998/namespace"/>
    <ds:schemaRef ds:uri="5dc997f1-4793-46a9-a067-d1d6645809ac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59508976-4DA8-4C4D-9551-EA70402B94E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ImportESKN</vt:lpstr>
      <vt:lpstr>Hodnoty parametrov</vt:lpstr>
      <vt:lpstr>Konzument-KO-sada</vt:lpstr>
      <vt:lpstr>Konzument-uzemie</vt:lpstr>
      <vt:lpstr>KN_C_CADASTRAL_UNITS</vt:lpstr>
      <vt:lpstr>KN_C_MUNICIPALITIES</vt:lpstr>
      <vt:lpstr>KN_C_DISTRICTS</vt:lpstr>
      <vt:lpstr>KN_C_REGIONS</vt:lpstr>
      <vt:lpstr>Cenník</vt:lpstr>
      <vt:lpstr>ImportESKN!_Toc422844250</vt:lpstr>
      <vt:lpstr>ImportESKN!_Toc422844251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Kraľovanský Peter</dc:creator>
  <cp:lastModifiedBy>Valovic Ratislav</cp:lastModifiedBy>
  <cp:revision/>
  <cp:lastPrinted>2016-09-28T09:02:50Z</cp:lastPrinted>
  <dcterms:created xsi:type="dcterms:W3CDTF">2015-03-04T08:45:35Z</dcterms:created>
  <dcterms:modified xsi:type="dcterms:W3CDTF">2017-06-16T14:03:22Z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0x0101006B188676F4EB3B4A82DC8FF316ECA510</vt:lpwstr>
  </property>
</Properties>
</file>